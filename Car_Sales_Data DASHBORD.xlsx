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e900adc81165331e/Desktop/EXCEL DASHBORDS/"/>
    </mc:Choice>
  </mc:AlternateContent>
  <xr:revisionPtr revIDLastSave="1059" documentId="8_{F0F243BF-CBBA-403B-890B-BB388767F2FE}" xr6:coauthVersionLast="47" xr6:coauthVersionMax="47" xr10:uidLastSave="{9FDDA3FF-B8BB-423A-B96C-DB3BEE4DF7D7}"/>
  <bookViews>
    <workbookView xWindow="-108" yWindow="-108" windowWidth="23256" windowHeight="12456" activeTab="1" xr2:uid="{00000000-000D-0000-FFFF-FFFF00000000}"/>
  </bookViews>
  <sheets>
    <sheet name="PIVOT TABLE" sheetId="2" r:id="rId1"/>
    <sheet name="DASHBORD" sheetId="3" r:id="rId2"/>
    <sheet name="KPI" sheetId="4" r:id="rId3"/>
    <sheet name="DATA" sheetId="1" r:id="rId4"/>
  </sheets>
  <definedNames>
    <definedName name="_xlnm._FilterDatabase" localSheetId="3" hidden="1">DATA!$A$1:$P$1601</definedName>
    <definedName name="_xlchart.v1.0" hidden="1">'PIVOT TABLE'!$AG$68:$AG$77</definedName>
    <definedName name="_xlchart.v1.1" hidden="1">'PIVOT TABLE'!$AH$67</definedName>
    <definedName name="_xlchart.v1.11" hidden="1">'PIVOT TABLE'!$AG$68:$AG$77</definedName>
    <definedName name="_xlchart.v1.12" hidden="1">'PIVOT TABLE'!$AH$67</definedName>
    <definedName name="_xlchart.v1.13" hidden="1">'PIVOT TABLE'!$AH$68:$AH$77</definedName>
    <definedName name="_xlchart.v1.14" hidden="1">'PIVOT TABLE'!$AG$68:$AG$77</definedName>
    <definedName name="_xlchart.v1.15" hidden="1">'PIVOT TABLE'!$AH$67</definedName>
    <definedName name="_xlchart.v1.16" hidden="1">'PIVOT TABLE'!$AH$68:$AH$77</definedName>
    <definedName name="_xlchart.v1.17" hidden="1">'PIVOT TABLE'!$AG$68:$AG$77</definedName>
    <definedName name="_xlchart.v1.18" hidden="1">'PIVOT TABLE'!$AH$67</definedName>
    <definedName name="_xlchart.v1.19" hidden="1">'PIVOT TABLE'!$AH$68:$AH$77</definedName>
    <definedName name="_xlchart.v1.2" hidden="1">'PIVOT TABLE'!$AH$68:$AH$77</definedName>
    <definedName name="_xlchart.v5.10" hidden="1">'PIVOT TABLE'!$AJ$5:$AJ$20</definedName>
    <definedName name="_xlchart.v5.3" hidden="1">'PIVOT TABLE'!$AI$4</definedName>
    <definedName name="_xlchart.v5.4" hidden="1">'PIVOT TABLE'!$AI$5:$AI$20</definedName>
    <definedName name="_xlchart.v5.5" hidden="1">'PIVOT TABLE'!$AJ$4</definedName>
    <definedName name="_xlchart.v5.6" hidden="1">'PIVOT TABLE'!$AJ$5:$AJ$20</definedName>
    <definedName name="_xlchart.v5.7" hidden="1">'PIVOT TABLE'!$AI$4</definedName>
    <definedName name="_xlchart.v5.8" hidden="1">'PIVOT TABLE'!$AI$5:$AI$20</definedName>
    <definedName name="_xlchart.v5.9" hidden="1">'PIVOT TABLE'!$AJ$4</definedName>
    <definedName name="Slicer_Category">#N/A</definedName>
    <definedName name="Slicer_State">#N/A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77" i="2" l="1"/>
  <c r="AG69" i="2"/>
  <c r="AG70" i="2"/>
  <c r="AG71" i="2"/>
  <c r="AG72" i="2"/>
  <c r="AG73" i="2"/>
  <c r="AG74" i="2"/>
  <c r="AG75" i="2"/>
  <c r="AG76" i="2"/>
  <c r="AG68" i="2"/>
  <c r="AI6" i="2"/>
  <c r="AI7" i="2"/>
  <c r="AI8" i="2"/>
  <c r="AI9" i="2"/>
  <c r="AI10" i="2"/>
  <c r="AI11" i="2"/>
  <c r="AI12" i="2"/>
  <c r="AI13" i="2"/>
  <c r="AI14" i="2"/>
  <c r="AI15" i="2"/>
  <c r="AI16" i="2"/>
  <c r="AI17" i="2"/>
  <c r="AI18" i="2"/>
  <c r="AI19" i="2"/>
  <c r="AI20" i="2"/>
  <c r="AI5" i="2"/>
  <c r="AH73" i="2"/>
  <c r="AH74" i="2"/>
  <c r="L6" i="4"/>
  <c r="AH76" i="2"/>
  <c r="AJ14" i="2"/>
  <c r="AJ18" i="2"/>
  <c r="AH75" i="2"/>
  <c r="AJ7" i="2"/>
  <c r="AJ11" i="2"/>
  <c r="AH68" i="2"/>
  <c r="AJ15" i="2"/>
  <c r="AJ19" i="2"/>
  <c r="AH70" i="2"/>
  <c r="J6" i="4"/>
  <c r="AJ8" i="2"/>
  <c r="AJ12" i="2"/>
  <c r="G6" i="4"/>
  <c r="AJ20" i="2"/>
  <c r="AJ9" i="2"/>
  <c r="AJ13" i="2"/>
  <c r="A6" i="4"/>
  <c r="AJ17" i="2"/>
  <c r="AJ6" i="2"/>
  <c r="AJ10" i="2"/>
  <c r="AH69" i="2"/>
  <c r="AH71" i="2"/>
  <c r="AJ16" i="2"/>
  <c r="D6" i="4"/>
  <c r="AJ5" i="2"/>
  <c r="AH77" i="2"/>
  <c r="AH72" i="2"/>
</calcChain>
</file>

<file path=xl/sharedStrings.xml><?xml version="1.0" encoding="utf-8"?>
<sst xmlns="http://schemas.openxmlformats.org/spreadsheetml/2006/main" count="11297" uniqueCount="738">
  <si>
    <t>Order_ID</t>
  </si>
  <si>
    <t>Date</t>
  </si>
  <si>
    <t>Year</t>
  </si>
  <si>
    <t>Month</t>
  </si>
  <si>
    <t>Region</t>
  </si>
  <si>
    <t>State</t>
  </si>
  <si>
    <t>Salesperson</t>
  </si>
  <si>
    <t>Car_Model</t>
  </si>
  <si>
    <t>Category</t>
  </si>
  <si>
    <t>Engine_Size</t>
  </si>
  <si>
    <t>Mileage_KM</t>
  </si>
  <si>
    <t>Units_Sold</t>
  </si>
  <si>
    <t>Unit_Price</t>
  </si>
  <si>
    <t>Total_Sales</t>
  </si>
  <si>
    <t>Cost</t>
  </si>
  <si>
    <t>Profit</t>
  </si>
  <si>
    <t>29-02-2024</t>
  </si>
  <si>
    <t>Feb</t>
  </si>
  <si>
    <t>East</t>
  </si>
  <si>
    <t>Jharkhand</t>
  </si>
  <si>
    <t>Ravi</t>
  </si>
  <si>
    <t>Creta</t>
  </si>
  <si>
    <t>SUV</t>
  </si>
  <si>
    <t>11-11-2023</t>
  </si>
  <si>
    <t>Nov</t>
  </si>
  <si>
    <t>South</t>
  </si>
  <si>
    <t>Tamil Nadu</t>
  </si>
  <si>
    <t>Deepak</t>
  </si>
  <si>
    <t>17-03-2024</t>
  </si>
  <si>
    <t>Mar</t>
  </si>
  <si>
    <t>Simran</t>
  </si>
  <si>
    <t>Verna</t>
  </si>
  <si>
    <t>Sedan</t>
  </si>
  <si>
    <t>22-06-2024</t>
  </si>
  <si>
    <t>Jun</t>
  </si>
  <si>
    <t>Odisha</t>
  </si>
  <si>
    <t>Neha</t>
  </si>
  <si>
    <t>City</t>
  </si>
  <si>
    <t>31-08-2024</t>
  </si>
  <si>
    <t>Aug</t>
  </si>
  <si>
    <t>West</t>
  </si>
  <si>
    <t>Gujarat</t>
  </si>
  <si>
    <t>08-12-2023</t>
  </si>
  <si>
    <t>Dec</t>
  </si>
  <si>
    <t>North</t>
  </si>
  <si>
    <t>Delhi</t>
  </si>
  <si>
    <t>Karan</t>
  </si>
  <si>
    <t>Baleno</t>
  </si>
  <si>
    <t>Hatchback</t>
  </si>
  <si>
    <t>27-01-2023</t>
  </si>
  <si>
    <t>Jan</t>
  </si>
  <si>
    <t>Amit</t>
  </si>
  <si>
    <t>Nexon</t>
  </si>
  <si>
    <t>24-01-2023</t>
  </si>
  <si>
    <t>Swift</t>
  </si>
  <si>
    <t>12-01-2023</t>
  </si>
  <si>
    <t>i20</t>
  </si>
  <si>
    <t>30-06-2024</t>
  </si>
  <si>
    <t>Karnataka</t>
  </si>
  <si>
    <t>Priya</t>
  </si>
  <si>
    <t>22-09-2024</t>
  </si>
  <si>
    <t>Sep</t>
  </si>
  <si>
    <t>Bihar</t>
  </si>
  <si>
    <t>Scorpio</t>
  </si>
  <si>
    <t>29-09-2023</t>
  </si>
  <si>
    <t>10-02-2023</t>
  </si>
  <si>
    <t>04-05-2023</t>
  </si>
  <si>
    <t>May</t>
  </si>
  <si>
    <t>Goa</t>
  </si>
  <si>
    <t>25-11-2023</t>
  </si>
  <si>
    <t>UP</t>
  </si>
  <si>
    <t>28-11-2023</t>
  </si>
  <si>
    <t>Assam</t>
  </si>
  <si>
    <t>23-04-2024</t>
  </si>
  <si>
    <t>Apr</t>
  </si>
  <si>
    <t>07-10-2023</t>
  </si>
  <si>
    <t>Oct</t>
  </si>
  <si>
    <t>Telangana</t>
  </si>
  <si>
    <t>03-05-2024</t>
  </si>
  <si>
    <t>Polo</t>
  </si>
  <si>
    <t>03-08-2024</t>
  </si>
  <si>
    <t>20-04-2023</t>
  </si>
  <si>
    <t>16-08-2024</t>
  </si>
  <si>
    <t>12-08-2024</t>
  </si>
  <si>
    <t>Kerala</t>
  </si>
  <si>
    <t>27-03-2023</t>
  </si>
  <si>
    <t>27-08-2024</t>
  </si>
  <si>
    <t>11-05-2024</t>
  </si>
  <si>
    <t>08-06-2023</t>
  </si>
  <si>
    <t>11-12-2024</t>
  </si>
  <si>
    <t>Raj</t>
  </si>
  <si>
    <t>20-08-2024</t>
  </si>
  <si>
    <t>Punjab</t>
  </si>
  <si>
    <t>07-06-2023</t>
  </si>
  <si>
    <t>06-12-2024</t>
  </si>
  <si>
    <t>26-03-2023</t>
  </si>
  <si>
    <t>18-07-2024</t>
  </si>
  <si>
    <t>Jul</t>
  </si>
  <si>
    <t>10-04-2024</t>
  </si>
  <si>
    <t>06-04-2024</t>
  </si>
  <si>
    <t>Brezza</t>
  </si>
  <si>
    <t>14-02-2024</t>
  </si>
  <si>
    <t>02-03-2023</t>
  </si>
  <si>
    <t>17-02-2023</t>
  </si>
  <si>
    <t>Rajasthan</t>
  </si>
  <si>
    <t>18-05-2023</t>
  </si>
  <si>
    <t>13-04-2024</t>
  </si>
  <si>
    <t>West Bengal</t>
  </si>
  <si>
    <t>20-12-2024</t>
  </si>
  <si>
    <t>04-04-2023</t>
  </si>
  <si>
    <t>19-08-2023</t>
  </si>
  <si>
    <t>29-08-2024</t>
  </si>
  <si>
    <t>12-05-2024</t>
  </si>
  <si>
    <t>09-03-2023</t>
  </si>
  <si>
    <t>07-08-2023</t>
  </si>
  <si>
    <t>10-01-2024</t>
  </si>
  <si>
    <t>21-08-2024</t>
  </si>
  <si>
    <t>20-12-2023</t>
  </si>
  <si>
    <t>26-05-2024</t>
  </si>
  <si>
    <t>04-12-2024</t>
  </si>
  <si>
    <t>Maharashtra</t>
  </si>
  <si>
    <t>11-05-2023</t>
  </si>
  <si>
    <t>24-05-2024</t>
  </si>
  <si>
    <t>17-11-2024</t>
  </si>
  <si>
    <t>18-02-2024</t>
  </si>
  <si>
    <t>26-12-2024</t>
  </si>
  <si>
    <t>11-08-2023</t>
  </si>
  <si>
    <t>08-06-2024</t>
  </si>
  <si>
    <t>22-02-2023</t>
  </si>
  <si>
    <t>02-08-2023</t>
  </si>
  <si>
    <t>01-09-2024</t>
  </si>
  <si>
    <t>06-06-2023</t>
  </si>
  <si>
    <t>27-11-2023</t>
  </si>
  <si>
    <t>24-08-2024</t>
  </si>
  <si>
    <t>25-08-2024</t>
  </si>
  <si>
    <t>30-07-2024</t>
  </si>
  <si>
    <t>17-05-2023</t>
  </si>
  <si>
    <t>06-08-2024</t>
  </si>
  <si>
    <t>21-02-2023</t>
  </si>
  <si>
    <t>18-09-2024</t>
  </si>
  <si>
    <t>11-08-2024</t>
  </si>
  <si>
    <t>31-01-2023</t>
  </si>
  <si>
    <t>16-07-2023</t>
  </si>
  <si>
    <t>25-12-2024</t>
  </si>
  <si>
    <t>02-01-2024</t>
  </si>
  <si>
    <t>21-06-2023</t>
  </si>
  <si>
    <t>04-03-2023</t>
  </si>
  <si>
    <t>13-06-2024</t>
  </si>
  <si>
    <t>14-07-2023</t>
  </si>
  <si>
    <t>07-11-2023</t>
  </si>
  <si>
    <t>27-12-2023</t>
  </si>
  <si>
    <t>13-09-2024</t>
  </si>
  <si>
    <t>03-10-2023</t>
  </si>
  <si>
    <t>31-12-2024</t>
  </si>
  <si>
    <t>30-01-2024</t>
  </si>
  <si>
    <t>22-08-2024</t>
  </si>
  <si>
    <t>19-11-2024</t>
  </si>
  <si>
    <t>18-07-2023</t>
  </si>
  <si>
    <t>03-11-2024</t>
  </si>
  <si>
    <t>08-11-2024</t>
  </si>
  <si>
    <t>28-12-2024</t>
  </si>
  <si>
    <t>16-01-2023</t>
  </si>
  <si>
    <t>25-06-2024</t>
  </si>
  <si>
    <t>01-04-2024</t>
  </si>
  <si>
    <t>26-12-2023</t>
  </si>
  <si>
    <t>06-05-2023</t>
  </si>
  <si>
    <t>03-11-2023</t>
  </si>
  <si>
    <t>03-03-2023</t>
  </si>
  <si>
    <t>06-10-2024</t>
  </si>
  <si>
    <t>12-02-2023</t>
  </si>
  <si>
    <t>14-09-2024</t>
  </si>
  <si>
    <t>24-03-2023</t>
  </si>
  <si>
    <t>01-02-2024</t>
  </si>
  <si>
    <t>07-09-2023</t>
  </si>
  <si>
    <t>05-09-2023</t>
  </si>
  <si>
    <t>02-11-2024</t>
  </si>
  <si>
    <t>12-08-2023</t>
  </si>
  <si>
    <t>28-10-2023</t>
  </si>
  <si>
    <t>17-10-2024</t>
  </si>
  <si>
    <t>31-03-2023</t>
  </si>
  <si>
    <t>12-10-2024</t>
  </si>
  <si>
    <t>23-10-2023</t>
  </si>
  <si>
    <t>13-11-2024</t>
  </si>
  <si>
    <t>30-05-2024</t>
  </si>
  <si>
    <t>09-01-2024</t>
  </si>
  <si>
    <t>09-04-2023</t>
  </si>
  <si>
    <t>06-01-2023</t>
  </si>
  <si>
    <t>16-04-2024</t>
  </si>
  <si>
    <t>23-03-2024</t>
  </si>
  <si>
    <t>27-07-2024</t>
  </si>
  <si>
    <t>16-09-2023</t>
  </si>
  <si>
    <t>27-06-2024</t>
  </si>
  <si>
    <t>06-11-2024</t>
  </si>
  <si>
    <t>15-07-2023</t>
  </si>
  <si>
    <t>21-05-2024</t>
  </si>
  <si>
    <t>01-10-2023</t>
  </si>
  <si>
    <t>04-08-2023</t>
  </si>
  <si>
    <t>27-10-2024</t>
  </si>
  <si>
    <t>26-03-2024</t>
  </si>
  <si>
    <t>21-10-2024</t>
  </si>
  <si>
    <t>22-05-2024</t>
  </si>
  <si>
    <t>05-01-2023</t>
  </si>
  <si>
    <t>19-05-2023</t>
  </si>
  <si>
    <t>28-09-2024</t>
  </si>
  <si>
    <t>12-03-2023</t>
  </si>
  <si>
    <t>20-02-2024</t>
  </si>
  <si>
    <t>23-11-2023</t>
  </si>
  <si>
    <t>29-03-2023</t>
  </si>
  <si>
    <t>07-05-2024</t>
  </si>
  <si>
    <t>08-03-2023</t>
  </si>
  <si>
    <t>13-07-2023</t>
  </si>
  <si>
    <t>09-12-2023</t>
  </si>
  <si>
    <t>14-07-2024</t>
  </si>
  <si>
    <t>21-11-2024</t>
  </si>
  <si>
    <t>05-10-2024</t>
  </si>
  <si>
    <t>01-05-2024</t>
  </si>
  <si>
    <t>12-04-2024</t>
  </si>
  <si>
    <t>12-06-2024</t>
  </si>
  <si>
    <t>16-07-2024</t>
  </si>
  <si>
    <t>12-10-2023</t>
  </si>
  <si>
    <t>14-12-2024</t>
  </si>
  <si>
    <t>07-02-2023</t>
  </si>
  <si>
    <t>04-09-2023</t>
  </si>
  <si>
    <t>20-06-2024</t>
  </si>
  <si>
    <t>10-12-2023</t>
  </si>
  <si>
    <t>03-01-2024</t>
  </si>
  <si>
    <t>09-02-2024</t>
  </si>
  <si>
    <t>29-04-2023</t>
  </si>
  <si>
    <t>25-02-2024</t>
  </si>
  <si>
    <t>28-09-2023</t>
  </si>
  <si>
    <t>23-05-2024</t>
  </si>
  <si>
    <t>03-05-2023</t>
  </si>
  <si>
    <t>23-05-2023</t>
  </si>
  <si>
    <t>25-12-2023</t>
  </si>
  <si>
    <t>31-07-2023</t>
  </si>
  <si>
    <t>11-09-2023</t>
  </si>
  <si>
    <t>03-01-2023</t>
  </si>
  <si>
    <t>29-11-2024</t>
  </si>
  <si>
    <t>04-01-2024</t>
  </si>
  <si>
    <t>12-06-2023</t>
  </si>
  <si>
    <t>01-12-2024</t>
  </si>
  <si>
    <t>06-02-2023</t>
  </si>
  <si>
    <t>15-07-2024</t>
  </si>
  <si>
    <t>01-01-2023</t>
  </si>
  <si>
    <t>31-10-2024</t>
  </si>
  <si>
    <t>04-03-2024</t>
  </si>
  <si>
    <t>21-08-2023</t>
  </si>
  <si>
    <t>25-10-2024</t>
  </si>
  <si>
    <t>10-02-2024</t>
  </si>
  <si>
    <t>24-02-2024</t>
  </si>
  <si>
    <t>28-01-2024</t>
  </si>
  <si>
    <t>27-11-2024</t>
  </si>
  <si>
    <t>26-02-2023</t>
  </si>
  <si>
    <t>13-01-2023</t>
  </si>
  <si>
    <t>19-02-2024</t>
  </si>
  <si>
    <t>29-05-2024</t>
  </si>
  <si>
    <t>07-08-2024</t>
  </si>
  <si>
    <t>19-10-2024</t>
  </si>
  <si>
    <t>11-03-2024</t>
  </si>
  <si>
    <t>27-05-2024</t>
  </si>
  <si>
    <t>24-10-2023</t>
  </si>
  <si>
    <t>25-10-2023</t>
  </si>
  <si>
    <t>20-05-2024</t>
  </si>
  <si>
    <t>18-06-2024</t>
  </si>
  <si>
    <t>10-01-2023</t>
  </si>
  <si>
    <t>26-11-2023</t>
  </si>
  <si>
    <t>06-08-2023</t>
  </si>
  <si>
    <t>04-01-2023</t>
  </si>
  <si>
    <t>11-04-2023</t>
  </si>
  <si>
    <t>19-11-2023</t>
  </si>
  <si>
    <t>24-05-2023</t>
  </si>
  <si>
    <t>20-07-2023</t>
  </si>
  <si>
    <t>25-02-2023</t>
  </si>
  <si>
    <t>01-11-2023</t>
  </si>
  <si>
    <t>08-03-2024</t>
  </si>
  <si>
    <t>19-03-2024</t>
  </si>
  <si>
    <t>17-02-2024</t>
  </si>
  <si>
    <t>18-03-2023</t>
  </si>
  <si>
    <t>30-01-2023</t>
  </si>
  <si>
    <t>23-12-2023</t>
  </si>
  <si>
    <t>06-03-2023</t>
  </si>
  <si>
    <t>24-11-2024</t>
  </si>
  <si>
    <t>19-04-2024</t>
  </si>
  <si>
    <t>06-12-2023</t>
  </si>
  <si>
    <t>10-05-2024</t>
  </si>
  <si>
    <t>10-11-2024</t>
  </si>
  <si>
    <t>29-10-2024</t>
  </si>
  <si>
    <t>21-10-2023</t>
  </si>
  <si>
    <t>25-06-2023</t>
  </si>
  <si>
    <t>10-10-2023</t>
  </si>
  <si>
    <t>03-10-2024</t>
  </si>
  <si>
    <t>18-11-2024</t>
  </si>
  <si>
    <t>28-07-2023</t>
  </si>
  <si>
    <t>17-05-2024</t>
  </si>
  <si>
    <t>19-04-2023</t>
  </si>
  <si>
    <t>30-05-2023</t>
  </si>
  <si>
    <t>26-04-2023</t>
  </si>
  <si>
    <t>05-06-2023</t>
  </si>
  <si>
    <t>09-09-2023</t>
  </si>
  <si>
    <t>09-05-2023</t>
  </si>
  <si>
    <t>14-09-2023</t>
  </si>
  <si>
    <t>23-06-2023</t>
  </si>
  <si>
    <t>23-01-2023</t>
  </si>
  <si>
    <t>10-04-2023</t>
  </si>
  <si>
    <t>13-09-2023</t>
  </si>
  <si>
    <t>07-12-2024</t>
  </si>
  <si>
    <t>08-10-2024</t>
  </si>
  <si>
    <t>11-07-2023</t>
  </si>
  <si>
    <t>09-06-2023</t>
  </si>
  <si>
    <t>28-02-2024</t>
  </si>
  <si>
    <t>18-10-2024</t>
  </si>
  <si>
    <t>04-06-2024</t>
  </si>
  <si>
    <t>10-06-2024</t>
  </si>
  <si>
    <t>18-04-2023</t>
  </si>
  <si>
    <t>30-11-2024</t>
  </si>
  <si>
    <t>28-10-2024</t>
  </si>
  <si>
    <t>29-12-2023</t>
  </si>
  <si>
    <t>25-05-2024</t>
  </si>
  <si>
    <t>12-09-2023</t>
  </si>
  <si>
    <t>14-10-2023</t>
  </si>
  <si>
    <t>17-11-2023</t>
  </si>
  <si>
    <t>19-07-2023</t>
  </si>
  <si>
    <t>25-01-2024</t>
  </si>
  <si>
    <t>11-02-2024</t>
  </si>
  <si>
    <t>25-07-2024</t>
  </si>
  <si>
    <t>31-10-2023</t>
  </si>
  <si>
    <t>07-10-2024</t>
  </si>
  <si>
    <t>07-12-2023</t>
  </si>
  <si>
    <t>20-07-2024</t>
  </si>
  <si>
    <t>24-03-2024</t>
  </si>
  <si>
    <t>02-10-2024</t>
  </si>
  <si>
    <t>21-04-2024</t>
  </si>
  <si>
    <t>14-04-2024</t>
  </si>
  <si>
    <t>14-05-2023</t>
  </si>
  <si>
    <t>26-10-2024</t>
  </si>
  <si>
    <t>23-09-2023</t>
  </si>
  <si>
    <t>19-06-2024</t>
  </si>
  <si>
    <t>07-07-2023</t>
  </si>
  <si>
    <t>27-01-2024</t>
  </si>
  <si>
    <t>01-10-2024</t>
  </si>
  <si>
    <t>17-12-2023</t>
  </si>
  <si>
    <t>18-08-2024</t>
  </si>
  <si>
    <t>21-01-2023</t>
  </si>
  <si>
    <t>06-10-2023</t>
  </si>
  <si>
    <t>21-04-2023</t>
  </si>
  <si>
    <t>22-06-2023</t>
  </si>
  <si>
    <t>01-07-2023</t>
  </si>
  <si>
    <t>15-02-2024</t>
  </si>
  <si>
    <t>20-11-2023</t>
  </si>
  <si>
    <t>18-01-2024</t>
  </si>
  <si>
    <t>15-04-2023</t>
  </si>
  <si>
    <t>13-07-2024</t>
  </si>
  <si>
    <t>10-08-2023</t>
  </si>
  <si>
    <t>12-11-2024</t>
  </si>
  <si>
    <t>13-06-2023</t>
  </si>
  <si>
    <t>21-07-2023</t>
  </si>
  <si>
    <t>02-04-2023</t>
  </si>
  <si>
    <t>01-07-2024</t>
  </si>
  <si>
    <t>20-01-2023</t>
  </si>
  <si>
    <t>29-12-2024</t>
  </si>
  <si>
    <t>07-09-2024</t>
  </si>
  <si>
    <t>26-09-2024</t>
  </si>
  <si>
    <t>17-08-2023</t>
  </si>
  <si>
    <t>16-02-2024</t>
  </si>
  <si>
    <t>24-01-2024</t>
  </si>
  <si>
    <t>15-09-2024</t>
  </si>
  <si>
    <t>26-02-2024</t>
  </si>
  <si>
    <t>08-07-2023</t>
  </si>
  <si>
    <t>08-01-2023</t>
  </si>
  <si>
    <t>24-12-2023</t>
  </si>
  <si>
    <t>17-08-2024</t>
  </si>
  <si>
    <t>13-03-2024</t>
  </si>
  <si>
    <t>12-09-2024</t>
  </si>
  <si>
    <t>27-08-2023</t>
  </si>
  <si>
    <t>02-09-2024</t>
  </si>
  <si>
    <t>01-11-2024</t>
  </si>
  <si>
    <t>15-01-2023</t>
  </si>
  <si>
    <t>24-04-2023</t>
  </si>
  <si>
    <t>14-03-2023</t>
  </si>
  <si>
    <t>14-08-2024</t>
  </si>
  <si>
    <t>16-06-2023</t>
  </si>
  <si>
    <t>28-04-2024</t>
  </si>
  <si>
    <t>27-10-2023</t>
  </si>
  <si>
    <t>15-10-2023</t>
  </si>
  <si>
    <t>30-08-2023</t>
  </si>
  <si>
    <t>11-01-2023</t>
  </si>
  <si>
    <t>19-09-2023</t>
  </si>
  <si>
    <t>22-07-2024</t>
  </si>
  <si>
    <t>16-02-2023</t>
  </si>
  <si>
    <t>21-07-2024</t>
  </si>
  <si>
    <t>09-11-2024</t>
  </si>
  <si>
    <t>30-04-2024</t>
  </si>
  <si>
    <t>06-09-2023</t>
  </si>
  <si>
    <t>11-10-2023</t>
  </si>
  <si>
    <t>27-03-2024</t>
  </si>
  <si>
    <t>05-12-2023</t>
  </si>
  <si>
    <t>07-04-2023</t>
  </si>
  <si>
    <t>12-07-2023</t>
  </si>
  <si>
    <t>01-08-2024</t>
  </si>
  <si>
    <t>28-03-2024</t>
  </si>
  <si>
    <t>29-09-2024</t>
  </si>
  <si>
    <t>11-11-2024</t>
  </si>
  <si>
    <t>17-04-2024</t>
  </si>
  <si>
    <t>05-07-2024</t>
  </si>
  <si>
    <t>26-01-2024</t>
  </si>
  <si>
    <t>05-02-2024</t>
  </si>
  <si>
    <t>13-12-2024</t>
  </si>
  <si>
    <t>09-05-2024</t>
  </si>
  <si>
    <t>23-01-2024</t>
  </si>
  <si>
    <t>08-05-2024</t>
  </si>
  <si>
    <t>09-08-2023</t>
  </si>
  <si>
    <t>22-09-2023</t>
  </si>
  <si>
    <t>17-01-2023</t>
  </si>
  <si>
    <t>20-10-2023</t>
  </si>
  <si>
    <t>07-01-2024</t>
  </si>
  <si>
    <t>13-11-2023</t>
  </si>
  <si>
    <t>22-08-2023</t>
  </si>
  <si>
    <t>03-06-2024</t>
  </si>
  <si>
    <t>14-12-2023</t>
  </si>
  <si>
    <t>13-08-2024</t>
  </si>
  <si>
    <t>21-03-2023</t>
  </si>
  <si>
    <t>30-09-2024</t>
  </si>
  <si>
    <t>21-05-2023</t>
  </si>
  <si>
    <t>09-08-2024</t>
  </si>
  <si>
    <t>15-06-2023</t>
  </si>
  <si>
    <t>29-08-2023</t>
  </si>
  <si>
    <t>05-04-2024</t>
  </si>
  <si>
    <t>14-01-2024</t>
  </si>
  <si>
    <t>06-02-2024</t>
  </si>
  <si>
    <t>10-11-2023</t>
  </si>
  <si>
    <t>04-08-2024</t>
  </si>
  <si>
    <t>11-09-2024</t>
  </si>
  <si>
    <t>23-11-2024</t>
  </si>
  <si>
    <t>08-12-2024</t>
  </si>
  <si>
    <t>09-02-2023</t>
  </si>
  <si>
    <t>23-03-2023</t>
  </si>
  <si>
    <t>18-03-2024</t>
  </si>
  <si>
    <t>29-07-2024</t>
  </si>
  <si>
    <t>01-03-2024</t>
  </si>
  <si>
    <t>18-05-2024</t>
  </si>
  <si>
    <t>18-06-2023</t>
  </si>
  <si>
    <t>02-09-2023</t>
  </si>
  <si>
    <t>15-03-2023</t>
  </si>
  <si>
    <t>21-01-2024</t>
  </si>
  <si>
    <t>30-03-2024</t>
  </si>
  <si>
    <t>19-01-2023</t>
  </si>
  <si>
    <t>28-04-2023</t>
  </si>
  <si>
    <t>28-02-2023</t>
  </si>
  <si>
    <t>27-05-2023</t>
  </si>
  <si>
    <t>07-03-2024</t>
  </si>
  <si>
    <t>12-12-2024</t>
  </si>
  <si>
    <t>31-08-2023</t>
  </si>
  <si>
    <t>26-06-2024</t>
  </si>
  <si>
    <t>08-09-2023</t>
  </si>
  <si>
    <t>26-08-2024</t>
  </si>
  <si>
    <t>08-08-2024</t>
  </si>
  <si>
    <t>08-09-2024</t>
  </si>
  <si>
    <t>20-08-2023</t>
  </si>
  <si>
    <t>02-12-2024</t>
  </si>
  <si>
    <t>01-04-2023</t>
  </si>
  <si>
    <t>29-04-2024</t>
  </si>
  <si>
    <t>13-08-2023</t>
  </si>
  <si>
    <t>05-12-2024</t>
  </si>
  <si>
    <t>14-01-2023</t>
  </si>
  <si>
    <t>26-09-2023</t>
  </si>
  <si>
    <t>13-10-2024</t>
  </si>
  <si>
    <t>15-11-2023</t>
  </si>
  <si>
    <t>08-10-2023</t>
  </si>
  <si>
    <t>16-03-2023</t>
  </si>
  <si>
    <t>23-09-2024</t>
  </si>
  <si>
    <t>13-04-2023</t>
  </si>
  <si>
    <t>19-07-2024</t>
  </si>
  <si>
    <t>30-11-2023</t>
  </si>
  <si>
    <t>04-02-2024</t>
  </si>
  <si>
    <t>13-02-2023</t>
  </si>
  <si>
    <t>03-12-2024</t>
  </si>
  <si>
    <t>30-07-2023</t>
  </si>
  <si>
    <t>09-10-2024</t>
  </si>
  <si>
    <t>23-04-2023</t>
  </si>
  <si>
    <t>30-12-2024</t>
  </si>
  <si>
    <t>05-02-2023</t>
  </si>
  <si>
    <t>20-01-2024</t>
  </si>
  <si>
    <t>15-05-2023</t>
  </si>
  <si>
    <t>11-12-2023</t>
  </si>
  <si>
    <t>12-12-2023</t>
  </si>
  <si>
    <t>08-04-2024</t>
  </si>
  <si>
    <t>20-09-2024</t>
  </si>
  <si>
    <t>28-06-2024</t>
  </si>
  <si>
    <t>18-12-2023</t>
  </si>
  <si>
    <t>05-11-2023</t>
  </si>
  <si>
    <t>15-05-2024</t>
  </si>
  <si>
    <t>17-06-2023</t>
  </si>
  <si>
    <t>24-04-2024</t>
  </si>
  <si>
    <t>09-11-2023</t>
  </si>
  <si>
    <t>15-08-2023</t>
  </si>
  <si>
    <t>06-03-2024</t>
  </si>
  <si>
    <t>20-06-2023</t>
  </si>
  <si>
    <t>04-10-2024</t>
  </si>
  <si>
    <t>18-02-2023</t>
  </si>
  <si>
    <t>14-10-2024</t>
  </si>
  <si>
    <t>25-04-2023</t>
  </si>
  <si>
    <t>07-11-2024</t>
  </si>
  <si>
    <t>25-09-2024</t>
  </si>
  <si>
    <t>13-03-2023</t>
  </si>
  <si>
    <t>06-07-2023</t>
  </si>
  <si>
    <t>16-06-2024</t>
  </si>
  <si>
    <t>28-03-2023</t>
  </si>
  <si>
    <t>21-12-2023</t>
  </si>
  <si>
    <t>15-06-2024</t>
  </si>
  <si>
    <t>07-05-2023</t>
  </si>
  <si>
    <t>22-02-2024</t>
  </si>
  <si>
    <t>09-06-2024</t>
  </si>
  <si>
    <t>19-02-2023</t>
  </si>
  <si>
    <t>24-10-2024</t>
  </si>
  <si>
    <t>12-05-2023</t>
  </si>
  <si>
    <t>12-03-2024</t>
  </si>
  <si>
    <t>31-05-2023</t>
  </si>
  <si>
    <t>23-07-2024</t>
  </si>
  <si>
    <t>09-04-2024</t>
  </si>
  <si>
    <t>19-01-2024</t>
  </si>
  <si>
    <t>18-01-2023</t>
  </si>
  <si>
    <t>09-09-2024</t>
  </si>
  <si>
    <t>11-04-2024</t>
  </si>
  <si>
    <t>19-10-2023</t>
  </si>
  <si>
    <t>04-05-2024</t>
  </si>
  <si>
    <t>22-12-2024</t>
  </si>
  <si>
    <t>15-12-2023</t>
  </si>
  <si>
    <t>14-11-2024</t>
  </si>
  <si>
    <t>14-04-2023</t>
  </si>
  <si>
    <t>14-11-2023</t>
  </si>
  <si>
    <t>29-11-2023</t>
  </si>
  <si>
    <t>20-03-2024</t>
  </si>
  <si>
    <t>18-11-2023</t>
  </si>
  <si>
    <t>21-02-2024</t>
  </si>
  <si>
    <t>04-11-2024</t>
  </si>
  <si>
    <t>16-01-2024</t>
  </si>
  <si>
    <t>02-05-2023</t>
  </si>
  <si>
    <t>24-09-2024</t>
  </si>
  <si>
    <t>17-04-2023</t>
  </si>
  <si>
    <t>12-11-2023</t>
  </si>
  <si>
    <t>24-06-2023</t>
  </si>
  <si>
    <t>07-07-2024</t>
  </si>
  <si>
    <t>01-12-2023</t>
  </si>
  <si>
    <t>02-07-2023</t>
  </si>
  <si>
    <t>08-07-2024</t>
  </si>
  <si>
    <t>08-02-2023</t>
  </si>
  <si>
    <t>22-12-2023</t>
  </si>
  <si>
    <t>27-04-2023</t>
  </si>
  <si>
    <t>22-04-2023</t>
  </si>
  <si>
    <t>16-12-2024</t>
  </si>
  <si>
    <t>19-05-2024</t>
  </si>
  <si>
    <t>31-01-2024</t>
  </si>
  <si>
    <t>14-08-2023</t>
  </si>
  <si>
    <t>25-03-2024</t>
  </si>
  <si>
    <t>11-10-2024</t>
  </si>
  <si>
    <t>26-08-2023</t>
  </si>
  <si>
    <t>07-01-2023</t>
  </si>
  <si>
    <t>01-06-2023</t>
  </si>
  <si>
    <t>02-01-2023</t>
  </si>
  <si>
    <t>11-01-2024</t>
  </si>
  <si>
    <t>27-02-2024</t>
  </si>
  <si>
    <t>12-04-2023</t>
  </si>
  <si>
    <t>05-09-2024</t>
  </si>
  <si>
    <t>11-07-2024</t>
  </si>
  <si>
    <t>06-07-2024</t>
  </si>
  <si>
    <t>09-12-2024</t>
  </si>
  <si>
    <t>17-07-2023</t>
  </si>
  <si>
    <t>17-06-2024</t>
  </si>
  <si>
    <t>05-04-2023</t>
  </si>
  <si>
    <t>29-05-2023</t>
  </si>
  <si>
    <t>26-10-2023</t>
  </si>
  <si>
    <t>30-08-2024</t>
  </si>
  <si>
    <t>16-03-2024</t>
  </si>
  <si>
    <t>09-07-2023</t>
  </si>
  <si>
    <t>15-11-2024</t>
  </si>
  <si>
    <t>22-11-2023</t>
  </si>
  <si>
    <t>23-10-2024</t>
  </si>
  <si>
    <t>16-10-2023</t>
  </si>
  <si>
    <t>03-04-2024</t>
  </si>
  <si>
    <t>27-06-2023</t>
  </si>
  <si>
    <t>10-03-2024</t>
  </si>
  <si>
    <t>22-03-2024</t>
  </si>
  <si>
    <t>28-06-2023</t>
  </si>
  <si>
    <t>24-11-2023</t>
  </si>
  <si>
    <t>21-09-2023</t>
  </si>
  <si>
    <t>10-07-2024</t>
  </si>
  <si>
    <t>26-04-2024</t>
  </si>
  <si>
    <t>31-03-2024</t>
  </si>
  <si>
    <t>06-09-2024</t>
  </si>
  <si>
    <t>17-09-2024</t>
  </si>
  <si>
    <t>05-07-2023</t>
  </si>
  <si>
    <t>19-06-2023</t>
  </si>
  <si>
    <t>25-04-2024</t>
  </si>
  <si>
    <t>07-03-2023</t>
  </si>
  <si>
    <t>07-04-2024</t>
  </si>
  <si>
    <t>26-11-2024</t>
  </si>
  <si>
    <t>03-04-2023</t>
  </si>
  <si>
    <t>10-03-2023</t>
  </si>
  <si>
    <t>29-07-2023</t>
  </si>
  <si>
    <t>23-08-2024</t>
  </si>
  <si>
    <t>17-01-2024</t>
  </si>
  <si>
    <t>08-11-2023</t>
  </si>
  <si>
    <t>10-09-2023</t>
  </si>
  <si>
    <t>29-03-2024</t>
  </si>
  <si>
    <t>01-05-2023</t>
  </si>
  <si>
    <t>05-08-2024</t>
  </si>
  <si>
    <t>30-10-2024</t>
  </si>
  <si>
    <t>15-10-2024</t>
  </si>
  <si>
    <t>19-12-2024</t>
  </si>
  <si>
    <t>31-07-2024</t>
  </si>
  <si>
    <t>18-04-2024</t>
  </si>
  <si>
    <t>14-02-2023</t>
  </si>
  <si>
    <t>18-08-2023</t>
  </si>
  <si>
    <t>10-06-2023</t>
  </si>
  <si>
    <t>12-02-2024</t>
  </si>
  <si>
    <t>23-07-2023</t>
  </si>
  <si>
    <t>16-12-2023</t>
  </si>
  <si>
    <t>17-03-2023</t>
  </si>
  <si>
    <t>31-12-2023</t>
  </si>
  <si>
    <t>26-07-2024</t>
  </si>
  <si>
    <t>28-01-2023</t>
  </si>
  <si>
    <t>24-12-2024</t>
  </si>
  <si>
    <t>02-06-2023</t>
  </si>
  <si>
    <t>27-07-2023</t>
  </si>
  <si>
    <t>27-09-2023</t>
  </si>
  <si>
    <t>11-06-2024</t>
  </si>
  <si>
    <t>05-05-2024</t>
  </si>
  <si>
    <t>24-09-2023</t>
  </si>
  <si>
    <t>21-11-2023</t>
  </si>
  <si>
    <t>16-11-2024</t>
  </si>
  <si>
    <t>04-07-2023</t>
  </si>
  <si>
    <t>04-07-2024</t>
  </si>
  <si>
    <t>29-10-2023</t>
  </si>
  <si>
    <t>24-06-2024</t>
  </si>
  <si>
    <t>03-07-2023</t>
  </si>
  <si>
    <t>19-03-2023</t>
  </si>
  <si>
    <t>08-02-2024</t>
  </si>
  <si>
    <t>05-05-2023</t>
  </si>
  <si>
    <t>10-07-2023</t>
  </si>
  <si>
    <t>15-04-2024</t>
  </si>
  <si>
    <t>25-03-2023</t>
  </si>
  <si>
    <t>05-06-2024</t>
  </si>
  <si>
    <t>13-01-2024</t>
  </si>
  <si>
    <t>22-01-2023</t>
  </si>
  <si>
    <t>01-08-2023</t>
  </si>
  <si>
    <t>28-08-2023</t>
  </si>
  <si>
    <t>22-05-2023</t>
  </si>
  <si>
    <t>29-01-2023</t>
  </si>
  <si>
    <t>30-09-2023</t>
  </si>
  <si>
    <t>15-12-2024</t>
  </si>
  <si>
    <t>31-05-2024</t>
  </si>
  <si>
    <t>16-05-2024</t>
  </si>
  <si>
    <t>18-09-2023</t>
  </si>
  <si>
    <t>04-09-2024</t>
  </si>
  <si>
    <t>02-07-2024</t>
  </si>
  <si>
    <t>17-07-2024</t>
  </si>
  <si>
    <t>30-04-2023</t>
  </si>
  <si>
    <t>06-01-2024</t>
  </si>
  <si>
    <t>24-08-2023</t>
  </si>
  <si>
    <t>15-09-2023</t>
  </si>
  <si>
    <t>03-02-2024</t>
  </si>
  <si>
    <t>15-03-2024</t>
  </si>
  <si>
    <t>13-02-2024</t>
  </si>
  <si>
    <t>02-05-2024</t>
  </si>
  <si>
    <t>06-06-2024</t>
  </si>
  <si>
    <t>18-10-2023</t>
  </si>
  <si>
    <t>08-04-2023</t>
  </si>
  <si>
    <t>03-09-2024</t>
  </si>
  <si>
    <t>16-10-2024</t>
  </si>
  <si>
    <t>10-08-2024</t>
  </si>
  <si>
    <t>16-04-2023</t>
  </si>
  <si>
    <t>04-06-2023</t>
  </si>
  <si>
    <t>22-07-2023</t>
  </si>
  <si>
    <t>12-01-2024</t>
  </si>
  <si>
    <t>22-04-2024</t>
  </si>
  <si>
    <t>14-06-2023</t>
  </si>
  <si>
    <t>02-12-2023</t>
  </si>
  <si>
    <t>14-03-2024</t>
  </si>
  <si>
    <t>03-02-2023</t>
  </si>
  <si>
    <t>30-03-2023</t>
  </si>
  <si>
    <t>05-01-2024</t>
  </si>
  <si>
    <t>10-12-2024</t>
  </si>
  <si>
    <t>14-06-2024</t>
  </si>
  <si>
    <t>04-10-2023</t>
  </si>
  <si>
    <t>03-12-2023</t>
  </si>
  <si>
    <t>25-01-2023</t>
  </si>
  <si>
    <t>29-06-2023</t>
  </si>
  <si>
    <t>19-09-2024</t>
  </si>
  <si>
    <t>20-10-2024</t>
  </si>
  <si>
    <t>23-02-2023</t>
  </si>
  <si>
    <t>27-04-2024</t>
  </si>
  <si>
    <t>23-06-2024</t>
  </si>
  <si>
    <t>26-07-2023</t>
  </si>
  <si>
    <t>26-05-2023</t>
  </si>
  <si>
    <t>25-09-2023</t>
  </si>
  <si>
    <t>24-07-2024</t>
  </si>
  <si>
    <t>21-06-2024</t>
  </si>
  <si>
    <t>04-11-2023</t>
  </si>
  <si>
    <t>02-02-2024</t>
  </si>
  <si>
    <t>03-09-2023</t>
  </si>
  <si>
    <t>19-12-2023</t>
  </si>
  <si>
    <t>20-05-2023</t>
  </si>
  <si>
    <t>03-03-2024</t>
  </si>
  <si>
    <t>07-02-2024</t>
  </si>
  <si>
    <t>13-10-2023</t>
  </si>
  <si>
    <t>01-03-2023</t>
  </si>
  <si>
    <t>13-12-2023</t>
  </si>
  <si>
    <t>13-05-2023</t>
  </si>
  <si>
    <t>16-08-2023</t>
  </si>
  <si>
    <t>26-06-2023</t>
  </si>
  <si>
    <t>30-12-2023</t>
  </si>
  <si>
    <t>08-01-2024</t>
  </si>
  <si>
    <t>02-02-2023</t>
  </si>
  <si>
    <t>20-02-2023</t>
  </si>
  <si>
    <t>01-02-2023</t>
  </si>
  <si>
    <t>20-11-2024</t>
  </si>
  <si>
    <t>09-01-2023</t>
  </si>
  <si>
    <t>05-10-2023</t>
  </si>
  <si>
    <t>09-03-2024</t>
  </si>
  <si>
    <t>10-09-2024</t>
  </si>
  <si>
    <t>16-11-2023</t>
  </si>
  <si>
    <t>03-08-2023</t>
  </si>
  <si>
    <t>28-05-2024</t>
  </si>
  <si>
    <t>15-02-2023</t>
  </si>
  <si>
    <t>Row Labels</t>
  </si>
  <si>
    <t>Grand Total</t>
  </si>
  <si>
    <t>Sum of Units_Sold</t>
  </si>
  <si>
    <t>Sum of Total_Sales</t>
  </si>
  <si>
    <t>Sum of Unit_Price</t>
  </si>
  <si>
    <t>Count of Car_Model</t>
  </si>
  <si>
    <t>STATE</t>
  </si>
  <si>
    <t>TOTAL SALE</t>
  </si>
  <si>
    <t>Sum of Profit</t>
  </si>
  <si>
    <t>Average of Engine_Size</t>
  </si>
  <si>
    <t>Average of Mileage_KM</t>
  </si>
  <si>
    <t>MODAL NAME</t>
  </si>
  <si>
    <t>KM</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</si>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</sst>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quot; CR&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xf numFmtId="0" fontId="0" fillId="0" borderId="0" xfId="0" applyNumberFormat="1"/>
  </cellXfs>
  <cellStyles count="1">
    <cellStyle name="Normal" xfId="0" builtinId="0"/>
  </cellStyles>
  <dxfs count="22">
    <dxf>
      <numFmt numFmtId="164" formatCode="0.00,,&quot; CR&quot;"/>
    </dxf>
    <dxf>
      <numFmt numFmtId="165" formatCode="0.0000000"/>
    </dxf>
    <dxf>
      <numFmt numFmtId="2" formatCode="0.00"/>
    </dxf>
    <dxf>
      <numFmt numFmtId="166" formatCode="0.00000000"/>
    </dxf>
    <dxf>
      <numFmt numFmtId="2" formatCode="0.00"/>
    </dxf>
    <dxf>
      <numFmt numFmtId="165" formatCode="0.0000000"/>
    </dxf>
    <dxf>
      <numFmt numFmtId="2" formatCode="0.00"/>
    </dxf>
    <dxf>
      <numFmt numFmtId="166" formatCode="0.00000000"/>
    </dxf>
    <dxf>
      <numFmt numFmtId="2" formatCode="0.00"/>
    </dxf>
    <dxf>
      <numFmt numFmtId="164" formatCode="0.00,,&quot; CR&quot;"/>
    </dxf>
    <dxf>
      <numFmt numFmtId="165" formatCode="0.0000000"/>
    </dxf>
    <dxf>
      <numFmt numFmtId="2" formatCode="0.00"/>
    </dxf>
    <dxf>
      <numFmt numFmtId="166" formatCode="0.00000000"/>
    </dxf>
    <dxf>
      <numFmt numFmtId="2" formatCode="0.00"/>
    </dxf>
    <dxf>
      <numFmt numFmtId="164" formatCode="0.00,,&quot; CR&quot;"/>
    </dxf>
    <dxf>
      <numFmt numFmtId="164" formatCode="0.00,,&quot; CR&quot;"/>
    </dxf>
    <dxf>
      <numFmt numFmtId="2" formatCode="0.00"/>
    </dxf>
    <dxf>
      <numFmt numFmtId="165" formatCode="0.0000000"/>
    </dxf>
    <dxf>
      <numFmt numFmtId="2" formatCode="0.00"/>
    </dxf>
    <dxf>
      <numFmt numFmtId="166" formatCode="0.00000000"/>
    </dxf>
    <dxf>
      <font>
        <b/>
        <color theme="1"/>
      </font>
      <border>
        <bottom style="thin">
          <color theme="4"/>
        </bottom>
        <vertical/>
        <horizontal/>
      </border>
    </dxf>
    <dxf>
      <font>
        <color theme="1"/>
      </font>
      <fill>
        <patternFill patternType="mediumGray">
          <fgColor rgb="FF5BA1A5"/>
          <bgColor auto="1"/>
        </patternFill>
      </fill>
      <border diagonalUp="0" diagonalDown="0">
        <left/>
        <right/>
        <top/>
        <bottom/>
        <vertical/>
        <horizontal/>
      </border>
    </dxf>
  </dxfs>
  <tableStyles count="1" defaultTableStyle="TableStyleMedium9" defaultPivotStyle="PivotStyleLight16">
    <tableStyle name="NK" pivot="0" table="0" count="10" xr9:uid="{FD85AD0F-EB3E-4BD9-B70C-1AF265C66820}">
      <tableStyleElement type="wholeTable" dxfId="21"/>
      <tableStyleElement type="headerRow" dxfId="20"/>
    </tableStyle>
  </tableStyles>
  <colors>
    <mruColors>
      <color rgb="FF5BA1A5"/>
      <color rgb="FF00B4B0"/>
      <color rgb="FF006666"/>
      <color rgb="FF009999"/>
      <color rgb="FF00CC00"/>
      <color rgb="FF33CCCC"/>
      <color rgb="FFFF858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gradientFill>
              <stop position="0">
                <color rgb="FF5BA1A5"/>
              </stop>
              <stop position="1">
                <color theme="0" tint="-5.0965910824915313E-2"/>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TABLE!MONTH WISE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 CR"</c:formatCode>
                <c:ptCount val="12"/>
                <c:pt idx="0">
                  <c:v>804291063</c:v>
                </c:pt>
                <c:pt idx="1">
                  <c:v>613809624</c:v>
                </c:pt>
                <c:pt idx="2">
                  <c:v>520905969</c:v>
                </c:pt>
                <c:pt idx="3">
                  <c:v>656963434</c:v>
                </c:pt>
                <c:pt idx="4">
                  <c:v>632344627</c:v>
                </c:pt>
                <c:pt idx="5">
                  <c:v>601656023</c:v>
                </c:pt>
                <c:pt idx="6">
                  <c:v>615719541</c:v>
                </c:pt>
                <c:pt idx="7">
                  <c:v>588762839</c:v>
                </c:pt>
                <c:pt idx="8">
                  <c:v>631845413</c:v>
                </c:pt>
                <c:pt idx="9">
                  <c:v>704964233</c:v>
                </c:pt>
                <c:pt idx="10">
                  <c:v>612292827</c:v>
                </c:pt>
                <c:pt idx="11">
                  <c:v>604064531</c:v>
                </c:pt>
              </c:numCache>
            </c:numRef>
          </c:val>
          <c:smooth val="0"/>
          <c:extLst>
            <c:ext xmlns:c16="http://schemas.microsoft.com/office/drawing/2014/chart" uri="{C3380CC4-5D6E-409C-BE32-E72D297353CC}">
              <c16:uniqueId val="{00000000-A9B7-4692-AA96-E2F53199E0F1}"/>
            </c:ext>
          </c:extLst>
        </c:ser>
        <c:dLbls>
          <c:showLegendKey val="0"/>
          <c:showVal val="0"/>
          <c:showCatName val="0"/>
          <c:showSerName val="0"/>
          <c:showPercent val="0"/>
          <c:showBubbleSize val="0"/>
        </c:dLbls>
        <c:smooth val="0"/>
        <c:axId val="1548092863"/>
        <c:axId val="1548101503"/>
      </c:lineChart>
      <c:catAx>
        <c:axId val="154809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101503"/>
        <c:crosses val="autoZero"/>
        <c:auto val="1"/>
        <c:lblAlgn val="ctr"/>
        <c:lblOffset val="100"/>
        <c:noMultiLvlLbl val="0"/>
      </c:catAx>
      <c:valAx>
        <c:axId val="1548101503"/>
        <c:scaling>
          <c:orientation val="minMax"/>
        </c:scaling>
        <c:delete val="0"/>
        <c:axPos val="l"/>
        <c:majorGridlines>
          <c:spPr>
            <a:ln w="9525" cap="flat" cmpd="sng" algn="ctr">
              <a:solidFill>
                <a:schemeClr val="tx1">
                  <a:lumMod val="15000"/>
                  <a:lumOff val="85000"/>
                </a:schemeClr>
              </a:solidFill>
              <a:round/>
            </a:ln>
            <a:effectLst/>
          </c:spPr>
        </c:majorGridlines>
        <c:numFmt formatCode="0.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9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Sum of Units_Sold</c:v>
                </c:pt>
              </c:strCache>
            </c:strRef>
          </c:tx>
          <c:spPr>
            <a:solidFill>
              <a:schemeClr val="accent1"/>
            </a:solidFill>
            <a:ln>
              <a:noFill/>
            </a:ln>
            <a:effectLst/>
          </c:spPr>
          <c:invertIfNegative val="0"/>
          <c:cat>
            <c:strRef>
              <c:f>'PIVOT TABLE'!$M$4:$M$9</c:f>
              <c:strCache>
                <c:ptCount val="5"/>
                <c:pt idx="0">
                  <c:v>Amit</c:v>
                </c:pt>
                <c:pt idx="1">
                  <c:v>Karan</c:v>
                </c:pt>
                <c:pt idx="2">
                  <c:v>Neha</c:v>
                </c:pt>
                <c:pt idx="3">
                  <c:v>Priya</c:v>
                </c:pt>
                <c:pt idx="4">
                  <c:v>Raj</c:v>
                </c:pt>
              </c:strCache>
            </c:strRef>
          </c:cat>
          <c:val>
            <c:numRef>
              <c:f>'PIVOT TABLE'!$N$4:$N$9</c:f>
              <c:numCache>
                <c:formatCode>General</c:formatCode>
                <c:ptCount val="5"/>
                <c:pt idx="0">
                  <c:v>914</c:v>
                </c:pt>
                <c:pt idx="1">
                  <c:v>948</c:v>
                </c:pt>
                <c:pt idx="2">
                  <c:v>896</c:v>
                </c:pt>
                <c:pt idx="3">
                  <c:v>943</c:v>
                </c:pt>
                <c:pt idx="4">
                  <c:v>939</c:v>
                </c:pt>
              </c:numCache>
            </c:numRef>
          </c:val>
          <c:extLst>
            <c:ext xmlns:c16="http://schemas.microsoft.com/office/drawing/2014/chart" uri="{C3380CC4-5D6E-409C-BE32-E72D297353CC}">
              <c16:uniqueId val="{00000000-5A02-4F5A-8D3C-7ABC2036A977}"/>
            </c:ext>
          </c:extLst>
        </c:ser>
        <c:dLbls>
          <c:showLegendKey val="0"/>
          <c:showVal val="0"/>
          <c:showCatName val="0"/>
          <c:showSerName val="0"/>
          <c:showPercent val="0"/>
          <c:showBubbleSize val="0"/>
        </c:dLbls>
        <c:gapWidth val="182"/>
        <c:axId val="1548063103"/>
        <c:axId val="1548062143"/>
      </c:barChart>
      <c:lineChart>
        <c:grouping val="standard"/>
        <c:varyColors val="0"/>
        <c:ser>
          <c:idx val="1"/>
          <c:order val="1"/>
          <c:tx>
            <c:strRef>
              <c:f>'PIVOT TABLE'!$O$3</c:f>
              <c:strCache>
                <c:ptCount val="1"/>
                <c:pt idx="0">
                  <c:v>Sum of Total_Sales</c:v>
                </c:pt>
              </c:strCache>
            </c:strRef>
          </c:tx>
          <c:spPr>
            <a:ln w="28575" cap="rnd">
              <a:solidFill>
                <a:schemeClr val="accent2"/>
              </a:solidFill>
              <a:round/>
            </a:ln>
            <a:effectLst/>
          </c:spPr>
          <c:marker>
            <c:symbol val="none"/>
          </c:marker>
          <c:cat>
            <c:strRef>
              <c:f>'PIVOT TABLE'!$M$4:$M$9</c:f>
              <c:strCache>
                <c:ptCount val="5"/>
                <c:pt idx="0">
                  <c:v>Amit</c:v>
                </c:pt>
                <c:pt idx="1">
                  <c:v>Karan</c:v>
                </c:pt>
                <c:pt idx="2">
                  <c:v>Neha</c:v>
                </c:pt>
                <c:pt idx="3">
                  <c:v>Priya</c:v>
                </c:pt>
                <c:pt idx="4">
                  <c:v>Raj</c:v>
                </c:pt>
              </c:strCache>
            </c:strRef>
          </c:cat>
          <c:val>
            <c:numRef>
              <c:f>'PIVOT TABLE'!$O$4:$O$9</c:f>
              <c:numCache>
                <c:formatCode>General</c:formatCode>
                <c:ptCount val="5"/>
                <c:pt idx="0">
                  <c:v>957523912</c:v>
                </c:pt>
                <c:pt idx="1">
                  <c:v>1013027492</c:v>
                </c:pt>
                <c:pt idx="2">
                  <c:v>935293054</c:v>
                </c:pt>
                <c:pt idx="3">
                  <c:v>975561320</c:v>
                </c:pt>
                <c:pt idx="4">
                  <c:v>999302672</c:v>
                </c:pt>
              </c:numCache>
            </c:numRef>
          </c:val>
          <c:smooth val="0"/>
          <c:extLst>
            <c:ext xmlns:c16="http://schemas.microsoft.com/office/drawing/2014/chart" uri="{C3380CC4-5D6E-409C-BE32-E72D297353CC}">
              <c16:uniqueId val="{00000002-5A02-4F5A-8D3C-7ABC2036A977}"/>
            </c:ext>
          </c:extLst>
        </c:ser>
        <c:dLbls>
          <c:showLegendKey val="0"/>
          <c:showVal val="0"/>
          <c:showCatName val="0"/>
          <c:showSerName val="0"/>
          <c:showPercent val="0"/>
          <c:showBubbleSize val="0"/>
        </c:dLbls>
        <c:marker val="1"/>
        <c:smooth val="0"/>
        <c:axId val="1705699935"/>
        <c:axId val="1705701855"/>
      </c:lineChart>
      <c:catAx>
        <c:axId val="154806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62143"/>
        <c:crosses val="autoZero"/>
        <c:auto val="1"/>
        <c:lblAlgn val="ctr"/>
        <c:lblOffset val="100"/>
        <c:noMultiLvlLbl val="0"/>
      </c:catAx>
      <c:valAx>
        <c:axId val="154806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63103"/>
        <c:crosses val="autoZero"/>
        <c:crossBetween val="between"/>
      </c:valAx>
      <c:valAx>
        <c:axId val="17057018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99935"/>
        <c:crosses val="max"/>
        <c:crossBetween val="between"/>
      </c:valAx>
      <c:catAx>
        <c:axId val="1705699935"/>
        <c:scaling>
          <c:orientation val="minMax"/>
        </c:scaling>
        <c:delete val="1"/>
        <c:axPos val="b"/>
        <c:numFmt formatCode="General" sourceLinked="1"/>
        <c:majorTickMark val="out"/>
        <c:minorTickMark val="none"/>
        <c:tickLblPos val="nextTo"/>
        <c:crossAx val="17057018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TABLE!MODAL SELES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TABLE'!$U$4</c:f>
              <c:strCache>
                <c:ptCount val="1"/>
                <c:pt idx="0">
                  <c:v>Total</c:v>
                </c:pt>
              </c:strCache>
            </c:strRef>
          </c:tx>
          <c:spPr>
            <a:solidFill>
              <a:schemeClr val="accent1"/>
            </a:solidFill>
            <a:ln>
              <a:noFill/>
            </a:ln>
            <a:effectLst/>
          </c:spPr>
          <c:invertIfNegative val="0"/>
          <c:cat>
            <c:strRef>
              <c:f>'PIVOT TABLE'!$T$5:$T$10</c:f>
              <c:strCache>
                <c:ptCount val="5"/>
                <c:pt idx="0">
                  <c:v>Baleno</c:v>
                </c:pt>
                <c:pt idx="1">
                  <c:v>Creta</c:v>
                </c:pt>
                <c:pt idx="2">
                  <c:v>i20</c:v>
                </c:pt>
                <c:pt idx="3">
                  <c:v>Nexon</c:v>
                </c:pt>
                <c:pt idx="4">
                  <c:v>Scorpio</c:v>
                </c:pt>
              </c:strCache>
            </c:strRef>
          </c:cat>
          <c:val>
            <c:numRef>
              <c:f>'PIVOT TABLE'!$U$5:$U$10</c:f>
              <c:numCache>
                <c:formatCode>General</c:formatCode>
                <c:ptCount val="5"/>
                <c:pt idx="0">
                  <c:v>170</c:v>
                </c:pt>
                <c:pt idx="1">
                  <c:v>167</c:v>
                </c:pt>
                <c:pt idx="2">
                  <c:v>169</c:v>
                </c:pt>
                <c:pt idx="3">
                  <c:v>178</c:v>
                </c:pt>
                <c:pt idx="4">
                  <c:v>159</c:v>
                </c:pt>
              </c:numCache>
            </c:numRef>
          </c:val>
          <c:extLst>
            <c:ext xmlns:c16="http://schemas.microsoft.com/office/drawing/2014/chart" uri="{C3380CC4-5D6E-409C-BE32-E72D297353CC}">
              <c16:uniqueId val="{00000000-8A8E-43AD-AF87-03E0AF465B1D}"/>
            </c:ext>
          </c:extLst>
        </c:ser>
        <c:dLbls>
          <c:showLegendKey val="0"/>
          <c:showVal val="0"/>
          <c:showCatName val="0"/>
          <c:showSerName val="0"/>
          <c:showPercent val="0"/>
          <c:showBubbleSize val="0"/>
        </c:dLbls>
        <c:gapWidth val="219"/>
        <c:overlap val="-27"/>
        <c:axId val="1548097183"/>
        <c:axId val="1548105343"/>
      </c:barChart>
      <c:catAx>
        <c:axId val="154809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105343"/>
        <c:crosses val="autoZero"/>
        <c:auto val="1"/>
        <c:lblAlgn val="ctr"/>
        <c:lblOffset val="100"/>
        <c:noMultiLvlLbl val="0"/>
      </c:catAx>
      <c:valAx>
        <c:axId val="154810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9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TABLE!ENGIAN SIZE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TABLE'!$AF$36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DA-4ECE-8C20-C3E5425BCBE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DA-4ECE-8C20-C3E5425BCBE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5DA-4ECE-8C20-C3E5425BCBE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5DA-4ECE-8C20-C3E5425BCBE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5DA-4ECE-8C20-C3E5425BCBE8}"/>
              </c:ext>
            </c:extLst>
          </c:dPt>
          <c:cat>
            <c:strRef>
              <c:f>'PIVOT TABLE'!$AE$37:$AE$42</c:f>
              <c:strCache>
                <c:ptCount val="5"/>
                <c:pt idx="0">
                  <c:v>Baleno</c:v>
                </c:pt>
                <c:pt idx="1">
                  <c:v>Brezza</c:v>
                </c:pt>
                <c:pt idx="2">
                  <c:v>City</c:v>
                </c:pt>
                <c:pt idx="3">
                  <c:v>Nexon</c:v>
                </c:pt>
                <c:pt idx="4">
                  <c:v>Swift</c:v>
                </c:pt>
              </c:strCache>
            </c:strRef>
          </c:cat>
          <c:val>
            <c:numRef>
              <c:f>'PIVOT TABLE'!$AF$37:$AF$42</c:f>
              <c:numCache>
                <c:formatCode>0.00</c:formatCode>
                <c:ptCount val="5"/>
                <c:pt idx="0">
                  <c:v>1.4464705882352924</c:v>
                </c:pt>
                <c:pt idx="1">
                  <c:v>1.4436708860759484</c:v>
                </c:pt>
                <c:pt idx="2">
                  <c:v>1.4718518518518511</c:v>
                </c:pt>
                <c:pt idx="3">
                  <c:v>1.4370786516853917</c:v>
                </c:pt>
                <c:pt idx="4">
                  <c:v>1.4381578947368414</c:v>
                </c:pt>
              </c:numCache>
            </c:numRef>
          </c:val>
          <c:extLst>
            <c:ext xmlns:c16="http://schemas.microsoft.com/office/drawing/2014/chart" uri="{C3380CC4-5D6E-409C-BE32-E72D297353CC}">
              <c16:uniqueId val="{00000000-80C4-452D-A419-DCCFB260181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Sum of Units_Sold</c:v>
                </c:pt>
              </c:strCache>
            </c:strRef>
          </c:tx>
          <c:spPr>
            <a:solidFill>
              <a:schemeClr val="accent1"/>
            </a:solidFill>
            <a:ln>
              <a:noFill/>
            </a:ln>
            <a:effectLst/>
          </c:spPr>
          <c:invertIfNegative val="0"/>
          <c:cat>
            <c:strRef>
              <c:f>'PIVOT TABLE'!$M$4:$M$9</c:f>
              <c:strCache>
                <c:ptCount val="5"/>
                <c:pt idx="0">
                  <c:v>Amit</c:v>
                </c:pt>
                <c:pt idx="1">
                  <c:v>Karan</c:v>
                </c:pt>
                <c:pt idx="2">
                  <c:v>Neha</c:v>
                </c:pt>
                <c:pt idx="3">
                  <c:v>Priya</c:v>
                </c:pt>
                <c:pt idx="4">
                  <c:v>Raj</c:v>
                </c:pt>
              </c:strCache>
            </c:strRef>
          </c:cat>
          <c:val>
            <c:numRef>
              <c:f>'PIVOT TABLE'!$N$4:$N$9</c:f>
              <c:numCache>
                <c:formatCode>General</c:formatCode>
                <c:ptCount val="5"/>
                <c:pt idx="0">
                  <c:v>914</c:v>
                </c:pt>
                <c:pt idx="1">
                  <c:v>948</c:v>
                </c:pt>
                <c:pt idx="2">
                  <c:v>896</c:v>
                </c:pt>
                <c:pt idx="3">
                  <c:v>943</c:v>
                </c:pt>
                <c:pt idx="4">
                  <c:v>939</c:v>
                </c:pt>
              </c:numCache>
            </c:numRef>
          </c:val>
          <c:extLst>
            <c:ext xmlns:c16="http://schemas.microsoft.com/office/drawing/2014/chart" uri="{C3380CC4-5D6E-409C-BE32-E72D297353CC}">
              <c16:uniqueId val="{00000000-7563-40CE-BD34-A8B6ADCCB3C7}"/>
            </c:ext>
          </c:extLst>
        </c:ser>
        <c:dLbls>
          <c:showLegendKey val="0"/>
          <c:showVal val="0"/>
          <c:showCatName val="0"/>
          <c:showSerName val="0"/>
          <c:showPercent val="0"/>
          <c:showBubbleSize val="0"/>
        </c:dLbls>
        <c:gapWidth val="182"/>
        <c:axId val="1548063103"/>
        <c:axId val="1548062143"/>
      </c:barChart>
      <c:lineChart>
        <c:grouping val="standard"/>
        <c:varyColors val="0"/>
        <c:ser>
          <c:idx val="1"/>
          <c:order val="1"/>
          <c:tx>
            <c:strRef>
              <c:f>'PIVOT TABLE'!$O$3</c:f>
              <c:strCache>
                <c:ptCount val="1"/>
                <c:pt idx="0">
                  <c:v>Sum of Total_Sales</c:v>
                </c:pt>
              </c:strCache>
            </c:strRef>
          </c:tx>
          <c:spPr>
            <a:ln w="28575" cap="rnd">
              <a:solidFill>
                <a:schemeClr val="accent2"/>
              </a:solidFill>
              <a:round/>
            </a:ln>
            <a:effectLst/>
          </c:spPr>
          <c:marker>
            <c:symbol val="none"/>
          </c:marker>
          <c:cat>
            <c:strRef>
              <c:f>'PIVOT TABLE'!$M$4:$M$9</c:f>
              <c:strCache>
                <c:ptCount val="5"/>
                <c:pt idx="0">
                  <c:v>Amit</c:v>
                </c:pt>
                <c:pt idx="1">
                  <c:v>Karan</c:v>
                </c:pt>
                <c:pt idx="2">
                  <c:v>Neha</c:v>
                </c:pt>
                <c:pt idx="3">
                  <c:v>Priya</c:v>
                </c:pt>
                <c:pt idx="4">
                  <c:v>Raj</c:v>
                </c:pt>
              </c:strCache>
            </c:strRef>
          </c:cat>
          <c:val>
            <c:numRef>
              <c:f>'PIVOT TABLE'!$O$4:$O$9</c:f>
              <c:numCache>
                <c:formatCode>General</c:formatCode>
                <c:ptCount val="5"/>
                <c:pt idx="0">
                  <c:v>957523912</c:v>
                </c:pt>
                <c:pt idx="1">
                  <c:v>1013027492</c:v>
                </c:pt>
                <c:pt idx="2">
                  <c:v>935293054</c:v>
                </c:pt>
                <c:pt idx="3">
                  <c:v>975561320</c:v>
                </c:pt>
                <c:pt idx="4">
                  <c:v>999302672</c:v>
                </c:pt>
              </c:numCache>
            </c:numRef>
          </c:val>
          <c:smooth val="0"/>
          <c:extLst>
            <c:ext xmlns:c16="http://schemas.microsoft.com/office/drawing/2014/chart" uri="{C3380CC4-5D6E-409C-BE32-E72D297353CC}">
              <c16:uniqueId val="{00000001-7563-40CE-BD34-A8B6ADCCB3C7}"/>
            </c:ext>
          </c:extLst>
        </c:ser>
        <c:dLbls>
          <c:showLegendKey val="0"/>
          <c:showVal val="0"/>
          <c:showCatName val="0"/>
          <c:showSerName val="0"/>
          <c:showPercent val="0"/>
          <c:showBubbleSize val="0"/>
        </c:dLbls>
        <c:marker val="1"/>
        <c:smooth val="0"/>
        <c:axId val="1705699935"/>
        <c:axId val="1705701855"/>
      </c:lineChart>
      <c:catAx>
        <c:axId val="1548063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8062143"/>
        <c:crosses val="autoZero"/>
        <c:auto val="1"/>
        <c:lblAlgn val="ctr"/>
        <c:lblOffset val="100"/>
        <c:noMultiLvlLbl val="0"/>
      </c:catAx>
      <c:valAx>
        <c:axId val="15480621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8063103"/>
        <c:crosses val="autoZero"/>
        <c:crossBetween val="between"/>
      </c:valAx>
      <c:valAx>
        <c:axId val="17057018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5699935"/>
        <c:crosses val="max"/>
        <c:crossBetween val="between"/>
      </c:valAx>
      <c:catAx>
        <c:axId val="1705699935"/>
        <c:scaling>
          <c:orientation val="minMax"/>
        </c:scaling>
        <c:delete val="1"/>
        <c:axPos val="t"/>
        <c:numFmt formatCode="General" sourceLinked="1"/>
        <c:majorTickMark val="out"/>
        <c:minorTickMark val="none"/>
        <c:tickLblPos val="nextTo"/>
        <c:crossAx val="1705701855"/>
        <c:crosses val="max"/>
        <c:auto val="1"/>
        <c:lblAlgn val="ctr"/>
        <c:lblOffset val="100"/>
        <c:noMultiLvlLbl val="0"/>
      </c:catAx>
      <c:spPr>
        <a:noFill/>
        <a:ln>
          <a:noFill/>
        </a:ln>
        <a:effectLst/>
      </c:spPr>
    </c:plotArea>
    <c:legend>
      <c:legendPos val="t"/>
      <c:layout>
        <c:manualLayout>
          <c:xMode val="edge"/>
          <c:yMode val="edge"/>
          <c:x val="0.05"/>
          <c:y val="3.5161744022503515E-2"/>
          <c:w val="0.9"/>
          <c:h val="0.118671716668327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TABLE!MODAL SELES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43859770832735E-3"/>
          <c:y val="2.3115924502611321E-3"/>
          <c:w val="0.82798462202668532"/>
          <c:h val="0.73973921068085668"/>
        </c:manualLayout>
      </c:layout>
      <c:barChart>
        <c:barDir val="col"/>
        <c:grouping val="clustered"/>
        <c:varyColors val="0"/>
        <c:ser>
          <c:idx val="0"/>
          <c:order val="0"/>
          <c:tx>
            <c:strRef>
              <c:f>'PIVOT TABLE'!$U$4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TABLE'!$T$5:$T$10</c:f>
              <c:strCache>
                <c:ptCount val="5"/>
                <c:pt idx="0">
                  <c:v>Baleno</c:v>
                </c:pt>
                <c:pt idx="1">
                  <c:v>Creta</c:v>
                </c:pt>
                <c:pt idx="2">
                  <c:v>i20</c:v>
                </c:pt>
                <c:pt idx="3">
                  <c:v>Nexon</c:v>
                </c:pt>
                <c:pt idx="4">
                  <c:v>Scorpio</c:v>
                </c:pt>
              </c:strCache>
            </c:strRef>
          </c:cat>
          <c:val>
            <c:numRef>
              <c:f>'PIVOT TABLE'!$U$5:$U$10</c:f>
              <c:numCache>
                <c:formatCode>General</c:formatCode>
                <c:ptCount val="5"/>
                <c:pt idx="0">
                  <c:v>170</c:v>
                </c:pt>
                <c:pt idx="1">
                  <c:v>167</c:v>
                </c:pt>
                <c:pt idx="2">
                  <c:v>169</c:v>
                </c:pt>
                <c:pt idx="3">
                  <c:v>178</c:v>
                </c:pt>
                <c:pt idx="4">
                  <c:v>159</c:v>
                </c:pt>
              </c:numCache>
            </c:numRef>
          </c:val>
          <c:extLst>
            <c:ext xmlns:c16="http://schemas.microsoft.com/office/drawing/2014/chart" uri="{C3380CC4-5D6E-409C-BE32-E72D297353CC}">
              <c16:uniqueId val="{00000000-3DFB-40CF-AA3F-AE6565389C7D}"/>
            </c:ext>
          </c:extLst>
        </c:ser>
        <c:dLbls>
          <c:dLblPos val="outEnd"/>
          <c:showLegendKey val="0"/>
          <c:showVal val="1"/>
          <c:showCatName val="0"/>
          <c:showSerName val="0"/>
          <c:showPercent val="0"/>
          <c:showBubbleSize val="0"/>
        </c:dLbls>
        <c:gapWidth val="100"/>
        <c:overlap val="-24"/>
        <c:axId val="1548097183"/>
        <c:axId val="1548105343"/>
      </c:barChart>
      <c:catAx>
        <c:axId val="154809718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8105343"/>
        <c:crosses val="autoZero"/>
        <c:auto val="1"/>
        <c:lblAlgn val="ctr"/>
        <c:lblOffset val="100"/>
        <c:noMultiLvlLbl val="0"/>
      </c:catAx>
      <c:valAx>
        <c:axId val="1548105343"/>
        <c:scaling>
          <c:orientation val="minMax"/>
        </c:scaling>
        <c:delete val="1"/>
        <c:axPos val="l"/>
        <c:numFmt formatCode="General" sourceLinked="1"/>
        <c:majorTickMark val="out"/>
        <c:minorTickMark val="none"/>
        <c:tickLblPos val="nextTo"/>
        <c:crossAx val="154809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TABLE!MONTH WISE</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6344024070162"/>
          <c:y val="8.3642792467535435E-2"/>
          <c:w val="0.95416666666666672"/>
          <c:h val="0.76924245805306724"/>
        </c:manualLayout>
      </c:layout>
      <c:lineChart>
        <c:grouping val="standard"/>
        <c:varyColors val="0"/>
        <c:ser>
          <c:idx val="0"/>
          <c:order val="0"/>
          <c:tx>
            <c:strRef>
              <c:f>'PIVOT TABLE'!$B$3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 CR"</c:formatCode>
                <c:ptCount val="12"/>
                <c:pt idx="0">
                  <c:v>804291063</c:v>
                </c:pt>
                <c:pt idx="1">
                  <c:v>613809624</c:v>
                </c:pt>
                <c:pt idx="2">
                  <c:v>520905969</c:v>
                </c:pt>
                <c:pt idx="3">
                  <c:v>656963434</c:v>
                </c:pt>
                <c:pt idx="4">
                  <c:v>632344627</c:v>
                </c:pt>
                <c:pt idx="5">
                  <c:v>601656023</c:v>
                </c:pt>
                <c:pt idx="6">
                  <c:v>615719541</c:v>
                </c:pt>
                <c:pt idx="7">
                  <c:v>588762839</c:v>
                </c:pt>
                <c:pt idx="8">
                  <c:v>631845413</c:v>
                </c:pt>
                <c:pt idx="9">
                  <c:v>704964233</c:v>
                </c:pt>
                <c:pt idx="10">
                  <c:v>612292827</c:v>
                </c:pt>
                <c:pt idx="11">
                  <c:v>604064531</c:v>
                </c:pt>
              </c:numCache>
            </c:numRef>
          </c:val>
          <c:smooth val="0"/>
          <c:extLst>
            <c:ext xmlns:c16="http://schemas.microsoft.com/office/drawing/2014/chart" uri="{C3380CC4-5D6E-409C-BE32-E72D297353CC}">
              <c16:uniqueId val="{00000000-EB67-4C61-A04D-016BCD5BE04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48092863"/>
        <c:axId val="1548101503"/>
      </c:lineChart>
      <c:catAx>
        <c:axId val="15480928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chemeClr val="bg1"/>
                </a:solidFill>
                <a:latin typeface="+mn-lt"/>
                <a:ea typeface="+mn-ea"/>
                <a:cs typeface="+mn-cs"/>
              </a:defRPr>
            </a:pPr>
            <a:endParaRPr lang="en-US"/>
          </a:p>
        </c:txPr>
        <c:crossAx val="1548101503"/>
        <c:crosses val="autoZero"/>
        <c:auto val="1"/>
        <c:lblAlgn val="ctr"/>
        <c:lblOffset val="100"/>
        <c:noMultiLvlLbl val="0"/>
      </c:catAx>
      <c:valAx>
        <c:axId val="1548101503"/>
        <c:scaling>
          <c:orientation val="minMax"/>
        </c:scaling>
        <c:delete val="0"/>
        <c:axPos val="l"/>
        <c:numFmt formatCode="0.00,,&quot; C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809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[Car_Sales_Data DASHBORD.xlsx]PIVOT TABLE!ENGIAN SIZE</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13"/>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807603595005168E-2"/>
          <c:y val="0.1850939157296696"/>
          <c:w val="0.9000908265213442"/>
          <c:h val="0.70202444813920173"/>
        </c:manualLayout>
      </c:layout>
      <c:pie3DChart>
        <c:varyColors val="1"/>
        <c:ser>
          <c:idx val="0"/>
          <c:order val="0"/>
          <c:tx>
            <c:strRef>
              <c:f>'PIVOT TABLE'!$AF$36</c:f>
              <c:strCache>
                <c:ptCount val="1"/>
                <c:pt idx="0">
                  <c:v>Total</c:v>
                </c:pt>
              </c:strCache>
            </c:strRef>
          </c:tx>
          <c:explosion val="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6B-4DCE-BC0A-9AB9DA749F1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6B-4DCE-BC0A-9AB9DA749F1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6B-4DCE-BC0A-9AB9DA749F1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06B-4DCE-BC0A-9AB9DA749F1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06B-4DCE-BC0A-9AB9DA749F1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06B-4DCE-BC0A-9AB9DA749F1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06B-4DCE-BC0A-9AB9DA749F1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06B-4DCE-BC0A-9AB9DA749F1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06B-4DCE-BC0A-9AB9DA749F1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06B-4DCE-BC0A-9AB9DA749F1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TABLE'!$AE$37:$AE$42</c:f>
              <c:strCache>
                <c:ptCount val="5"/>
                <c:pt idx="0">
                  <c:v>Baleno</c:v>
                </c:pt>
                <c:pt idx="1">
                  <c:v>Brezza</c:v>
                </c:pt>
                <c:pt idx="2">
                  <c:v>City</c:v>
                </c:pt>
                <c:pt idx="3">
                  <c:v>Nexon</c:v>
                </c:pt>
                <c:pt idx="4">
                  <c:v>Swift</c:v>
                </c:pt>
              </c:strCache>
            </c:strRef>
          </c:cat>
          <c:val>
            <c:numRef>
              <c:f>'PIVOT TABLE'!$AF$37:$AF$42</c:f>
              <c:numCache>
                <c:formatCode>0.00</c:formatCode>
                <c:ptCount val="5"/>
                <c:pt idx="0">
                  <c:v>1.4464705882352924</c:v>
                </c:pt>
                <c:pt idx="1">
                  <c:v>1.4436708860759484</c:v>
                </c:pt>
                <c:pt idx="2">
                  <c:v>1.4718518518518511</c:v>
                </c:pt>
                <c:pt idx="3">
                  <c:v>1.4370786516853917</c:v>
                </c:pt>
                <c:pt idx="4">
                  <c:v>1.4381578947368414</c:v>
                </c:pt>
              </c:numCache>
            </c:numRef>
          </c:val>
          <c:extLst>
            <c:ext xmlns:c16="http://schemas.microsoft.com/office/drawing/2014/chart" uri="{C3380CC4-5D6E-409C-BE32-E72D297353CC}">
              <c16:uniqueId val="{00000014-806B-4DCE-BC0A-9AB9DA749F1A}"/>
            </c:ext>
          </c:extLst>
        </c:ser>
        <c:dLbls>
          <c:showLegendKey val="0"/>
          <c:showVal val="0"/>
          <c:showCatName val="0"/>
          <c:showSerName val="0"/>
          <c:showPercent val="0"/>
          <c:showBubbleSize val="0"/>
          <c:showLeaderLines val="1"/>
        </c:dLbls>
      </c:pie3DChart>
      <c:spPr>
        <a:noFill/>
        <a:ln>
          <a:noFill/>
        </a:ln>
        <a:effectLst/>
      </c:spPr>
    </c:plotArea>
    <c:legend>
      <c:legendPos val="t"/>
      <c:layout>
        <c:manualLayout>
          <c:xMode val="edge"/>
          <c:yMode val="edge"/>
          <c:x val="0"/>
          <c:y val="4.0816326530612242E-2"/>
          <c:w val="0.92307375413024828"/>
          <c:h val="0.114796721838341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2D8709C1-3FC1-4DF0-AC0F-72BEA08080BF}">
          <cx:tx>
            <cx:txData>
              <cx:f>_xlchart.v5.5</cx:f>
              <cx:v>TOTAL SALE</cx:v>
            </cx:txData>
          </cx:tx>
          <cx:dataId val="0"/>
          <cx:layoutPr>
            <cx:geography cultureLanguage="en-US" cultureRegion="IN" attribution="Powered by Bing">
              <cx:geoCache provider="{E9337A44-BEBE-4D9F-B70C-5C5E7DAFC167}">
                <cx:binary>1H1Zc9y4ku5fcfj5Uo0d4MT0RAyrSpTkTd7a7X5hyLZMgjsBgtuvnywvfSUcyeqD8Y249ktHi0Uw
mYkvM5H5AfzPj8t/fKyvr8yjpalb+x8fl98fF+PY/8dvv9mPxXVzZU8a/dF0tvs8nnzsmt+6z5/1
x+vfPpmrWbf5bwRh9tvH4sqM18vj//pPGC2/7p52H69G3bUv3bVZX11bV4/2B9fuvPTo6lOj2722
o9EfR/z74/+29qp5/Oi6HfW4vln7698f3/rJ40e/+QP9y0Mf1SDX6D7BvUScUM6oirGKv/57/Kju
2vzb5ZicKCJ5jGL69Sr9/ujnVw3c/qA0X2S5+vTJXFsL7/Llv3/fdktw+Ovrx48+dq4dj9rKQXG/
Pz5vP+mrx4+07XZfL+y6o9Tnz7+85m+39fxf/+n9AV7c+8sNU/haeujSv1gi0WDv7+r4CZbgJ0LG
imNO0Zd/+JYlFFxGsRAsJt+f+dUED4pxtwm+3eaZIHn1S5lgf10X+rs6foIJ1IlglMZIiLtMIOUJ
xpxJsNFXMIjvj/5qiQeludsS327zLLF/+ktZIu0Apj/LKWF+QgUlNCZ3OiXJThAnIhaEfLUD//7o
r3Z4QJa7rfDlJs8G6X//UjZ4cmXaq/Gq+pmWYCcSI0YYI3ciQpxgcFrgsu4OD/9IorvtceNWzypP
fi2rpK68Mlfj9yn6E7wUORExEVjeYxN8wmOJBLiqO73UP5Dnbov8faNnj/Ti10LJtbmqfyZE0Alj
sZJSslsBW4oThhQRDH8LJl7cfvKgHHeb4ft9nhWe/Frx4gJyp6q4aj/9RFzQE8EFJrH65ozULXtA
AsXBGJSIb0EFzPU1YH2NGv9IortNcuNWzyoXZ78UNp5dgVmubDGanwmQ+IRxghSFZcQdiS3gBCMV
U8K+uqvYi+b/UKa7LXPrZs82z34t27z4pG3xE81C0AnHFDEGdvn67zZc2AkjCpaG6JvVPLM8LM7d
Fvl+n2eMF7/WwuPSteXVh+8O5H8f0yk6UYxAxCbylhUkP4H4ocAG8quNvPX3w3LcbYXv93lWuEx+
KXf16qq8siNEkZ9nCKiHcMUoI/HdS0AKdgJLKCa/+jLPHv9IortNcuNWzyqvfq0E681Vo+tHz68+
uZ9nFoxPEBYYIXU7qEsFSZZEBHHAzc1o/s+EuNsSN+/1TPEGCk+/UInqzXV91eZX7U8MG1ieKIQE
h4LhbU8VnyAEuIj5tzgOl28Z5J+Ico89/u+tvjnSX8ocby+/6+R/HzHAUcWEQr4LoLgjq1IQ3YWg
nHxPhj1H9XYcodh9aa4+XdviR1LdbRLvds8sx/f8hVDy7tqOj5JrAEr9I038m4V1iBScYY7k7Yiu
5EksoXjFvi1S/HT3Hwpzt1lu3ewZ5d3/37H97vlys6J46xf/bpuDQJuDcAgh3+I29p0XFBwFk+zu
msm3NsT90txtjm+33RL8/3FP4/5+x99doD3UCA9f2kc3Wh4/vvrl9aCj5d36zcF/dWa33vI7js4/
/f4YY/A9fzeljkPcCgy3dPv3768hsfv9cSwh/cWSck6ZgEKjiB8/mgGtvz8W6gTHUIdXCFaViiAK
Bm07Mxa/P6byBEAHEUogEVNY3cBC33bueEmcSIEAeUoSCXl1DL2U76922dVr3rV/6+Hb/z9qXXPZ
6Xa0vz+GcfqvvzqKGREM80VyfkRw//HqFfQB4Uf4/9hsybpKx+KswPuYv7AT5G9/v/+/Me7xeTfG
jYmehK0XeRh5URfJtq3ru4KI5Wsz7Gsv7N8YHqxyc/hSRtU6L608FGYw5tUsNpS/yZet+/xj8aEL
cqdayO3x42arlKsycYgJt9vLHjcxSgpacpwghhqSMDqM2emPH3afDcD8N1/Ggu3LOW/FYbFU0UQh
mpukW4X668fjg7O+82XQ7fFlPKC+jFdxcLhnzzCeWfN6RiUST1c1tksayU2YpFmH/tWPH3jPCymY
6TdfqFeon+TxgVMdy+WiK1zmdsy6Qh9+/IDjQHfM2mMiffMBSm8zGh3lh7mycr4QK83Irq8sKZ7y
qijJM+wqV+0GO7SrTFDN8HCK2mIyZz9+Pj6q7i4Bjqq+Mb172diK25UfXJ5Pw04RlUqKP/cVHeYq
GfJ5ahK3yuhpN+e4OjjSdapNolyRBmqfAQBTx5l7Q4I6X5up5jOoQBG+o6b7LPmsH3i/+wzoeYUO
kDqrdeSHdbXyT9StXZJNrnwRJrrnG2pVamGp4YeKan2NgKjwtI105XZhw3u+oYtm3g8F54d6lNMf
eB5YsmSbDPM8yvMMpp7LvicDP4xdtG0HtEST2Yu+62Sg+J43IEuO1VqX4A065srdKsTCkmEAKO3D
9OO5A1KuUdvZPkrbbpXi0kKpbvyjGcfoAd95z+SRHvqtQg7NC1fp1uHmsOYsMsmiK2seUNBxEt6B
PemBP+4qVjuyZmkXqa05nQ3up0M9r1jvB12wOPAxHsQp6zI195FMx9GR8awVXYsOW4vr5dDrcV7C
oCY9HA/dNGR0aVTak2p7U5m1eNFKEb/5sa3v05UH5LlaFJ4h7UhJtOhDbY2kT3O2dsO7iqtqeUBV
91n8+PcbvqhQeV8p2avU1Gw9j5oNvYhzbGrI4gNcnaS3h+8yvSJQjkidHMiSoHJh78XW9Yew4T1E
u0l2UgGNIp1qsMBY582BuUj2gdJ7eHaatmu9lipldqrABqtaosSiVW+BD/DwXMURH+IFtB/jZmjP
e8zb+WBKuc2XQQo6Jq43zSvJSi2OFpHGttB/SGXt5aLzYX1A/uNMvwPPwsNzE08zL10u06a2Q/ZK
Ns3g/qDDFqOLMSpi+RJyXSrOw97FQ7VcDVBmoAKX9pSN+mzc6BInRdXMKAzPwsPzotdBjMTItLJ5
z85tQyaVlI6Zh2LzUS13qcuD9JqXOWpmmE9DtvZmX+ZUyssm2iZxkY9ZUx2WnKztn3Wj6F+uzef2
Ac3dl/MID+X1kmey22bwu7Wq+4sispmEzL6KIa1T41yyMWnHcpt2uhB9c1otWy73gs20ez2hUbhA
BXveYM1EJFUVZWkjI7enepapkjV9YDLiIyzvUi+5Pdn5NC56IEOcUrSZ7rDhbBoPPNu2+qyPqVxf
5LbpPvcRm5sztqmWP18oJe0zIpUq/1QV4fwBUe7xqsJzHKoted/NmqW9zCzdiS2+7pdlHsKctvDc
Rm2owOtSytRE/ZzmI2Z1klOVfwoCGvechsNGqLLMWZr3i3rPIZQ+tyhqwnw293zGQPO2jCIZp7yG
lczOYdVsidNmtQ/MsntQdizJ3/R5Vg8rJ4tR6bjOGTlXzBj0YekxIK4gBeqSVru+Scgm+vxj32yW
hJmFe/6Dzm0Nk8iIVKiscUk/ENskq2NRYLjgnv/Y2FYNThh5cAPHB7FO+X4TXbQPM7vnJEQWo7Yc
li21Lh/TrZVlIkxfPuCD7oEE97APTZUiWiA0pCXRzY6MuNxna0cCJ5UHfVj1dArrbksJrBsTVOB3
bc4eylrvE91DMxZ9y5Y639JcruMzt7YIcoGhwGXgvPHgXJRu7KlZtzTKmvicTEu1z6hiaZBZmYdm
2k+8HysYfcwI281U2sQ2WIfJzjw0q5ZsapJg1mgkxa6ibkpEJVmYH2UelEsUGTRndksHrOtTG7f5
buJsO/2xZo6wuSNeMA+vbcaLbcPRnM4Rv4ZlZzWdsrHq23ScpQh8Aw+ydJJTW1bZnFIA7qt47MoD
Zl0VthxnHmTHFlKheRNz2jEuzlXM3b5c20B3wzzI4rGpM7WVLs1tzZ7oupHP+qUOFN1DLATqrKow
HdOhKzO8M5zYnSyWqtj/2Lj3gJZ5oOVZbqtogzJP3+rlohrz8anLsjoQVB5koT4aTdiV46lx+Wxf
0xmp+gU3ShRh84Z6qK2wnoZ8IgukhG7bVT1/v8Zr+8DEv0c31AMtL6OKKZVNh6EucEKtI8kQxy5Q
dA+0tC8ZyUo1geaj94ZAftfGSxZmVuphtuo3E0VWfBOdkYEkfBKhovto5SpzqsDTIZ6haEyOo9tw
xRzNcWOtXaGpz2oLoy9lXOycqlwiBCkD1e6htWBcdcBQgNEZuR40q09znQdWtqiH1gq2Kymdw+Dx
5pq0lrGBlZdYwnKDYxPlpmKWkcqsXqvpwMdsThY8kQT32RgWoqiH1aboSdtR5A7ttLXJXOhrV244
TOvEw6ndzNh3xewOTVWwRDD+PposCRzcwynKuKFrEY0HOaB2bxd9Zd1mAwf3YDrYeCkhE3aHUsRF
IkpdJ84QGTi6h1NJyyjXUQyixw4/s9AeucxkXoe1qIiH08Ux0jIYOd0wbJZLtlYJvo/GSNmwOUM8
qJJhiRvX51O6sqY1SUR7nvYzGT8GBSfiYRXrjJhuaSCyZra+iEuL97Yq10PY6OQ2nJzJepqv3KVj
TP/CJXlpGX0ZNrSPVLuWzbpGY6qL6Dm4x/crkYG1QuLhNNa6kbiVY1rOhdq7gr/pqqwLMyj2cNpW
NjKxci6N9Kh3dSmfSjKgsMl+pCTd9F/QFp57u6jo0NbLJ73id4Q3T4IUjj2UKj3nEcTrNYVh7Zhs
xBYiWS3Nw1wv9nA65dwVFTNjCmxD9CcbwQ8kVm84LNPAHlDdUBNUZ51Lm85s+26RHwrdZ4Fq90Ca
KT3ISRuX8tWsu6bpQfTqoc7rcZA7FgdH8sBNm8atYLqPmjGFbn/8TNkcP6ujrH8XZlYPomQko4Gt
tjAdi6xIaDP/KZUONKmH0Y11cZkVlUsNn2iC1fK+HtRlmNweRtnMlllTGDsq7Rvm1mec2WdBQyMP
od2cZflI8/GAsijaRWX2VG8osD6APIRi3Pdyi0h0gM2tL5pVvldmrcNcC/IgGhWQp5sOdFIX7csu
706zpgjz5MhDJ+vnlS5QwD9023RmZvKE8bAIijxg9isfRdfD2k40+VPVLWlrsrA2K/JgqetxKZwD
ofvm7Ta5XSn/CJshHiTruDT9VoERWVF9MEv8Um0izE8hD49umKplncWYrrbEb7Z1JGnpqN2HCe4h
krbZ0pY6HlMbAZWAtNVZnMV/ho3tIbKqteWwdzI6cA3ZbYTEFYtpWGADRu1tJwgTexhqBCG50GJJ
uGXRPo7lFAQc2Lx2e3RlJzkyPkWHQbw23V5BFTtEJyz2EFnkxcCGYh1Tp4DMMVPbJ3gQb8IG9zA5
Q79rXdvMHnDRn8019PYHWo5BMwVYzLdVYpxDVVTD4Krml9T1HzVbTaBWPFzGjK9oULE9mIZechh7
cVPo2B408awlpQuGsjGh6KlTeXkxsEUEasVDZ2HZVEM+CxOFbyLZUPm2FkVQgsViD5tL7NhcxYD8
ha5juUMsE92eQAakg1wLiz2A9nPDMujVjGnO+qtont5B8+Ft0FT0yVoTpcgICnpxLuf7wVU6oXCO
RlAeAQUhby4Wk4R69AKCL8ul69DFMg2BCFUeQstGIiYLalNV0Wc1EA4PsLOVhGnc51e53ADn0k1j
ivr6JYvqXWmKoCSFKR+fPGrXnDY2JYST3dxgs8Os/BxmTg+gK3QUrGpGC2wG8T63y4WW/HXY0B4+
FzNmlSKRSVdcz0ndyeG0bcowGgbziVUdn9t4Aq5QCi2kbd9u3XNJ7UMcg+Pb/2sizpQHUNcTWxV4
NmkHXJs6sc5ET6IJra/CNOPBc44oeEXmwKLT+slCBrdY9SFoaJ9NNULgKXrR2bQS+aul789R04TN
Q59INWWqEmXNTLpNQ3GY5pzso7r9GCa3B069scyapbJpXPS7iq3PG/VQ2nnEyR3G9ClTcwT14KmX
Ji2aibvESFE+G0S/JHNJ3LoLk98DKa/apa06btJa07/qgr2L+upN2NAeRBdgPNZCZgbwP9mzyRqc
4ImFteqYz5bKScG1oQQEZ/hdM0VtwqL+jzDJ/Ri6DH1lUGFTTjSbDxt1K0taVRfVPuwBHk5ZkefK
qRqm5BK91A15o4ewtTjsebwdiWrNB1gww9DZGr8ckX6RURHUhmI+QapWa9YM02pSmjUkjRQZX+J8
1kFMX+bzo4icEJ80zMQMbWuymiGlLJCdxoQH02bJonGxhUnbqUcJmuTpMOdh1WHY9XBb5aNhzrEY
VA7u8cm0kic1X8IwJDx4xnNeu3LITSqzvE3ktj6JjQ7rmzGf6RTDLEELqUyKu+mS4uGpQWOg3F4M
NRq6E2KOhtQK9U5j87KuhqBFHBMeOLOFNVXelyYVoJkkBhJ6MqyNCvOHPhtppOUQlV08QN+mGHaG
VC9dFL8NQr1PRUII1lktR0Oaa9qUyQyFioNDkQhTjE9FKssYWGnlCriJ12annBCvao22MIv6VKSp
5CIDrt2QbrEhO2zZc4ikYd1z5tOQXNSqji8dTJcuZqgCX7tWtkhUPFVBNRzo8N/GKHCBUZwvLeg+
L2a5a6F4lmYZG8L6CMynG62Vc8o0WZ+qyFbDbpr75rOL5Ry4aOTstvy4IYjNcdSnpljtvslFmYCG
+GnQzPQJR1Iui0IT6lNXC7JDAkjscP5goH/kHmLHGhh4lrZ9apnMxwRvpLqq1qXNkzDpvWi6aCPM
vIBuuqLsEj02b5cah8U87odT0s1NJB3ovVX92WqRPZ3rrjgLktznG010omtfz31aZnx7h7osP4Oz
7PoqTDE+4YiCn+RkBbPGbTbYU+kUZQnPOjEEPsALq9CMq7q2n0Dz1M7nxqi3xVCH1eaZTzmSVUOA
Y2z6VLLxtc7ty7kaX4fp3QurebbOtK7zIZVt/FfbzTgp4NCVQKV4UB2gZK4i1/QpNaX6S0JT4cxV
zRQ4ZbzIOqJoWTfKuxSQGicCqC9JtEbyEKYYctvNmDWCHn0No/NpdQnH/UXVPsRi+pKC3rGg8WlG
g16AXqdIl06iyrMEusUlOBupl2qXN3FenTX9Or92ja3PqaWRSMeiGPgb2OImh0uo/1nzOpaNOKug
L9mdlVXLRCJrDcX4fBkUmpONlYN5Ow8kcju0Dm111RVFNOwEJJZkjznU2g+yd4vb1xiqZDsBXerl
3A2RKlMil4KdZ105rzuMoJrwZwTM3vUU09LKPZULjDnXetxO8yEuLOy2I5s7bQhZtr2dGtr+tUjG
ssuRiaj8YDEfhlRtJJ5Ss8D77vtx44cSTVztWklwtROrzN1Zjrs8fipUC/vC0LCR13C+4pxMRJjz
XluzpaiL1Xo6N/XE9pNhOT9McmZQwq6Lie3yum86yGfjeN0po6lMmk4b/GRuszI+rykeWbqBtucd
p9V0vm1R89y0E2J7hqZpS8rMZNvrGpedDMtCmOcwm4U5UTnapYIXHVR9ooTkNA6Dls/0oixbIZGs
+7QQzXXGqteZ1GFy+zyvCToxS01Abu6y1Mb1RcZxWHGQel6ST8BMwVBBSuFszCXJorhK4hp3gTrx
MhuDcioqaNqlOSnLZKmGz6I0YUkf9fxkCdtbp1aiLnWr65/DbjB91tGxCXNl1HOUhdDItUTYNDcV
e8ogfwXmvxvfB7ky6jlK0+TTNPVTl1Yqd38YNWxQzG/VGKh2z1MOrR5hm0jcpTEUlRNOyqfFloft
NGM+yQsBhDlTfZeuXZ81+w7NZboMSAeucnyaF2413iIKM1LkDV8OxLZuS2TEq2EfpHyf6jU2w5xF
xdil0Kj6PPfsgkc2bEcHnHh2O0b1bjbTsMouLVAMPLLRyqXe0bgkn8Nk9+A68WGjkyN9Wg/xphLZ
DRR67IqQMC4GIx5i576tMVpySBDgiPLEybk8aK0DEwSf79XLOSu3HEI49GjMDhhlYtdHM0rDlONh
dkawVZrrtoNdtXV9IejEx0QMRoTx+5nP9rJlmwORqQM33Dp5UbQU/QVr2jWsFEw80MqlGbbGQr4K
pazlPGOZSyUaZeCk99YhhNYu1sfoVOom39l5yBM3Nk2Yw/EpX9jgxS2wTk6jtaXXBbDNr7fGNWHM
T+aTvjihbVmUVZ9yIafovIpbvEPZPPMHeof37KtjPvEL9rZmmahVm241puZNX+mp22WyJf1+tl30
BjacPY+iuC73kMVV8S6PYTF6WkScd2HW9/lhsClYIFdC/jmvQ6F2UVPCARRN0fZ12DLaJ4gJRDdY
sxw9Uzbi7Emjc9h3tg7riMKqUz5FbEPOwPZa0qaUYl0ly1zOLCkrNgUmWNiDt7BbY1oCD1gdAdry
5t4Be/9jkOvwWWL12Kxj7LY27U1rd0tOP28jDxXcQ3Y+bNjaSjYp5LanNakuCLFhJYAvWyhvUNGb
KEL5DCeIpCOb7K6KGLQa5u1VmFK8dHksapPjeWrTzBl1cAXJk4brwFDp88RmCV9saMGiqTZL9KEp
Z/rRRBBugmT3iWK2ZG3HWtykkGs9l9P2pB7yB85yOc63O5aKPk8sX6DPKEzXpnYhxQWujUrg6xNz
WBDzqWJzJbSaKtqktFJdnpRKDReFdG0RBlOfMMbipaOiRU0qeVvuhlidVQyvYXHAp4yZvs3zLNZt
GrNifmpNw3ZyLKeXP7bpMbO/S/Fe1hzP1TrNGOJ7vbEBUn5k8/hQI9x1BwGrujYsx/I5ZGoVmRI0
71Lk6NgnBR/LI7RQ3IXFYuTF4ibSdphiDXOTk9duRK9ynAVOew+ycJLFqJAB2aG6xvfaQCl/c7gN
Mi+cOHc7u21hMkYVsAIPWJrs1bRG/eu24GG7meBUrduj17rFDhFbH32wetk3lKej5ipI6dTnkvVQ
XUBZ09bQDIeqRDeolxHLdaBivKzZrWO7ulXXwBCAI5x2sPlweL/VcTcFju+tdeFAmizrR1Onm5Ef
oHb0rJHFux+D6m5vRo+nm93kR7MJQbcadgjCptUuK5PBuul6pkPY0Rs09jCrYfnWFtlR7b3KoOBo
1XkjuAua7vCBj9vCd6R0y2ZA+CwvoOyESZ/AkSphEYr6lLJYbHLlFupveB7xum818BF2ZduWU1Dx
BU69uC2+muash8y2TnEh1r3KEbrsYD/fqyDL+qyyVWiocM1DtM9xvnQXJcLoOSE9dw9I/6XS8q/+
mPrEMvj2DVmEcDB1hOPNiwHj1p3pahrMKSzEHDmFs/SE3Q+8Xrqn0Qqrgqe9LIfmPcGUnTpBtnPJ
opUn8ZY5OF1hjarqRdPyheyaYVj1bsuLbPvQZat2p20PMXfneLl8pA1jT6a+HC9WXUynNHMzDAFn
YBQJajTb3hQY9re8rI7nVLxptertHhZsbIOrZt4VCJifz8u+iLY9/NrqZ5Rk3RSUSFKfEAe8xoEc
NyQf8gyXz6e4ip8STfKwAEt9SlwXVbyD6miVkgVdCzK8jHF+GTZdPB8Da821icRcpXQDnm1N2Dnp
7EMHaRwd4V1TxfMyzkVNvtmlSocezuo4N3ar5328AuthP8MKIT+Hz/PURVB1Dc7ruw0rPMTw5YaJ
V2nUR+LAqrk+3fo6fxumJ8/nFGvmYI1Iq3TqWLGPsu3dWJKH9HRU9l168lIDjHLtKuOqVNROvwZW
NXuhiny5WkocPVDZvO8RntNBWSxz0g/VwS60EvtiHMygk8lAsf1cz7Cj7YFF9T0m91lzQE/I3STq
/AAfh6uqU8cXDOywqD7oZlNkB4zusKoS9Ul0eQG1k8zUoLSWREB0E+/AEQUGsOPxuzfjYwQHjkAh
oK1SDO24kc6nI8UPOOh7LOGT6CQFLucGe3D3VT7I8TyuLT/tVAx9f5FPNQpiF1B5fPqNJSKHsYXW
MoJjOuAgQdjrnv8ZDzJsays9frTm5uh2jQetV1OmUvLxFDjXKskKHLZYoT6RbtJQiqQOF6lmip32
09rsVayD1nFUekBGosd1Letsjyd9gTKasE4E6tyD8UpRbbsRht42dsji4bTRJGh9SH0O3Qqnrmkb
V9m+0uSJ5NGTQYRV8ajPoQNa4fEgXJ3t+3IeLkprxzTi9HWQ2/QpdBmXxbTSCCY7zu2h7w1L1rhm
p2GjeyhFcWUyjiKdSm37J8B6fTfka9jhsNTn0OVC5tFEnE7rldSnLh7bMzTUYVRU6tPoonWBfkpj
dKrLctj3hXoaSWMPYXrx4LmUaHCWdvF+bJheTgmZ3/amqsKKinDm9W30F108DjVr4307Dc+ruktL
04UFcZ9KtxbLkjc5JFL16HTSuhbttpo/4HmPr39HmPWZdBOw8zfY4QcgslOXAGts1ws4UThM516A
3eCQHjuNvYZdS826a/O+G5LMtHEYIQ0OpL6t9LhZYc9FxWPYaNVtJFF1Zp50S6XD9kFSn03nRJu1
cqDxvpk36Nm+BBbAA5r5Uqq9Q+8+l46JDcPhVHmR4jWi0xOkGw4bjHI4OPQNnJTUpZrHG03kMDX8
IKC6Nu+GseITHMfZi/V0cDEaDluPc3LVSE6mNFNUy6AKPHwK4bZal2jAcO7GeFwumTE/1xQpdyhs
Zdt90LzwaXit1qNQuJD7xRQCHNRaunZXwCcZaNjaw+fhmbFy25T17uC6oj80is37PmZBlWbq0/Ag
ZeO0p4074OO5XzMfYKc2k0H8ajha/7buezkxm40w+OTg7ObasiHpahLG8aPci8ascLAb3rXuQErc
72iFywQqEh/CrOqhvasUfN+EZuNhIkWTqCiCDVwLQ2FxzSfh5cA1RSyi46EDZk3SVSZ/Xks6/hEk
u8/BY3PfUyyG8RDF0PVg1ZYf9MrDFOOf+aXNjDtoxI4HOKOSXLbNUn0QaJNhaZBPwNt4MQ+jm+yh
bUW9g5Or4UQYloWdekKZlzPX8Ug3qrg9aLmYU56NcL54VIX12Kl/2hedCd3qarQHOjcFMK7GN7C9
ennAx94T2vzDvtw8wJFZcrWHVeItqVBldrIKzFWYh1NeORHRAbS+NXBcyzyun5EpwvYSUp+CF219
M2Q1dYccds/s47koduCPw5r31Od+bbANItMTJFayJx9sQ183BQnbXg0fr73tvooGSspdz9xBI4OS
pSfZIcuARvdjlN6zTPTZXzWuBlJ1VJ2KrObTZeEa3ZyugtTmlJkeouCPH3PPxPGZYNlEM4ZLeAn4
CFC0nwjPd+3iwphg1D/vqy8yOY4CRs/zVu8V0MB2cbd+ChPdg2tVgjsAPqM59Eu/7nQzlHvbZGGB
z2eCxT1DY8O5OUyVm06bQpEEDjDewiKfzwRbG1hubGY2h7HY6lNsq7cbLnmgSf+Hsy/rktRG0/4r
c3w99AiEtu+M+wKIyIjcK6sqa7nh1JIGxCaQQIhf/z3h7pmxc9r2nDr2TVVWEgRIr97lWV5t173u
031Er+dgZC3yvtt0Dkjqj8H+MdX//aofRBBOyNIcoj6ac72bIaMm/JhyExjQv796mabdHGtuDo2b
6nxnfZdLyOT/WC72GgO2xAEt57mSR62H/d1OzPasyfBXuvV/sJVeo8BK6n28AKx8YHMMPsol4TBw
a/yxCH+xePxtywUON2hXB6WOaYTW+Rp9G7vh3Q9tpNforzZO4hL+GeIIna+yy9Yd6ERXb/bjj13+
1T6Nu5GOO5nVkZl+AABXb7y+5XE3yB/bq6/lvoyVC7J4o47KxplWyXVHfjATew3+ghDX5EKCS/cp
jr8LHmL4MUAifY38ghlEU9ZiUsf9In3U+jjN01r6H1wur7apJl3t9jCmBVS4TsNsHgn/MTVB+hr2
RRhARbTv04ID/qCH6DYdmjc/tFT+F+QLMkL1TIe0SPjSx1ep6cC7rn2/vP+x678aNg8mnnS3jOKY
jvEGCfXUptcXqt5f6QleNuO/qHRf47maqDWp9CU/9iayJ1eua39vBamqA3iqojxX/e7rO7eX/4fi
+tdS9V996KsSVoSkHFY9dShbNz9sedw1XWIObYtd1x3rcmu7bBp72NVkA51wtm86zIM4j53hdX9E
Ya3bPuv2dg3nugxR+YVSD9jdQABpbTOqw+59hiTHTLctj6W5W23pY37eolRMbTbvXRU1GaGqoVU2
O2GQCI0cry5jahqrL2au+yXO0lY0/ZnuLeSei4CCXlRFmFY/522gensLCTm/NhlrYfEDme/QbHbI
YrVEPM1UgDR8e4pNyyF936Nn6foMvIJuwQ1aMQ7vTdKjkNFCy1960+Ov52VK14ID7kuzBU+ozdfV
J83VHpaNz8iRqR2+jGjaiiXb5pjEPmOSV/WnoUlb9a2vFhj9gMi5j3OfQe1Lh48XkN7J7H3YsgGi
UTb3vrFxWwgQJ8vDjpFNcoiScrN5KbHSVL5yH1hfJOvOyE0sV66ODVv2HrywaQwnuAQMueBm5Xea
LI0sSEM9zWvBJ2RhspeF7CGAm21TxacB+E091lXhFOp9kaNDslUj7mwaZpHBQ16AN7I2V2UqkDYi
lvB+ucbbGusmmyUyu0zFUdcXSz8knyfX88KHfRPflmYP9GjmkbX3+5xI/lxPiRD31JWU3u5lLZeq
6HZwVNKj8ksMRYSdi6W7A0ND4n2ZpjG4uYrsqlqOBKrGyMZ6Mu7tKXC6+a+T7JuxyscVzeCzAANJ
vYs3sdmQd0MKJ7FKRhcZyG7pBh+BxbIDtAUFHbGsyyHgXY7jOWFopCVn3g6yzlreqiNv6yEf+eb7
Gd2UENn1klmu9oYstj34GTHqno/Vot9tW1INEsthTJajpsxu+VjVaQKV2Dp0BeqaWn6Sjg7jjdp2
FH41I8s2Z944NPMzJZlIkEE5RynNFaNUv4lbOfMjBFba7WZIfIyuNnHQVtsxZnZrBe4WCZY7IDk5
RNZIt3xNugicmXkVqXkrWB/Loi4t019R+8gOm6ZPx7Wwmo32vl1Ixd8BnjX1Rx0EaEJqJCO73lmU
tLdx7dv9ezN04wLGzByN6f2ETVsfBlOH5Gz6WE8f6qiXJEF4ayvOMtGnytwT59r4a6rLUoasrFRf
XXm/ruyazE06ftSeB5ZD856AjV55GitIOzPefSudr9oqa6dWfmWUT+YD2OV7nWO6hLMLPI8x3AHV
ZyV+eYzSb6Oe1/3cJyaEd+1O4jg3NXbSN51imZ+qNtnvnSLVkSST1A9yXgQ/ENmY+mlq621/9CB4
JBEm0dANkMVFiZifrXfD8EuLyU19o/lEw9U46q68mhIVzzfLBK/MXF/8mD9JDof477Fvy3tQyKNr
jJH2b6C29Jn2rCoqCARFxdbs0l/DQ2LdTxAPoh871aSqMB2Yjm9EqLvhPq7KJj77sVnCIZpqvZ1U
mAm/EnxryQfCy7Z8qidVmdwEF0ETURNlQaLpOYz81t2y+c6S3ZEzNdx072HcUY4PC1OiPpK6HUXh
Nr0idnom5/oI/HQ8301q5d86aAIMeYmWoX+oNzIjlNTj5g+cjW6uCoJp1XrTaggcH8tqMaDXRGKt
3tXSqvTcG2N45spo5l/rWmmTV4Ntnc7kEJcERkcp3c62660rnE9IVDg7JHE2dLs3n6hTuIOCkSqG
nOGGu2iiys6Z3iI7HIaLJE8GQbu9vZ88iGkHZmb/OSHBc9irVbCKzGEFwe+QLlUvJbawyHVXJ33O
e8/GD2GCPyMEjvoekmcZbfe9OXsHluy7AH+6uczqyYkN8X43fhwz7XBM+wwd79V+88tK2TMsOGYc
CC3UatRTh6tcXqRxy3yAiSMmnYfBJz3LwP0c2FWnYtUe1rWiXciq2Mn9xm+2Qtdig42VOpEyIEcE
k62uzxYua1G2z00TveWsnZOiTvkSFZassSpE2Hf9PJOd6tPqdq+uln6MymLySRluKcxyHklsdfMW
naMktFnTdU4doRpfuWvVooK5D2iJyWPaNjjvXFmyCTjvtN5u+4roNh/3OXZ5amYRgbcw27LxYM/t
Nn5ypO1BxhhS5x6bjYjkNGJkrO9HKN01U7aGFAY60BXPJj+r+BxTZd0Ds1M0fEmaTXa3vKMWa2yo
+67+Tju5YyX0kGyzh7GSzXrEN9v0gfVtat/zdq3La1s1mp5BouXd3TInMPg6IBx1vIAvEy1fdkgl
Q9Pc1pqd7NhUFbDNYGBhjUjoKF3X2gVzMrqnwAwnwBCTgzVwPcxWF4bkLT5TPq9x7bbPHUTjwUlX
ST2m+QT5xSqPEJ/KfCvN9lYn3NGTVAZcFzYMAKv26yyjPJjFwVJuHv0GAskq4hwDBVk/4nYZe9h8
qJpTNCQpJkdN2UbLu77fx+Ea0N16R1Y07Ns3nBp2aKGRSkj85jKpoSSn9ST2u52otLeIxHsoz1Lj
1UNolsPd7NYjIE8PcL+w85m4WrnT5rhil5N7q6EJUOExWps5hV1OoFdX7UuVT40P4Q1VW6cyuKZJ
fhRpj/iWtdTr+YG4WE5f9tmaVGedWzd2Dikl232K1V9/1HaDBQ2+JB3LhxbtMP8kWzzE6z3R81YM
dGHuhPM/MhUebtKvB78L4SskT27c8TLnaj2uvo369yIOrn9c8czW60kDFvqg16Zu8lTXo/24GZGw
T30iguwzKISRweBJ0a76PkAzlTxCtT5VX0Yor7Sfp25qE9RXEESkea8TLU69cDYgf6uJ5GM2RUvA
UdhtOD6Q7UEylkdsFYWFSMMYgNET0Veoyoc0JzjU9XlfpvadWLC+Dy3xHc+bbUfPtRdD+oElwEXk
NMhS56hFUwFHxFEsV0knGF8zupF+ujf1VINyHEO+82iU7sY72hsfdRkHA+uLHie3HVncpOtDPJAZ
+ruYs6p3qRx8fVw7OOU8TklNP0oLl5fCpiVaAbKJHL8PgynFkczaJw+YP9HhqWuF3W9iPUwjAmaK
vQFYPIBq8qqFiOp8V/adMlsu07R6DEC+RPnGm359srufQIgG7zXxOWQMyzYXKm7MQ2vRY8rqvuqm
Aw3g1XZHUNTigyzpMBQzKRO8iabu4rt0MRcnV24vyY8EtLKuciVXlhT9MpF4ydp9Cx+07KCalO09
WIvvDMht9LmyfLydhwUZV15XOspjDVW4kCO6r5nwnLoPyQLZg1PFvcF5LzaCNJ2CwGtcFmgauXOD
WyBvlnFwIk8Yn4o21Mtw1W7Y6p8Ymf16TETbxXAmmSF5FqcNlQXtAA/OLI33o8Jh5F02s1Lb+wXQ
KTXkPe9Fd9vaMjzIcDFA3eed3lgpW3KQcLDZcIwi5SjmPUXY990aVeeWD8y9W7oyXp+GeYlzzEim
5HPoSr/mpa/TE9I1uGa2YNGM6LRn86brU+0MhDVS8Kpx2NJ8350y2QgzJF64mSSnCvnAB98LelNB
SqnPuNKTzes44RU0W02SjWOq+bX0Vfiegv2j7xJsnf5q13ZXd1OUzI/EQ+IVJRB1txWXyY7cKU7n
xzUygO26TeQcNPI7zHNA1oZ5KYUaOWjId2GWyfvRR9WhTTRvs77f3M3aduqh8lDQL1os45xti8+T
umxOaZqq24VX4bqKt+5zqFb9VtFuzhvC33Rs7t8zrQaVVcRYwE6Wrm2nbCON8jarkO2GY4BVXTjx
NameebyZa6eDVAWWM8/7fdm34zBrdh0AX0zf+0iKt1XngVooEjeI6FT2YvVdVmLlStDkQ02+N64M
7j1jnIdsbfpNAsoZrz4UzUUP4NyFbYdsipzjYOCsO002QR3T0FEXFV/j6HqNU7CxQSv15Hqu41Ld
22iz7riC50+ed94lPFchXd3NkhpWfUbm2k8H5pIoOZnGNOmt3tYOZq/VsHaZj80sn+nSGfIw0YWa
A2QawgBJAsvr8xitqvsU1fAS1jkLDWsKYnXtsoU1SEWVW0STzx1yFJ+VNKK0ywILS/Ntk4xOt+s2
rvtXmFJ5pEO1kwyru8PeYibTIAzpA1R0yuRqll2j32wxav/DOKS0PzqBuFOgoqnEebrA7w6T6BP6
AFKNZjfAz9K4iNXG1DkGbWr7pQEYu39YrJOG5EFVa31tJ0sJzyAoIjEe3XXShTcojUWCKhiQzf3G
2s4iLtSD8PGd6bEl37YoVv2nlrXqnI4YkVHbe/EptrSNPvcYsKJM3kYGx0U0oescqwPJUlYuK6K7
nZetWPtqlh84OP3uWXrE9o/WTirRBRNThPOqHFi0vuV+11uVRUkiaOZcOfe5KmmX3NtdbuGXFHT/
7vvcgM12kBq2hU+hqzcFwQE2zo/weGbtdhhWqLteqSZKxkeOXYaISOg8SYSnehNoFtYDaM0nTUnt
T7StW9IX6T4jBcg6znkFGfgR9QcyPj3lYTWXXAQ2Ls6/0W6eK3+l2qqdnzsbjetx1JFTZ2vVwvDG
duXnYkq6bf3cKgYuEq9bZT87307r0VSkj3LVLvFNM1UlzycMwt1t0Dqt8EpEAzKgRZc9n806ISmd
OORknpcdKrkgSE/l7Vgl05UvN/k00SQ4ZAds381D6Loum+ENmoEUVi0U/mJSj8fgJQt5BTvV5bxT
iwKtVovIrPNjZDK3OG/fiNiL+pcV1ibysLeE1AX3l3M1qyw8Jk4l0uzbBtJcWHU07ul1qeHPemOq
MH5QEg+hoM6lcZeRBpCHZ9vtOkKWGkh0te1Y11fIA2Jx7XAE6C/e0+YKJUCsPo2QOBd1zlRFmiez
srqGJHTc82bJsMgYzSWiakA1F4E4t4s6bu6l9mTPZ2z4923M+kNXNnzAViuX65Ggg3GHfgVlj3LY
eHvt11l9RSfmI1IPl3BYqnBAwEd4xCRPQ1KVn6FnoZui6hEUGz23d84RZGY7BEb8uROyzs0eYDgC
Wgc5NWKm3d3kqO3u5nKxN4sxo/4Cg2j3Ek2ttcW2RHiN6Sae2yW9DHdaibN9S/0zRy7himqfkKsD
1+S2rPOiP4KsrHimja+QG2BUucLsTm7o1yISWvR3nL73YJnAgVFeOj0gfs/PLZKxLGFAoJ/RSlf2
lk5yih6pAIgPoCAxVOt55VXlOryUJRALRnepm8NGqNTioCVv3lQTvOEPMdgr0y/bmrRrHtXoXH2G
VgPccGcmbXoY6iQkWJpN8nZuUI9chUHbLNEIoCZblxkudlWy1N8k623yTP1Sr3nobYxqR6TdumV6
lV30qWni8qu8pCYnuYFl/j5w8+LazqVId9UUI5nt03Y5KXiCyFzxuX8ZGbZsJmHZkcMWhKSHTqXy
1+ZfS3c8hCAP0LcsU5QyMFU/bonw4qOpIgX+caNKdAYj1UMZyRpIFBRISnp/zfg4fuu6jcaIc2mt
h2cotSmdJ3Pt6Um7NHxH6VztN3OXlC993e2Kwf87rMltX/t0eh+VhLOXGJYZ7DtKyxqdEV2xWzXO
LWIHqUOeVPHkH2dVCgNeB2ZLacUr8thEnKObjdSD3DAPQdGjWmeeFJvbCT2sfLVr1vXL9haayHH6
wcxqfRNFqf0gSxG/B/bD7VdjCRLQKRpRGG9dv60HnkoI+u56NR/wzNubIW4Ba+MaBtzQOEnH81gr
NeXMDL3PTFS2H8HU3bKJgbxlTOr5zbyZ6FFwv91xtdfyOJaQXjh0LGxXE2wlrmLTkXMKT2bEvIHa
51pVLDyYagR7eF2h95OxaSndW79A4vUzBERQnNng0/ojWsNUZHwNeA6J1xphQdGYjsg4BPjHkrj3
9caRJFK0EqoKWYZmEeRhxR4VM2Dw7MBkhb6Jh706fErEvDdXiSHmGfLrun1K5AgS+AYHhqcGN5LR
Zo3NkiNsB+ezGb0x+mDaWqQ5Nbid9+NY+vGop1LXeZIK479esK7ncej6/mYTYu/wGW1kn9o49d0D
rYRHwhYaepTSROMJEErh36AVPRwQJobhODOmbZHUaxcDLgdj2MPoCYII9DGu8S7QjigNGw3KbQ/Q
8hqCe7JRrdd8YEvcXUfR2u9XkB/bv0cMtklZB2vIm2ofN2yfUuJxtJ4cWpUu+TQ5f03HGAln3Qw3
wdTsCejlCQwB6DuizwGhBpqK8mO0A05+lGDIhPfoM20rDiJL4u9OzlUi4IHT7mgP2G4xw3nAhKL5
XO+T7XO8KRDeZVsjM0fE7NY+r6fSQL8c4kXqDhJpUuTKc7OctzGd5JWABzisUcuVyyaLGGQPj17R
yyaM9FpVcFecUDEh+LSF3q3yZwdShsqScXMdtjHmXS8Lzs7ybGZHqmKFojYBErNP0vh5TJGhFatX
c52LdOXg+jge2ueGQ6amINCbbz52aGikWT8sdf2ebDuiRxVFPL7mIu5Z3qukS4oR3bA1H4cVra0M
JKitKjTIheQhNdMs38AQpFmzABVoc1hCycYsJHuKDEaZ2H2LZrgqZAxUD/UGXjaruKqD8eIbx5fy
HywSVH7LbNyJPO1Emzx2lScQTTYoCurG9v1TAIG/PSbakj5kDGT7FQ3MetgrFOoOLQcs6g1JITza
ywnG2sqWd/VImv0cp2Qb7pRBnzbjhnropZt6fiGMNvV9spcDcEklaYfTItcoeQRvUnDsqZnuHvOf
IZgj/Bv9fATSzfQ5pips+Tr43kYwSNydPEcd2ikfSddf3hBH4VPEszIaZFQUYP39gv5hm4Nf4eyS
QYslTm4ITxiKS+ai4dQAZ7F+9UlQtig5L92VR7z2xcyMaQ8dpXIqEjjSuDab5j7UR1SDnbopU8iv
AXzZXezB4JY2Frpu1HZdOiJkDp5IpVgBJQaCDdWUPebZGIWO1TVfN7ojZ3EmPaFJMGJaPyG3y9CH
jdsMhNFdFxOWQXdMtyWeXkTD2i5C7RCnjsLvFiImv5i278DnajEhczhMe+SJaR51s7riiUnCdm5j
SeUzNKN7d+tR2m8GX7xJdYocZKPjAxNNt32I8G1UlNWxo+NyvKhZoyBd5b6m98ulgr4po7HdkHwB
LwuBqVBW1UPoY4tiZV4oxwZPW/SsRI5ZC0O1Smyvhm9NQHUNbF8QPXmZ3RpNSAYEQ8E0OnAbV7jV
jPO1VeMiHxiCR4VUUer9e1tjGvFZaz+2x7RKh8jj6Ro6wIuZz82bFOk+9nKiRMqOBqnR9FKblHmZ
uVhBrdmLdJHvYvTnGti/oP/vvqo5XdpnEy1j9DhWGPi8WS+FKhQLguySXKwTdI1BmzNzd657zL2w
SFJDj7NA4cMP8FFcphswACvm8x0zpBGVbjOLRhSEcSdvvMEk6RbZteS3SItS+3bodDtfi4r68Rwt
MGb/TAkpSc4vOdtxGftoyTqR+Oh2JFCnehMtdmkQ4yBDnytkxsMhLL2c7xvrQHTpGRHru70DpDGX
xGLI09BugMTMXEXum+TWlO+otwj+A/wN9LpfRzvsu5GyQtewO3tT0YB8ChbXeSw2t5zCOCh6mtFl
91ddy3fyjK4iY9dNi0lgbkgPAMABfGIyywJrc0dv69JRi47TnCRLTnmvowx77o4bG1LMGhnkMY4k
BrR6OjZRjHkPHzDiCVkHizWZhWkzrJhrwdKT2xa1n0y6RWSApFviF4WeXgWvtHFRsb5l8WztM7NQ
VX8RVbr0t0hsG3HsWL2ot95jNFN0ldQV2IkApD02w9Dxm7Lqhvatl3gwNyGRrb0mCyx17lbcawJH
87CzR72Ivrre9Kza9yj0mnLNyYJseSr0KHu0rVNotDUkX7CZTZRD+4MHU2AOKKQ6toADXiSMxSco
GBIb50pBALM/9BgF2eWMBGzGg3VCm/kR5/SAxjPAOBilIXdT4S3FYwe5SrG63d9jelJuxxU7+aj2
XdyiiObRTRKVCokdJ1CvSy5jPJlcEc25uWq1mNjt3o1gXsdJGN0n3ywKohXtAumQo6vMFuos9pwJ
zDgTgK7IZOWaczQ27Od+hWT94wjZBZscL1KvMXoaG4O5u5x3tepc9d63Rejni6Ocs/yezWU6nFMw
ef1pGsxCi2oNZrhNLHRq0CIlmLeOYRbLsUETP84iG8fRETNK1xSdrBTKTjNZgwyJ9g39sgm4yN+U
e6W3J0gypA6997qc9+90YLT6atqRdGdCQXU8E3R9pzuoBszuXQdJauQ2A0u32ziNbPglTEyb2xCq
yKLBtyUy3xXSkQz95QWzlcZagP0ml94tpLc+dwHGoecZt6CLZU+SNgc2nmNmnqYXeO0qjwrI5vtu
hTPwe+Lbyt7Nbo+HawHbu/3ytkUJroNyAc7wVqT6K9p8ES00k5GxEGtFPZPbAau9PyCzbnFAIpBe
ynw/G/+gonmleYiieMZmkdMMuoRhlyeoDNpVyCRmph6sWLsIcgONaL4vl/Pxu1ggnwAuOavO06hC
nBHEu+4tnefEYe9VrJ9cZqQFqxotJhhFiZo0pKAJiwCvodVU3ie1cP6IMAotxLUbmvXF6c1st+Mu
evZh3haeoniZ9HIdgti3D1L0Zn24aDjSk+2XMushdjNlyEarS7PcbCvOXAwwH2UISlzbGkyDewxK
ehDekRvvaG1NLbpWDMaVKXNfQFydZAZiUeIPGzctunbzVD8BJhEjI1phyvykgWzEuQiPDWg3qlWW
6lkYooA0HwjmWevVUM7T6LIGfL80GyVwBDTH7HteXtBIqtC8RcOGuC/oVuxNlHGH9FVnDFHWoYfY
jWB7ZBCpR9153EAPhTnQsKW8/gSGdVjmbPEwsZmu+tWxRud+gn448lDCNxYXM60B5Sj+3c4O8rwR
k1eYVFGXEyCCbBZJN5U5hJLpe4rfjm5WX1fmrOpL77dC+b2ZS8xMy4cxsfMB3YJ9Acg6KqPzv5fL
RrZg0+4Eoe5tKwjX45LtoWYPGFgNS8FLkL9/DMH0WlmIh3Tox8F2B6I+6vQdX38MXP9aUIh1dMW4
BtelzZNE06JhP0iheS0nNEKtUZWNEEcckwRNJLWSO4tobf+Cw/sHglUYGfweA4hWWOKASMNkIsL+
m+qxcTe9j0ZoINrZoOGUrBq2AEJNyeNm0bpFgaUjko/Rhvf05xCqC6roX6GNXgHLKoxotiaaxXGE
m2lXNCC13AE8OOXI1zB+xCxOnv/8k/4ITPUKCzpPFksNmOIjBAEm8daFsVwKUyHPLTxOJqiTQv6h
Q1a6heEvnvAfQDhfqxNp4MNwmiTsyCU8ORxkZw4Tes1/8YX+6Oqv0GcGjn5W1IoBOdJ/bef42UtT
/gVc/I+u/QoeijR96k1VsmOA7UdWz+HcLB39wYu/Qpi5OHbDuHB2RA/6gEFqk5UxOo9//pr/6M5f
wUPLbW0cUw0/ViSyONPXMotrnP4/dvXLp/6GB520hgIdhOeS7D20eZ2Cy+Q+vv3zi//BCiX09xfn
c9x7s2ksl1qo5LtFT8nnhIcEvkIy6U1mFqCxTyA5MfND9nz0tUxRLSsvoNnCjrBDZR/Sabb3OkZ7
9c+/0K/B9V/s7tciRUIHirZQlR57qWp0oNUQPIYr+O8lxI4/p8i88TdDGg/8qjH6nd6bdzFWGjuV
tllq1CpVfYA74/dtpbBuzpxASvaPu/uPb9v/q17Gx3/ch/37f+LP30aDYr+q3as//v3d2OP//7z8
zn//m9//xt+vXsb7L/2Lff2Pfvc7uO4/P7f44r787g8H5OUuvFle5vD0YpfO/Xp93OHlX/5ff/hv
L79e5V0wLz//9OV73wwFip65+eZ++uePzt9//kkoQpOLLfd//PYz/vkPLl/i55+u0Hefv/zr33r5
Yh0ukv4tFRxaPhwgtIT8ejz4l8tPuPxbrADLJUmcpCT5lXs0wPm0/vmnJP2biEHiU1wkksWM4ybs
uPz6I/K3OBZUQvIzSeJY4aT8r7v73Tv6n3f2b8PSP47N4OzPP/1+e4uU4BOkImB6qjgR8WsGu0pg
E2a7TRwcu0yz9z2ED3XCt7/YF78/li4fI3maiIQrwRN8r1eHhuXISXw1cPRf2/XzSiJ5RAcaqoqr
a9erCnni1W/ewj+/52+/168qkf+zVf7xiahMUhD+CLqkr8VZFFJtTLNKfhAxbKczVGYd7OExbMQ2
EXQoMO5u3spFaOCB5dPiCVoVOGX2z0Og8RWZlL7GjJJex9OaHKDgra9V6Pwdyon9Nt5a8xdE11db
+x/3i1eeMsYUEeS1doMWURv8BtwlVE37734NbW4BEkFnCRPkQkelzHyFtnPWyPH7PJL9+7JJ/xwq
iPMyjPB/qZalfT+gXwhkzT7+8uePM/nf60RyuA0SEeNsx5rEevxtwEbuQoxWgR8W5OJ3cPJrt7xh
/5+7M1my29iy7K+k5bj8GXoHpgBuF7eLvuEERjKCjr7vvz7XlTLLnphZT5bTmkgiRUYEcAF3P+es
vXdlhrKb4uOSzpJ6Xa+rY96b80YTmtr3ypg3/Mzu/gaKvBmLKq7LHB+xoD5osXiYFWMoPxoH5qQO
WaEfJlk/uzFiTp9XRvVjUHq2K7DwevzX1/KHTvP3R4PkO1L7TNNy+fdfr8VNVo74g2lv6iGPT4vd
usF0w1HDGWnO3USCcBYUpmZvRNVNn6UzVRGDhhI37rLo7f3seOJhmOf+w7FGU/g4LZ2KTNjvs55t
u84+yxY6tJTJGMhcqCtY0HjoMZjftCr9qO0mhoOy3z27Ny89/EFZ3ogLbH3rxSkOWZs7F70omxOH
+7X20V0z1zYYBm3jomTmJaWk/epSh1Cnndtaiz9dpyVhRWe+fgQGWc89rJfyY1ajY1to0+KnBqnx
YQVX9v6v7+UfL+5v91Jqpm2ZUmcUQR3y13sJO0HjvlvsjR6ZxbWizcpAd9JOrkHP29R/iXSar7ix
AV8DI7DrDm0+/XKavP1BV7k/ozcnTdQAbQbrzPNQigZysSyhyERk1vcVONR+HDs1H1VdLJ/eMOlP
Qx1BBeezeNeJrjjVK1O7IK8TzV+UNp/cbEi3/eBof/Pg/FGD/LeLlbctwYVx4VX47WJdrcbonJeA
5JbxogqDmpZbax1qlvV7QWt8i++WwTEsXx+Yl6sjEfd0uem/1XudNtwLDajlq52U9vNffw7/w/rq
3hZZg0/Ager67bSWK6D43J7sDXIC+Ky2+oXBx8Hqs5mx3/i/MlL5Y6lyLc8wPLTULoPW3w61FfvD
5C43rudmYqPBad7e4vRvZEO3H/m3m/2X7/LbW5q7acJQjqFWZibJFxlx1WkZSgbvFv5+2399+26a
0N+/l+exR7OjEm1i/Hb7eCTTujYae0PryDiaolg/V6dxTlZrao/G3LHsEv7hVT791vKekJQ2/Nc/
wP+wvHqWJFQXSsW2+M+/PlmVmOy6iW0bgw05vupTA1AZrfJvdmHjrydiWteuzsHBtl2WcIMR1G9V
ItaFurvkqbMZ7fax7gyFImDBhXp8mDnXecl1Ls0AccAn1GYwxLm4rnoe+ewnbpiaNOa9YegA/6zq
gfbwtJOq7317fuyAaJCLxLR3EwXMMMQHWrHG4qPNbLGuaL5SlfxN6fD782G7rm2R/CqxoL6dq347
5a/WmjWD08pNw7YTRMz/fWcZVbg6lfibT+e/3TYPGRYbn+5wgNHt3wNK4zWCbyTeayNzR91FSyb2
UlvHo2rLfGt20bDnVnt/8005Cv7+VjuazUmA4xIrq7Q5nv31qZiM3jYKfYo2Yz4920lWbUzltjsv
mqd3GBMqJ33uHpn/H4BqPqRXpls5Lcb3VIGP91p85OzjEzIjmRg7911d3/p5JHMlZOXkKEJ8sOaP
yOg+qlHfJdpU+dB+nY9c1/CbvGf+NM0HOxstMiU7qFMalUAHTKWTJQYxshkcJdqibVs9ss9uFc2h
arVTbYh8K+cp9r0IyYBZFw9DE3t+2aiaF+hxkVnAon/ILPeJru5wXYnXrtfPUlu7a7kWdljatnrv
KjFcRZMa2yntVBitqe4XiFb8tpMpKZT45vLrPP1YVqFDkCS48npzN34audfurNjywKp70/qYE4Oe
rFY81/V437q7getMUqX/jAgR3NiMAH2Q+uKbhIRf/R5ub2s3WbYpE6/ez7ld0ENpi4vVpNm9PjvR
AMuBTQNIHntuOxhfEFzuuShkt010pYdRkk1R4Okj2qPJkUUYsUt9w7pk2iQdrpWMuoI6d57sOqnC
vqFDjaPOYDEqAlg70ia0HqJ4bAKZLJvZ1DZeNe8rBqFAtiZA0TNEmL/MVgjS7/0in+iUTcNzMw5f
KafL18RgwGWuzBCAUd+KuLnrirnbdkM/niMDxqhJU/NhzGBV/KWuCr5WToGPZSOwQfNQeOvrrAb3
PGaSqUrdgtYNCnY3c2cn0BnsXltY0J2O/899j3cPRDIf29C6dEajWP1yx97bqTXqsGVy64cud/X3
sqnztykxd2WKeGebpLN7z7irfhBZTtd0VlrMDNpoFrQ2I4N4tfYPZrQMqMdQazWMlp/hnepdjeXi
RdSN2iMIEo8ZB60L2X5xkGqGFqLMkXxnp75Eqxg22TRrm4Ho2+8i0ttDBRh4MWjHhTGf3n5Ni/4h
HvIfiH+WH+ntCicNmqKNxntNkYVTPSOS0RFPLNcmWs6RkN0u1dLpUOlZ9RNHgfgZbEr3wRoTDuAu
SEOT6XdC5mvY900frt6a+4ysbRCIKb5kTbWGWr3oATOO8hcDt3krRmu5K+q2uJa2+0WE0UdJp9nz
YYHQrrS00N4kKrq9pRjO0SPPOdPNyOa6eD24Uwq91aq3tu7eahRgqd8z5PqRV3r/qkiy3RdeUxA6
slSbOiqNgMqnO7VFy8TMa5192sKjtMJVG5vQmUDXnPLVaktxTvipQnz2+MNZ+cgKO+8bEOgDY1wk
QU6pSECaTlE3fpm2OjK8dejoe/Q6Ss2cgzSJ+QNCxU/jDBI3zqPYZriVXqOOcTeMk/tESOqPzrWr
x7ydnCvzz9rnHVxDCyDlkBf2/Vpr5sMQF3wmBiP2MO6m4c5iMMxL1cfb2JumAPqbuUtVn2Q6oj0z
ncRXSwxGGq3xS2/GFb9Xr0dNQ7RmV+DDCw7bW5jwhQ2igcHR4/R7hw/NaWT+eknWKAdwqKYzvfdi
I6AswjhPd7aVfDRx0W3J0StDYq8b1tU2zEYkOTO5AJcqY/KyiNn4iYCAjryL3QGxT1qYIAq5NwRx
VQT5ZIuzNQvr1Ywa6FRTpe0mjstQl9lV9NrwSM7YUS/GYDBh07L0OcqykiuuswfEB3qQL4nxqa1z
DuqXctJ3p9XapZ0h0c+tZYqHkXNtDRqwqM3WfTObT3o0B3ZpGf4wRFCbEPrlihcRY7ofUHTHWLfD
3Mp+oKkEYi1HazfVDqis0J6qrA67eB7PpT1GiCwqsjNt+OX3fi30sG4IjPqmKM9GPwY/3i4pOga/
Xttjr/cqMAoTIUqmLsOK9Kw3Jj0AE1uZhjPk90XTDgGkWUkOTldaW8ezgAqn6I5jR7Wr0jQ7VqYY
74WeMPDVyvIUY+UBgtZVj5bTPMQZ5uhV7onvidVW6DQ0nCBJdnqNStfa9KBNpyRqbwAULuQdLOul
HPGB9mZ3JQiqjr8jtcTiytUGXzrsnK2xNLwXtbcfGSgHdZ9SDuaLG3aqKg60KBOWfhu6vs20M+l7
w7ZvWLzTpH1o9V+gUmbpO2Lpnt1eogPV4/remPLl0VGZe2TsvxzlKtOjZpnLBogleitXb3kHA6/R
2OT6I0RSs2MSyV7IgG9ntX3yjXzLNagtePGxcW90nqYdktjDMthUbLfxgmQ8i8OZ4fY9nZ1+o3G1
JyBd+9iPnX2KEKFs4mjUng0tTh4IIrs5vE7uyUIHytAmVWeIDv6r88ZLI9NP6Mn0ObYLLUhusCaP
6Aabuh9uYcdb8megXmV7W13QZEGQ5Deef5XOcmAIsDFFe1cPV1tLNkXnlFdyzxqfubHbB3rtRBsx
uPJsNk712K+J/UleQfEujdIO4PReFxiXsIo1tr+mH3f2jTn1e9RQO83ySl9YTnHXZ43DGmbhriKZ
kUK8dYEUbfOEgsXC3QVf73Erazs+NKastxpDWD+nCR6uVsGDH/WtqMO5dKxDqtA/lq725lq9vHf5
+/4wC/FQIlA5r0nz6XSGvsGhBzkpCH/5hJ7hglxjLzvrF9TBncKR6R542wnnZcxCNcXpgVxG7VnB
0ASoHxEqS+vcqXozqgglRBtt24hONA0ChKCj0L3rhG762vedeqHEdG4Sv0TfMnJ3Yl92Y3uxTC96
la3UH4ui185GP9V3plLzeZ7n7pM8HcgXssnj5wku6l5olv2F5Mb76SZxeZclSboxYv6eHmEa0zpl
q/sJh75tZKcmmunZXL4bXidPxdgtAtinKjetJ8vHupTlIW7S8SufZmfwU1PUR0W3n5jV2qx9qScA
lRFnkhQa2w0rm/16pP1T+YWDghHvKoutcmiiZ6vWBz588Cy/mxCzLggMyZePyCNnMoYQI+mM/LWy
vfm9hSBETtLlfevXcRxFm3QwYwdRfOpdwF7QsGRiCk2KIXC0SNgfqmELQseefzjGIHeeLcSC8hBi
dZoK7+zlTc0Pr8EHcJ5JYURr0aBgbsR6naFoODKh7LrWS9yd0zF9LJz1hyXTt6Gwhm2MTveuVQRr
DsP6zmCfF3otwNfjrN0P5lpt0HOVPhI0jK0Nidzda9fm1iJill0gwalzdzgZZquj7R/irWSGfkci
KOGlxL0yMI+nbVQw5keRtGV3hbkwC5Af4If0KJBMvpbzehyiT5C6R3cynhGHf9eb+OAu6pudde+x
YVn7QonioYEu3HdaCUqnFfKUj4jQwrxKbvlfOlqIal29S6HVbSix8NsXuUCZI3ODc5JrQ8rZbf8k
uiwLEUCanW/VxnDJykRZ/k2x9x23AhfV6GQM901kq4fcm5+iuTD3ZHiUH9C4a+W3k2buaS1NX2MK
y7oWstktc4Xas67lHjGZQiPItvcJpzPSfNUjX1lOhEbBJKZTAL0FfVs9uCqd9qOmq4+y6nW/1Qd3
gzwctwTl3ZllVj84GQ0X7AbAacYuqQ8EZUyvaKPZdFx3NBs/UXYdONVKzaoxN4CPcZJf/J1ykyMa
rMNmEQ4bq9PGFkqjTtxlkwvjlKruKhEYxxuLVuumNbziNFqECPmJgxFFnsZyl3paz5JrVSaSLwMu
v/PcJzFLCgZJ0/AF8rv6oGDXjrQoqh3aIY+Xe/B2QgmoxWh9QD8SjF5RwpMm63Y2e+0777CxWcwp
2meDu96LURs2syQU3J+HtjqYpSvOWmzi/q/NcPU5WOmV1KxyA+ODtB7blt0QuUmY4Nl1LJT7Ap14
ZxRd9QN9Y7KDI42frFFUT6sN5DrUjFISuDmKOs958DxD+xbbufc4ZIZxNqQW+XxJ9fO2FH4rVBU/
DVPR2Pxmph/b1DZ8JtXeC9Oi/llmGKiHQ5/8ZGHJL/E4zS/EfCVpmMis2uooLr7BPzRcQ5ztY4XD
fN4n6qKvCjSuxfW+SmvzUEPVXBL9lvsgDPWW1EN0rfEC4AWi9zLBxx4LDmxvBb4VK/4AXr7jzFPX
m2YkzdItZm/fjBLVM12G5EpncHzNLDqDs1iKu8obO8JOK5QZWhdL2ilru+xLzmtHJ++dr0lvjJte
B2sUcobrB9DApYx9MRnGwYYU4dBHNbnPWpqyfplgVt6kbrmPyyl967qi/WhSS9M3psbggNwK1Kkh
h/P0ZdCxADXcRd9Y+C+hHCgKChtXFdqpicf4Ihyt3OjAzfsxakdfmDoipSVu79km0y0oKm4YbMQq
iBd3eRV6Wb6IROCylLtYGNZrRHFY9pdMzg8ygqvxiaUZ9jWXIIB26vIXv7ScYLJyjpbZ4uJP6ImG
WcesXPtRxCoJsXjgFBIZGdJeYMAXvddpmGoa5zv+d/Mzr6N5M66jcdXHAhml4MBziVoxfgfDSz8Q
F5XtJtLt/oYIW1PyaMZxT/SdyWH3T5axgkD1W7U8cqG00Ot2FhRVhbljU192s3SKfWYKzXwtoqj7
NRppTmlN57C8M6zCATsfFns6egvcsr9GulzCfMna6ebILcT1TyhSXxD/bmbbfh+KucD1wzUf89X0
9olImsUvxqp3fU74acXbTojshjpzuvbN1LAUrNhl+FGWePG2KAFqeiJa2LRXt94g9VyM03/ilInN
oMqt0tW3iWw4zA3JYhk67pdktMF6BMqvqZHUacKdf621twIyGtZ0t4qq+GGjF9p2NWLLYGGHBcia
RvNUyGJ9M0qr+wVp4Jy11RafXHrzMUQTxv44d/V3bIUsA/8MasLzL5euclyiNMA6bio87UQ3TLGe
jwWu/aOZJ2GDAuGajJ52AftMv/3JcsqpcX+kSHPorrNwvzW6i/TeNadj2scufk+TKBv/hqh/oCKr
wry2ondGSrxXY55Q6CXVUzlG7ilqbZVthWv+yA0aUDcg1Oothif0M3c3KjTLEHuuKy0wv1yFekwW
mT8TQddvTa1WR8S9+hVZmaDx0Q6t9Iex7LZLufaHpWiMTS2Stt8URtW+makz7lO2r1eEplHPCh8T
X46Crrtr15SQXo5Lm2mq+j2vqjo27qDfg30LBxFzj5nIDOwogn7uozKY5yXqkMbhtWbN43pOdZ3C
gGr4h2E37oHuqjoa4/zV6eNX24kXjRLAz1PsJUxo1tCtSMWwJpbQyi5JBa2VukP67p2QmiVfkCJA
k+iGFmw+PHaGgoM1fqMGpjWNpd8o16QLVpQiX7D8EfilNH91hj11P2/fglwwZ+q9xzm2Yrx1jRFJ
5jomlPYO48wFsd1i+bUO54cvhuNXS0QJvr7abYtdTrYixBB1iXGOC9ozR/J+BLM996zBNpcVhUkP
SeV7mTkcx75ZD+1kQbw1y4fGV3F8NGFWSGGCRX+/zFgvKHcO22X95g704dTOK6wP2brTVWuk+Q7B
xJWzDfv0F/sDM65qQ3fJfGV3CiwRN7ds4MW+CH2eAs4yqT/lmRveMN64LJojwiSkwH1Tfy75TLut
GJCs1NS6YsYIw2ymPgqicpFBBTnBLdTtQ8eRVvk1m9Xk9zNbcp8Z885pV7GrtC4Pi9bBmEYNRn3p
DFFuNavFNkkaSvNZ6fSnGkb4J62M1Aun1J21QKTzgdi3R4IJ4nvASr/wRJdTAw7mOYqGoE95Dhdn
wQ7HdTEA4hPvYbINi6GrO/HExt6xGr33SZjyNV4d5y5b2jrI3FWnNVvMoc3eezekjnl2x8G52eI3
76PupMfCLoqAw0G9MeZxCgjhrnzL86bzPLkZkaSaWDaeGTOtK6mvHiSI39Yap/HYSi/5qVospWss
pQPTZoyWJap8KfDCeFZqWB+FUPKVeT2GRxIJAALgoTE3BNdUOCSkuhlaZe++uiLJ6cHmBqQWQnpj
SSLk8H190FfA1hr9QYDjYRoAYo5lYMHR+p41F8lu4iy5Y5tONWhJbQpIO4nikCBVxXFrQZ6ZeBCj
WAmkOLwh7l79aE36A1Nodw2WrqmLbZfI4RFLBW2fc7yvWE3dZqLsMhIFszyJhyRf0kuD0OjObYp+
F1dtHpIk6Zxmq2z2U6ajzWlQLEBoUQN1OF60UVpju1HdA2mbL/oc+WVrfEsq57uXe7Zv4z2EvsYZ
m40Tk+AZlq0T9Et+dobIRlgea491hTyyKU33rlim/Jx02XMZe2gV8zH+1WC69yRby3oesio6JBxB
NqIZnyIDK2QkLNPjVEzafshxZZrZSSEvyk2n0uExEqt6ctai2MGZOFujoMtMQ9c8T6U1kJVZ99uh
q0qfYcjH4LbaUVM5Is+oAKVt5W6weIzQPv/qqVY+lxX/i1rMwY0qDWYb4SLSdT9L6uKgGVW+aVpC
MGQMMJ5DvFY84abarOYaPwOEb1fmsSaINeYjGCoh7PppdcV6VAhIry4yIhuxq4UYUbCSlvSfdlak
DdsKNXzj173hbgz72iCp8DH8rsegtTssmlClxQiK06KGA8+PGORg3CA2XlpexkQMH4Vnfw6uULtB
zPphKXv+tJs7D4PWBghHT8ba70VNfVf1yjoC7l7p/VbMDm62W+lDJWztR1yvE0sT5bAxFTPt/HE5
0gB7QdRFW0GTAYOHwCAD11fjUB/MNjmqEtlJ3875J85YSQAU/G1d1UnXqSpuUYBYuumGwkWDQHm2
A4G6w6YEWu3kII2FcJ3KA9Hz+5JJFkcPebQFMfMtSlbfyRfpV6aNUppUbpqUlBM2wvBvpes5x2LM
rNCsHIr2Yd4q1txQkyobQxySflRFaT05jcLnWsVGjG2VMJyttaT9Pl+W2qLXUsV3tkgyZ2cWuv3R
jrpQ3yN+g9ezrR3qXk9/RqOGS9g00m0jbm+T8d7WAbX0ZnXdBdMyr6aV0SbLQySs6Ak5C/Lfwau8
nXSNA6ZYoXIb466xjYQB5jhNy36Ua/I9khiVUfnySLWJXqXPIllTRo66GXvfVRKxEOu2KcmZj0V0
dBLqk0DhMTd9eF6aPXhK2uaBcXaaB8vAfIQBbXrCDncN1mye4Z5h1hfccHABYD90NEYIrKee0/ho
4B/TacxI2rNYbVk3iCglhXj1J+TrcCCJIz+IPR6+LxV60T/kEa3lDYWPug1tD3VdgA6MDKG1J7am
WfR+n9ps97nGR00xOFItRsRJPeBe9k6juN2kxoSP0dzLO+nY9PCF9CH1bVar/OJoKN3gEK5mahy6
ov4ea7g3MOe62uzvqiqvplDHLu3Fk6UjQfUtVaoHmwPJmScu/oiatKEibvypU9pJLvpniztEqPCm
3OdjkzBdWhq/SL3dWHjfRjU+2s38bkXd3Pu8uLzxq9kciAvwlav6nVW21cXD0jhwWh70IqHZCJN+
g2z04ZG9u2SHzOiSpZiBbCgDqFR7YQEd5+tYfK0jzHRrmV1ws3Qj6g0DABlRM5ErB2XiMJWqvW56
8vANeVFDTaBAYtKkzu3mkgIwaHl27kwRbfCBwwHBjWlSdFUUvVMvFNoGKq0JJUriw0i2+7dETxFC
osaZj7CEmgpGO0s5+CaMhRuCbEUxKJa8GCk6SsFUeftF04dQo9TBtDcrqouWl/ZTM3k6By36p4km
GI7Y6UenhL4jXZKG8cK6n1R2G2Lft74vkqqtCBhl0dlAlJ5cnbZ4nybdfFCrHqlt15vLt1pLsv3A
6fhseb2DO+Cq0/xirMeRaLWDKl087TznQmt8KbkN8GAi3RWdiq4mraGf1KZUIWsaXZJRlTQquH/c
SRFLfRPZev5CCZeEXdvuMnTeU6FrR8sTzAu6MXsp+mbfDvW0tYvpte8K5A6VemGAvKt1V+5zZkmb
YcU/jHzsNg7t1qbHnQrUs4wUWVeSl76SOcRITWVCwCbtK0drf5VrcqkbmfnIZvEEaMNyygnaxHUL
OaWVBaub0IEnaCA2TBzrIG3QIho1esmlII68gobBLcpOfhiDYddAjfW0R1XSvuOzS2/VsZqDnRrN
Z4lnEByUwQMyJW2U+Igex6fc1o05aPQ+22cRFiZ/yItk7BYvZM5hUjDQrPMCrBNWfi6JDqd01EPc
ZJdeDpwsxjq5Y3LCyMEo8v3cetgdttpAEodFqsXjOidkuEh9ummDXWOP4Qx2DJDNjBOwdnhPWRV/
rsRaByVwzZNTR6QY93OdHO3VYgmz5XiPSZXnjwb+x6wb4pgnBpont6msQ2uMVolmacouE+eYuxGd
IQ4jODwxTYuRTfh/KqB6zQBg77nlgTCG16xbcfVxV3eTOGO7m1w95ViH16Gs2Qan2N4hZkW3gVLP
OFPBVX7cMlUcw6ZZH8r6E+sx8YW8UQQImsQpu514p9VIHuH1qovpjUNQobK8T9fV2fMqmfce7aBX
KzbkxvXILcAFr6Tes3vfWDsjsDNkzlaKxJVZXnaCc7I4lo2cnaNmOrLizsHIWW47sErvHDNj7l+1
t8lYE+lv2BzVdxFToLDOvBiNvek8DquXnLEJtH/qnpSRT1ePzSNLZzMcLBvZ5iSwV4yHKaSHZIZa
jKNRnYn+vU1i+wkDS8Yxtc6jpNCwTJhuPNqgWn7FHOpmx9iFKYssDaoRu4JGy+imZAte45ldPCVF
ne0GnBjfmoi1rtJMBvpTCdnmL0jaMWgUN0+EnMRgv1YSb35ZxT/x4TI+0Jcl18XompBxoggMQEW/
wj0ycPEnDAwsGrlTeUUwpLkcY+Gy5ahq5NOZqsb9LibxgSHElxqlebY9854Him493ST8uPv0PhZ6
MYRD2t4qBysu5ou3MrreISruhh1WxqxmcduNex7rhuOjSct0KtwYn5hEvchGu5lnasmohZWH004g
uLMgA6t3Kkc92tuyaH8aavJNeu6RNPsrWqflUGr4EWFNNbZBP6XgM3GfRA+KZtETT1fyluGP+455
Uh46EpMYPAbUFkea9eqQ6BA0cqC+jJaRsXOua+9Ql/1Ltho0ptyioR2+6u4hbo0mABtTX55a3bBG
Dr1Bh7c8NV5Tn8qiLLbsFvnGkW13h0qmph5FN874Rf+jSh6C2Sybo0ipvgyV53f2ovQDvi1A5Owh
eDjl+Gh21rheaLT0hzXOxPdMKefV7DhoYwUEbi/ijj6sjHdzkiZbsPVNbszDp0AWQ9bdTfEnjYn8
CMxKTtE6zfc8kTlHaqv9wF0x/Wl6N0vOWK1PUhrj5C/UO4iiGB9DMIR0jX34Rv6Z0SV5Xog+HgKG
G+4caGPfPelz0V2srGrsi+aW412/6CXskpjw2KfW2jdJzAQdC5f7xYwxjBNOoe89Pc43tdPDqOho
86SXyme8+Y1LXKNoNXRJ0yY3Jt5nXr1adQwxCZF7idsChESAUK1ddRaVeJGl+DJBO59xIWoeMQmN
tqKak9upFsm9lSSvGrq+6zIo+WzO2fgolhHJd/qAW0y+Nax0eM8qp7u3dXN+F1Hcb1JAlKNZYf0x
yGh4Z1l5d7LcPC/idj6YiuxiZpZxLPNO2+UqLu6RUWZBZI/Z5zhG3bbBaTJoizGhVNFYHQCs9tSG
CbYitdHHAfiHjZNL1+zG1l0/CtW0i98vq/GzMG8mFl2tYQfKOfmYJlh4lnjR7Ru0YWHnSATo9YAF
CpZ/O2ppl6UJLVtRO/R9nH7XmnK4q6cIQaej6++2h56YhuYYFX6TFPoDzdbkOK69uaVnm/JV5byt
ai07KBQN97Vsuk3heXoo4tI94iQKFFv+mujXODN7Ro4cbscx2mtvZmkYu6SxFkRdWu4bh64xEqIP
N44/oZS+XLqtgWKKnUT6dpYgak3npLu6qb5ws618zxG7Ejdjv8BBss4WK4yL8aRadZpk9ToPLDvz
SoRQzmBI6IvG3BgvESw3B90Kx0Tqh3ysn5ZO30MMBVIb4/2SlnlgTwkEAlMh5KUzgyx3oN1TdDi8
GmK/as1dblr7IV1OVkP3e9EdJkJ8yX3nzunW6snKYuJOYjvT/fSbRKqxFVKlZ1cm2ZPB/OvZLqkY
qzWhFV5U+u7/rJXGuZHR/UZmvfou4tg6UwJr2xUPol3ZJd3LHzzjf2oy/qIz+L86j/+/tSDkGcO8
/7+FIIzev7f/LB758y/8qQFx3X+YGk6qwHyaoVvYDf77v/2pAXHNf5hQ9XC7BjFON6XHv//bf2lA
5D9sQ5MQh7pn3MhDCMj/0oBY/7iRvi4OIdhYSB1F3P9CA+L+EQ33z/yrobmuCc6E+gCiUrO50n+m
+xuiQbvSo1NfR7r1nCprDYeFkTIuL104pvOwG0kKjrNipsfquh8J840TtNkADsM/rF3p6Q52HFb2
lsZxAnaxOmfdK/FWR5gI+9dhF8TxonWcN2OdUEFPyOtPUcbZ18/6pjxkYNU7xaHnzTOd6tdayf4t
xnuFVqlp9FdHivlec9kcvU4TgdUAuU2aa9zNLY5UQzc1R6srq7tF7yR6eBqVChudOdQNYb4Jh1be
se679JjmHhPPxLXK5yyJVu2QJZY4ainfKLCtlA5Y7IwO1tVF9DKDvuwKW9hHx6vGbygO8Z1OBf5B
bLoL0Mnsai//Qd157UaSbFn2i7xgLs38NXQEg0Gt8sVBkenC3Fzrr+8VuNWNmgZ6gAa6MZiXi3q4
ZJJBF8f22XvtyJ/HcEc+mu/tlmiNbp5hp4vzxfkJ44hBFph7ibQPu8QnCn25okI9uAd9ehYmA7bT
lOzKOckZaJCB2zxYFSTclek51cM/znYD4M1b/C16WAnNpE3+GBH1Lu7m/g9MeesRulsEFiuNxs+K
RAWYa1b1wFStub4kk/Yh0Qplql0kPSuAKzfohxbZ8BgAAN71M5QUDBgcQfWo3V3Vy/IMjds/Ipgz
zxsPRo2RWXhwer/Rq8n9k3Q5M36Q+NAaitxrDpmFExcdRfCknzrBXxemgsMIAWH8F1RaDUSVYMvc
iWpHpkU++aWQO8bV5mfucsScDAstslHmflcakcHuhuBkVVl84yctTmM1Oy8jZ+NbtgiZz4pMSGvn
VyKzthPLBLPSHuvctcwC/9TH8J5yPYV3ANjZGfq6iNd+6ZnTPBSSToQMpBWwsgeWQ/LGzaxxawe9
/8tAJXqm7rp78oQH1Y42c/GQ4iPkGOH4AsCqP4UXEYTJXRVgrFlJrbpbtsDu2a+lcxS2hd0ZkbM/
9u3imFUx8pEiRGtzsK0we0jjfnRXOhymMxufJyOW6FeIineytHfV201wI605P8RO4/AxlXZ4aXo+
KI43hWrhJ7OEWhfAAUAEhJmFVFK2csFJMF5dCe3iHlt2oTiu8bFs03loHq0yWEAbZTiEUmuDv/xX
VZkICE1pNjXglNfaa6Z1g7VITL21Y44sN/7s3XUI0xPOgZ0J0fCixnuLEvw9vdPuylI2wZUnd/aE
Gn9A4nzbuHEuJmie6qb6E6YtJxIXrk3YQxOo8Iov3njHYpMDO6oXHTLQq1DCypQmibsIdRytQ8op
2LGB1QVomlaxcZ8YNcp22U90HXQrph//1ADfx3Qw8kAwibsJl86clfSCLbfh8FJgorm1BCBpQFjl
PveQQR+6IIrQAHHzsBIUVjKuYmtSvwCv6gJtsrMGLtc4+dYFz8QNTxPySgSruvCklilJ9m7Ph8Oq
P7fgcCqcMTu+yBdIgnGHouSOHOxGv4O6NCqpf1K36GHRAPCjUcnnsuiwyRrf2wusSlsvroFB43lZ
D6MQexN7BtVniaIXyUd71TQIeFUQkCBdGByGCaUI4Drieotptsdnl5HrwTzwpLKGVQ3MWpdUUDPc
QOLDNgD0/j5yVLQD5Zf+QYRhfYZi7+SrpRPzbpzBOqauNU6rxcG7UrhD/8ERWBxqDeGRchmdHuYI
210P9ZkFSSud24bUHqwshuOwjpt3z0E4jpoZPmME/8BUZbelb3R4ErndvFt0PpykqWdwRpzk9m3P
doDPv73PKFEYkLO9/iueCgL+TnhYYv/G1no+d0Ln740TtzfYnA79oi3SPYM+ZoXSjzOUx7sAYvud
Y2mzV0Xh3tfFuWLNYIYBJ1yXphs4l8ML4Y7r0nXE50oUrcZEWVkX0RaiunG5mu5G3HjnLOEJv9bw
YE4Ayz6iMOw+iN3p1zrty1s+Zv1g9OL96vwi0JsaFgh2dzgedzGo/DOBGiCbDs3pm6zvXJI2Xbhu
feXcJmbBvjoSQdgiVd7k8+KtE8S4emUNcPEszqyrMOdPt4yUveaLWZ4i5MtmHQHUfVPh5G7nilWe
STz3JPPrjq7Pl2rNLJr9gN/vjzZVjICN4YY95QAqd/3135ZsJ+474AO72Oj54GAl+LbHZN4HUcyj
TxlnXrtFXrDWtKcOndOlFIYT5FV3ifP9MPK6r5oa4JQdAB3X42MStn6M0hWXe0US4Bguc0xxRVKt
0yjK36yiX146sC/nhbO4XqEHOifWxjUZtsS1j7Fwf9pZ6I2A9P9FCxi95guejxfQuRzdrmGOYhPW
jTwjxme3jmpntWp5tvqJ+QQ2mXIZ6+ySeU1851YtSzG2mTH4kxHMNTAZkBrIU661neOifCD6aXfH
sU6X59JheFtNJc0aom2C1+su62XKUGMxgi77NGpBK8a5eyfDNv4t+y7eYbnrCgBm7FznFo7vyhvD
aQua3XnNGjk+Sx41n9EkUx664Bto8tAC+o7M/OpFzln+Gxq3xq9bso5MUtiAsE0+ksxxgkOT1S6O
g+pqUwh3Uww/BVNndloqf3gPo/iLDf+BW0uxwA4zNt/DwnYnPhS1/SQW/s5zVo6nGeCKn6NfYNDI
8NaNuBezanbAyHKTHPow9W+mIguehoIuRKvtHUp/wu6okoyhw190+1Vl5kKTCn8oou9HB+bIHjcL
WM66sTLWFFlO0sIZH+KIaxrgJa9W44Y7vN/jC6EuGtCWplxTUkAgU3rTi4aouaHlw1/pvAjWVZt7
KDO+9azID0/ezKpCOOoBNcxcyLgx77lp9mbPFGAMUC+3zYAwBtBY70fSENuYcesATjZ8D1xc9pEd
lD9D60y7sQWHtRpBjj41XlpzEuIoWDktPniRIJf28w4sfv2LnszlZrLL4A8ERAotIh8jESshY/G6
L8g6fM0Fx2jCHsqBYT+0brKaByu9ycErUV7T6ulPFInxvCBPp5vJWCDGWVfv2nEqv4DbO9vRakEM
wgzcs/dL74OZOYoSinAnO8KeSyar2z4Kr6dEdGk7wk1dt9MPxsL2nvqVS6/c7mDjnt7MNl08iiP4
Ss6BPtcduPu5H88MnekGSLR3lw9OfogqHuugsOlXd/VeyPQ8d6T3gWxW2EdlHLc7U3bXCoY4lY8l
xRLsMiuB57C22EgNsEUdvGvPBsmN9ME8FekagzA7XD+slxsJg3fnUo3xqASM/Q8YqUqekAMmKjRY
uO9IzXl/GLLgR/rspV55SdX7aezs39If4/qEI5LZr1E6/BnIPNi7peFthPDDViH3JRTgfrkVrYWy
mPmPDJPzKQuzhNhPq89tk4ZMc8BwV8pk6Uzhi91Gq7Hx3eccpelAA0bLSBlGCLHZjetXwYUnQrf1
69icg9gZoGDGbvpe8RVnx7AdwEetl0vTUc26qvArfORM1k+IkM2Z+9Xvmb3A4Db1PDxoC/g/aahA
3XqW3YlVFRSLAwHQExuS4nazmewif1rswKGjD7rZB2K4ObstdSlr2zj+xcXsvwHhTY0CwyoV1Ukc
lPealFawbk0bEYTgZL+sdU0cdxsvAqKrZhn1JnSCm67CX04FjWedYsmI4fXtsdS5uQw4m/INu4Jb
Zwgknkj84gxglCmvM5S5H7LB9heCigI4quVHjxJ7VGjE/SoIyISt4d3rBA8FugfLAEVXdNFPxcYq
K7veIqSpZ8oAEmjvuiFQRDAa3sa1+aL24TCHqIolLeSIKaG9nrOo2fPU+gT+wTqU9MUmUV6yz69M
qillQ+/E9+Qk2ZMP8SEqSsxRWdSutbGOokoObBguC0HJ1RBUZpNncfckxgZXKI7NfeTncK8ELQVs
LPbW9YghpTnwQSxrQKMFIt+Kn+QU+MUfgc1rk8bWARSBQDpm4OaIfK3xCC2Kd5K3sBnzNYikZ6oa
8Yfm8YvF2LHiODjumqy743SOW3JUt+5VLDbCOrjYYnYcRr7IFZ+1nyGD+1fUV8q7QcS/utK5iQVH
M7+F2dbRf7OhIwB7cZl0R6nNsjUjeyQ/iBYSXhh53WLo1trr+TkxNAGUHzFVUQMKyhu2+PRpBkTq
PjnA6k02OLDull7q+xHTL9YEsdxy73koyxFCLSswHMxzQ7QndNxTRsnDY1QpzV6+8tcx2a5tLTBW
sP2By4/3x6WdrtUMpciE+8n2owd4nDab45zOLmTnXrHbwld9DuY+Q47K+XxVk0saAlh/Lq43HDxL
Rq+97fTvSGNVtk6SnANL1gXpzdReCbSLMwwPucgMklZcha85DoXPzo2jmxaCm39okJ0ZaPz3eKz6
eNtBms7WNui36SRcO30Mqngy28B1wfLBp1rx4hBvFN/kTwBMq3FlNV4g9iTA2pOUsmMGVayShByq
N/azT+7MpSg69UwBiX/DAwYaf1opAnkUdFRAGOtgDLb09bBtaMNtZYvhtzP3icN0KtQFirc6cMZC
401ElX/MSgUEhuYa2yYZr1/cWSkAg4q8gjHJ3gRTsJ+oLdn6KUc4B2jvKVuc6dApVIKVgrm9TUmP
3dDKhsBAR8z4GrNp+CCNku5TFGIgt2S1XhSDC6puQL8nyqOr/8Uo+p/W1W7T74ZA9J/uP0NWvv/J
Zfn/iMRiU2AHau4a8v2vJbjn3/lnEX8Wn/+U4f7xlX9rcfZfLmPYP4As/67FSfkXIhxzI/1UAiXu
GgP/W4uzw79QsGQY+p6PwMWq5D+0ONv/S7k+DFZS/AoqBAiE/4YWx3dEa/unFofF/ho0xi4Jlh5/
zjWr/g80UqpV2rrAUnat6B4DNksH000O70q/34WWGX8zwiE3B2F4gPhJbciUt7sB6eiA+8jFipVB
Ih8CT9BgY4/+A+H1jkkuKo447s2K23y6yCgObl1F/wF0yJJjbeT/NE5U7hZqaSXfsuq+2jQS5CQE
dkZqO9LgPSAz99pVRXtbl03ZbHqHPRUGbaFu5LQodjgjpwwCj2F+4MyH2SOmRLDvPYvHZjESt12a
7YxkrzCMvgcOG1F2XPjG+DgI3qLXeQf6FNIdDqgKAkfjNcexLbOXwtDPtqYTY1yYbiaEfctTVrEu
sCXc6cnz2PcRliMoaIU+85hKC5QD6b8UjRg+QqF4QzDJd8cqzKJnDo2YHh3B6RNTZJBcrh7jkjf6
FHD2Sdz0rsvz4bUpCFxv8auIm0nA+aND42LP9sCyth2/S2HML8sFX7ii6KFFM5msZIOoCco9t/1X
pkr33Lmu9ZyA0X23Sl5hcCvlcLxWKz4MnNC2DckeXu45H3gMIZAfPGfM1fzsfVLgZFPNoQR6fBZk
uMgHTXnxFfSgJ1tmCMA55Aj4IVUosYsm5V4TRr1zTIgXRst53kTldZWoqKvHQhIAAsfQzIGHJKxH
PQ5hivFUylZsMQQAiiTN9NhPvApZQA42zYYLTBOsfdE67ZfxE9JbdhpnOd5yQfVZxBalsvYBDNBt
nEu5SZpwA76v5PVOIQCZ/+AgLZO+Vm1JEHay6hvbKnMci9KsjZpqDmIq3pemnNdWhyktCSmZgfgQ
H5CFsFN4eO8c69qZwkLuF77t5YTvMLovIR7fMqRgGytH+dXpYtqROm2PunSSgynUc12Pa6xCAAGy
PrnXGlOqEzbVS0Vl045cs/eZ2v18k/KmX8cu/rMgwB7J2vNNiOqDoxzDBMQM2LLDKwm5/prN7grO
OSFnbzONBxps7ivHXveJfwqqXSyXcaWL/GprJJte91WPffRq0xIIWnJV0d31zH0gb1vqGR5D7QeY
HXhtnXJk2vdWCvXsdVmpNyUUAIVgRIPfqpquqXA2T/OTU4v6QJUPa0s+PtatdHqsHIwiRxNiEUQ5
DrzXIlPexTfKPdhNnbNGN6yIIjmmfzBzV7tmNLwH5ylqv8BYx9ebksIlWYDFzDoydbyvRIM65gfz
feKlyYOHKrSRWSQgIrMiuq+ounQ2cxenjxPOs2o9zonZQq8aPqo0qy5pivt9ZuC+wPqk7GN0h4Xv
lNebfOjtx9Cp5UEttUufCYfgZyQP56U3cjwE4zR/oY2Y57nDAc64l3lfXN/pH3R4l4Ya3wb5WcxO
8mlHORn5GrWvIGgu5V3m1QCNBZM5ZajGrXf6KthzSuFgb/Cq7qteF3eJztznwThwGxqf07Np3XNj
1Q4/JDid+yTtbZpAg5rsX4Mxcd+LPr7j/GkTWYmDfTam3RljDU2JXML8VSMUgrZsu3OuW5c8xFIf
FOljOqhydSkKg20kB9RrVhBGxU0QVWyR6xEp2x6ys600fAXl+/a8aizbfrb8YMTeEOTWlvtXXjjt
mAfY8+LRcyYHUp0duMkJV6R8iXMjXAI9c/M9LuWyFkageUNlqjFo1uugV6esngnbUV2C9IZ3krgG
hO099Ds2pjqFbeQCwTqMYXERWUO0ybZ8a1O5E8eSsLMPEzbHhyDDqudz425bgQu44X9W9rgUT+0A
7rljVUgYKrwbcDzc6smob4IR6e0YR3pnO+VyqpsOMAZ45INEK/3SS61vh8EnGV7APk+ML2+omOJv
6MQsgMJab2hHwQwj2+KmmGdg0qXfj1sWTF92i8cpR2A+uEQk3/CaA4Ds3zI6bPfc+tgudLBN6Arb
WJkefrwy/Z3BB94GrD7WAMbT9VBy6s7d+pRaXk1K3/eOhZ2iJnpy40eB9WBbhTzMS1wcYys6ibjB
VoaFWGy73JrfZ8jjKOB23Dw4kedip4ytatt4zmYp8mdCb9PO4EjZlUn1ngtkDtKx9gba81dmUcx0
ckCikesJe70ZY6Z8IktUOnWRNzzag5fdEo6vdkpX3QUA9o1U/q9+qg4s0fGktaxR2qnt19Ta2hdV
OtCKOzD4JeaEZRU0IZsgiDQ0SWNGuXHIjaGlUbqSrCY/yvdpIvhPuGBmX7vZqdERTiyWVTAWlkQI
D3tfN5tVWo5Ekpr808y5OQV50H+4edWG1FvO6S3Z7mFfJHaNfdDFt1DDl90v9aiQ2QFrkUGZ+huT
xNpgIqAGEx62u1roJPxtunhIr4lJX2+9itA+W7s4X1djDxULzDHvgdRpMV/i5eHwtMCk+S7Ktr+7
KhR3qU7YeNDusKE8j5Vf2OOrcZ3bslR3/FoUc8X+nD27raA+LArp40F7GafXKEp+Qi73j8UPNow9
t2iQ/U63dfbJA7F+JFiU4oXzDczficJZUudXfS12HrIhXT6suBbbWOYTWesmHK+wbFwzY4eMynHz
VmJe+modTf6df/haXzlh1XIDDhCWJMNVNS+lRNKKAxobWtmeMCf291UWxa+4nqo9JdP+H3bB+fs4
eBUFbQtgL5UXJj3kXdwcIOQDBxiqplL88gOSjecV97wDxj2R8eGifLWcWEt5rynhjdPUWtOpdlS8
AfMqjpXxO15IEqL3UJR4Y5306vvhs/LDbvnm0C4OeEzbjesv0Q5jIqgcjMd7jZVt6TTtMkD4WTCw
qBnrdeViuWz9DcZ/TpVTwX5PoeD1Y/Pb9UbmuZJLUU/B1hE0DPIg3phupAQqQCB05gfLrd1TWY7e
UVezf0hNVH76PM/WLX1ha781TbpVhdhVXVryhnE6okFKPQTIeOcYQxvLBeoditHOVikdXrsqL6oN
tsu1n2K+iYf+xnHmP7bdogsQQBXADrwA+3nebr3FRwtyGLUuoS69XRGzG+5g1e4tfKiiHXmrhI09
PFON1b3gIcoRNiBRj/Z0gVzbYPKhkEgQPNpEA7CWdoxdmHzEcGaPwnmXR1mydt3pgy8azqmRyxf+
mGkbAQfZeUlcnHFPuW983oS2vKAnp1NVgOarRHtbakusA9CF5IQDWz5UA+/yqK/EDSlPfef4Mr/M
aN4PoEfU2YhCn4fE0ghNlfbvuUPDiaVa0pw5h5iHInb834uYYvJYEU7lybEvfu8EJxBr/u8wiUJS
DyHrtDGhBrWp6xtfBHT/ZACLP3C6dbc8NvNjjfK/aWv5HfdDeJAFqnDMxu3Sebb64CSOLTUrCipg
edEzF7lZdVvNNXGTBnn3WJqYrFHiVzNPDxzf8TIVuxwbwyFsZHC0fDk/RhnFfEAUKJpKZbQp6Eo6
YXKaX0dE/7vJJO9lIKN7EVX6g6V+fSDKn25m7e4x+GvU/qzeyTSwt6ahkmRO7PLSIMTnqyqKtxVz
E/oSD+eevlk2V9p/Exxl+JiVoSWSBx7zY/meIPegGOf6ZFNNt/Kb1juzQAAnTxkUW94W3OlDTCH0
2vRBv3WqZfqOZjT+IOW9FynwgODO0IYl73F8EfFNKeuXgF7pN2VFTJkmEJuegYiCM/qlIBeG15CN
yT8n7Pv3vFERslxGXtodena41PwS9YK1kV6DbtX4naZgfDQQ91PWgOwbsmE4YhixT3Lq863TaoFC
raPDSJdiiKS8qoAfHWX+Q6Fr+BMrorUZZHPFCEusEyXqe7bgCeVUWpHxTnO6VcaS7BX5FfYRnPoK
dg1bKo28O2Dk8x7PXnM/9sXVAlFWX4IL5oIsOhwzMASr9KqucfRhnKhD69DJubulty9ZT3E6P0VR
2jIvZPmntsOFX6XKtyBdkm8OY4j/fmNvcPF6qyHs6hfLWsZHPSzoKHiQ7I9ClmSPZdjv6lRUB3+a
Q4S+MK9CEnSGQ0+n7PtG0V0UDS2tpbo0hKpDNqWUWV9bdthzc5Ib0utGQuN9D/X7XEwjV9YY7Eur
IPsQ9beuRTt2zSulJNUc9FTADKliY81H3YXnid3JmhAmawJ2eWHq0HdKBaIOGoGwY37X43SgbOxZ
QatcB/aQ0hAB+5FFyIwtS8a72WtqeBBld8QL3X3Uohw+l8FutqGMglfLd8IzO5Xo22JmosewL/r1
0PgEA4LY24ZmgJOx5NU56DzzIVXUMxv5/hHEUL3vXQsUTjhPFpRnJxWHcPFpQi9sazrX+PppjiHi
vXfcxF8lGF1TRn0E3giu/bfAVwOYCewgLslI/sLSFsiVhR3slfpSe1uFc3jpxiV/ryE+7+drrSVW
pekzoJ+Yd4cu7Puc3RDPsmJ5iOlgOml/mR6stqXEElc1Be+hREbXcjkuKBWPoQmbz5hdMom9sXqn
SAvtdmnd47X/4GpZb25V5wiCIV0FTrSzBeb+unzo/C6wmFiG5rdY4uHZIrAA6njw2ltatoPtiFUF
qg81HB95C8RMts6flNX9yYMdwdJsZhuqYlsgwrrpKw+Obt0IBNgNe6/+dpILeIfIcXbWPJv33tdM
rovM7wtudxy3eUnWefAvOfsMduYYZECT0AKE28Bp77XsqjuG6+wK7yEg2GQOjxqwSMMj61QMl3ii
82MVGHpnWZo9ZRUzLERrzB/GCb1NyCnmTGoXc2VetC+BsEi/u1KSk9Pxq5cp1PEmchXO+iE7jgUB
aL8dl5NhPDvhKB/fh8UdnkOm0IfeGXmbgLd4pZgsPYWDnX3FsuddFI3LhWATxZ66EvG58TL7tmiJ
OCdgoVd+lvtHUQ0T+fd6cUqCEIH/SaY+wTClXfFpApvyZ/6O0xtmI4nWkmF4ZlngiXp7BbXd0P9C
9r1UnHZr8m67Werqlvd49ZHQEP06SAiKS+VxMFAscmbllHeu8tRLILU8KaIxMEoHf0MWylz8embE
yjpQmmxV0+EdM22w8UWW3EWgA/dNay/U9Y06+CDaQetqK8Sqq1R+g62BqTPNZLmyesjnkoayewD3
MX9a9YmvlCdYZu3po0wBwnAG5/ew1w5xtsGhDTVSPF31aOl2XVy1B9tcLTodftLGys2Lm4v6VOq2
H7ZElIMvy+N8MVEYF29CzcJlBaHUUCFmY6JeE8hc81sz3lrB9JRGoGRSzPNr36FGw58gWq3+V3yV
/6X+exWa/2nY/Ft4/n8J2YYK7f1fZd3HT0hcXfJZ/FPW/fur/kZsq78ciTrrcQbDti+RVP/lrgzC
v7wr6zLwoWUH//Jd/q3ouleMthOGRPX+A7797+5K9y/heUi66M1C2fAy/zuKrrqyuv8PRZfMaCjZ
5yMfS1eq4D/Br0tRTVZhde1OAJ3O91Y0MdySuqIQnZ6q4Fgo9ogc9oYW1lGWsd2tA2dhpMb0cmmb
EJgI+oW6cQYMehQbu+egDnEhmhlXy1qOTUXwbvSJKmW9cfpzaKYdfAqQP7qWY7dnsQSEdhgqlpIx
jncQXF502zdj02xSRJAjvo+q2fa94ZQSzJn+WNJpGjd4zad4C2iubFiDAQ1aiyKKzygwwRdnDqKN
Mhz30xCq+4XHHs3LytqaatFrTrxQ5+pePw5OVX8PjrA+eSVze4k8Cr4Maf13p49Rombnug6+yjXJ
Lvba+GcQEHly3vY1tkWsjqtqxGq3l4OZnngE9Pt09hvnLGTdf5CkjDaceacPHjMTRHweRZcUlIPY
mMLOhlVQdAvZCseBUZF3FiWYQRbX+WowhJtWQ3M19ccgae5MY9cs5O0+/KioDYw/RaGwpqblbOkt
3bPogLXXNJfAI6upOgrHV92YkDCFVGWd2tbNO77p0C8biyCKe6OGuS32OFJLG2Bg0TCiF/1b33cZ
0nPXtfwCOveqFYwXA2KkyL6oHNXnJfOq+zxtvJ/EtqeXsPd58dK1h/48TnVxqvQC7MitRs4b4Dle
TVtg5FlUSV2030vEyrku4a8uvf+a9HH3WtcVld01W85wVS9e+WgHTNNbfoLpdRg7Xn9VnTxou82a
HcXR4SFJu3YPdC5+z2JMgOh/firVJmWl7G6U7Jc3eoSG5kTMyKZDMZ0sewdVfXYOljdkn347kA0I
8ZC5N7asioZBWxT8zWwKJ40Q4rmtBxAlkaIEa2V7WT2sK9S0iGiBJOoczqp97YNrhICl5fSRMfyd
s5Rpj4mQ7tgtJyZTccHOODparGshCE4mMewZZVPvozG7dkzX+Ko2bN+HPa3r/bk1nvOAR1i96Kz1
edkl/KtW0RLND6mUvI/wl+SPwNjYAlC/dWAr4N7bydLdTINImj3eaN9A8VLFR0Ez+42UYCaAJ0EZ
qDohN3ZhlLWjs647pRHj1lpMPPgbdh7bkK32RxhntloZO7XrddlbcbWphj4cscQ5+S5Aijwqd+qy
XYlHeidKAUBrXCwXf8TYxY8eWR6GpSQL3zFy1m+ZyNVXMCjvRo4DUiepSUXgA1K8V6q3nqE2X9NO
6a3mzvY+pZ8G4i72YiYoIpHYsMIp7+9qhv95o1nOnJoBvxUhuCHKdm5T9e9+mbRfSRYjZ+eSKjvy
GhO5A4wWvXtg/qKPCb2YfzkSA4HjCDZEclNX8Ui2MpXMPQnRZayVQVhxPIDvKLapdttruKMab+dl
8uwNPYJNtw6VHSWrMlLc5onocINpEWpoYFywn6VnpZ+apqTo4IRJ/jPXvb3Lwtg9F9zhC0v7NvnG
UF5epKx8Fj5ieaWfmTe0E7ned9ObDKy6DLybaaFXj40wJm5rAdeYgWFZ26IMOQBm8QtXFMVyTK3b
qGgWNgK+mD90P+eXOlaADxpBAoUmqtjZ+3ZXhOSFhm9M3Hhm4vYKCJsNnb8TqO0+s2k3xgk2BOc4
D5YnHja+4VCnok+Fc/zixFwQu0DWNBTGlX5PZxecrOqupgyUeeutxop74QAh/vRjQrxQZXSVMClf
RX3u77Mg/f/TuXXIjFenjtgrGJLq1aNFlFAjrB1r1wN3k9coMbfZ6PmIxF2xIJ41HNkOko6SZwWf
nHwvAzU2c+4Ur207KAZ0QOO5SX/FnW0OcGVoCXGq/jOf+goq1OCtHcx90J59wtA8zsx69GqScyNj
NIJcmDvbfl6gBeFnJNJIYOw+1BY6+7DMw5Gwlc9htV7ecY9TIGrjzdjabGUKjASdlz4J7AU+/98o
fSWEw869T1S+C3ndH/XkEL/X3lLxOAJL8UPiTd4RDnN/XTth753ZLnduPfWveTyp9N4kHfJE57DP
WLkU/v0CNDQdCBxM6Odjlf5w+iPIlzalooWxDolODrRKP8dWP/xhUeiYjW9M/ctvPHp3u7bF4Rtl
cQ/uBPPVOp1IURErlHRoD3T6kdOdVb1FVrvvm2ERW2gc8bBRHQfRFVaj4K0NAo8XN4d3sQiBVhrS
cRxGVMKHcrpxLMc5IL4AlDV9guSvBoityj9Fuus/aFsagacZGr9xUBoOJ9f70EI4lMXZH5qr1TB4
7HPCDm5Qv5XxdT0S4zxKMkhIZepHN6nbUDc/td7PlGTiGCehWpMCJtk8VPMG394vTVvKKqrlb39K
v9iCWHs7zYETR7EB2NmST1358eS9dZoyzS1+Ia7aBNsFtdalN7pHxDdNKZ1XZ9Vx9KIEFKJVlhCd
rMAfNnE+u/UaYbWHgdaohiVxon7Ksib25did/ZpUylrwb3WpD/QjV9Nl4fL5oS6VLndoAenaS3LT
ocoBgWdbNu+WUGQHjMrW1iFmz7WSDzcQhzjdc0O0G06A2bHscrFNKCF+1KS2SV9EOZJeqL+NSp0/
Ct3lA7cU5ePL3H5ZNT3Legm8dDNioSY9zX7gQlEsZQThWNhbdnwLTDYc+wGF86VlvXhJCg4W/z0e
USoH0ECdOiUBWSs8uVvDBYPCWmXJvIVlhEjFPmk6VqnlXnBPLemaTu243JZ2775jydYZdlu3/a1q
4NsmyPG7eKrKj8a0oG55Igxy505C3S0E6GeaiZvwdoQ9dRadM8/rzqblB9XUPUEJsjRA/qT7IsgX
MKiE5fwLZGGX0VHYEbjtLbXwtMD2KfdFYHM+hwHCHIpwvVC44cPxhjSR3doQ7bAkaVcCDZqA3pgG
goBT/ht7Z7IcOZIm6Vdp6TtSsMNw6MP4vnFnkBG8QLhEGPbNDOvTzwfP6qnMrJpqqXsfUyJJp7sD
MDP9VT8VAzMSW72wiZqJjVAs86maqf3e0cB6AuAriBgTzE1Wi+v8VmKiZyUJW3I7AVYla6UcK73r
AivGF+h7elP7lKhvrEy3PjTepDiiF4mUx5kJ+3tol9VvDpqcZdXk9WwM0jdezm26hjAsqDEFMjKE
c/XiMGAP1p5IqqMwguB7OjRdeiituHnoUwq4N7SHYYHrEn7lJanI8NxBLpc3Y6rg0mIUY//ih82D
XTOpjVSLQBXZPnRK0KFQMJcExIdBvzHv2ck7c9erdAMnKdr0Ok4wNLExffAkCDMYhLZihGIxDOQx
7r1kmL14RlZUIsNZL7NmK2Liua/SS6ufdluQC8/0InvJYdkdpXBQ6n3U6fydjUL0OPXjJC+irokI
MtubOJpbeB+2WZEEzPRhpI8rHtCT3hB21C9Z5OJUoyBa33Wwo85l1/dbboH2Z9F51iOaTaw2Vh3m
DzGz+W9MmMMXux+9vY2s9rODafoNJ9RwZk5p/JjMyGhgjqTzw1ClHQKtxXbBbbTtrguhACeU7jQx
TDXF0Szl9AoUK5/BMFr5KyaUWm9cutALHgImxt+KzlVARSHOCcbvuoYjA/yKiLgBaRYNlmaFA8w7
RlFBbzWrqo+dI8RQHw6fmTGc8GNWtxWKTzPtIwdu3Ykzenb2Ondqjp270C+xNTcGYnAe/urLvvhU
TBYaOi270t4qzlLILVOMhhcPY0vRD219xpqrN3ZPtLzCqnKMtIYUPQ9DT9NvWUEbrkDOk9y0c1Fh
bsi99BiXKYV7a6gbNeBqZiAC/WywxKNXsS/Z426wa5cBieUF4LG6d68cV2oCIr0bNMgCPebBVtou
euxIcvYIRsZeuBCGKC6xr2vAP3j0nNuZTDHT7QrQsym8Z5P1Bt5aNEUP9Ic2OcqcNUOYy+ZQ2pec
6UvEhHVALi4EsF9KE2Chrh18wZxUgG20WLTLuGmam3iu2B7VVdK5G9uqC/dWp04ZnTxL9fGdGILO
v/Mx/Q+HVCV6M/Ze+aCDrDEuTKHS+nnKTXveh0hizk6Nc5wcPZxK6fdE1m1xoOl1mrCy0Kv+VsyT
+R4maeavamAx0VvmyzLCziKtgE2SdtDuFPHvlkmOUmwz27FJ1tbCqYoXkIr55vi9QsvTUIjXdKzb
2C+9KbywfDfDIRMWbHBqo9utDZHhUBFM2GtoPB7bQDSZuNRFcQQpmJq7uK2R2MAxyfSmcoMhWM+F
RYgFvBh5aCPujY2WSMYTLvjohDlk7HZ1Kli7aPwIohNTsKmxVwnq5UT8yi+yLR3qufoxZmy362ac
ihvGlHawNujyAArICFLUp9Isp/AQ0dzG/NwrgviFRcpXR3fUVBh05jBcyGKIBeiQqL74FtOxmX5Y
3MPVg+z0tCn9mjE0IyJIXqby+/u0CcMfKZs7ihkmRhgbxdthEtwm03ywpAh62AfunG/xdQXuajYC
vQvsFgVsFq1xTorsR0ijFDtyq5b3cVazJmI1xdA0htgXzBk5TT6mPabTDUKq4uIJhxwoo9OnWEj9
Ot4ACWrOti5YpkqMLL/mhL3e0cIzQtTMGCBP6DyePicJT/moBosYBwW/CjGz7546i7ruzpf48W1v
goDlNAwHgFc+dlLxbKJvOjvLkTuWXQuhpE0kJjzWUFX7DxUIRnaWKcgmVUxYMbtwFM4PicKuAWtk
ki9KLmCGWszQMvJEWneT7+T2DekTRDx+2kwQs3sGMFAiIaNWRQxjXbfmuB9lGXw1PPqT7djY6puy
XE5MGe3L74QDyiPUOAO4WkA7bp0zm9cFdvFVLj24ZXPhOXdeLp3HJqncpYWvYHQymfOHY/Fx4FZt
z1yX+plPPjxA4zb5+Sqwqu0wq2NtluM7c2X5gpCtX6dGwsEmmWOfeniEx45+PzxHwsp/SLRZ2HNt
IUyo6pZZbIbeg1xaNqmR34Zd1/BcckQR7gze2Esjs/BMmy3D/jFjJLsqRTRAK+awv1FtBLiYoS9j
zzlJzX4zdCLiid2E/vZ/hUvLpSjm/29H/T9KvRd/0iyvP/C7ZBn6v5kWSTdhOi5yRuhj8/xbIjz8
jXAl/6vvEjW1r//y90R4SBEMaqLPD+OI/bsLlcJA1EyPmj0rwEAaWNa/o1n6187av7tQxZICD3kl
kuchBTuOtbhU/+BCrWKmX/GCP49YKrBCYG+0th0lX9DZq64r16Ka83s20SylhO8EOricdABxPSUq
EOugVyggZtBuZsjOONXNmYUMkao6jEbHcKiaXOMggHptbXLpS42lwxaK1rST6+VdDt4RHcMN++RI
5cQ29Up17yal/RAqy7+V9oTiBfvxMto44UA3jTed7T4Jl8gpn+C0N2sCHVVl65tUBTtis/BohnTr
+Q4hxWId1F23mdthXtMZhBdJ0/g6t6LaBVPGgp519tbxcJ1UTXgTScO67Q0l9+4cv+EfSs4TWwE6
+UiKz6YKdxAFv+qQ4q2hV59lgVyZ1Yng5OixERqj6QjzRz/McB+BtNPXFkKioNQBrGlp6fdgNAT8
I7PdpV0NgyjkNUXi/4z6wLrVzfg1d523o+EZLFRq3PoNaId0/iBWcDSks+Gs+zo2zpn9wAWm24Zc
+Klw6fOJTcjGQWN8ogvBHh+drxzjlHKXyD0h6S6fqrU9OM8yjHsOium89cjEb6BAVywMiLCxN241
+2jWzkvKlnwlgs2g8PQm3dhsQ8kwVXRGf7YGtl12Y50KDJ37KXH3o4EM0+X6PmvrRVwaVUEAFk8Y
oPiPaaAeGIYnGWzHt2GeePY6b93urVB2Qb+D38tP1u6IE+zIb+Cwuy+tAUWn7Yx93jXirigk2e3R
n361oYbj74IxW1XsQ85wloZLG2d3plUnv1yMvdRSMRCzFiI3kGyKJ5Jcf9UZfGLU6keKhU9Zp8lu
UTbI3M/gPG1HwLmnXNxnVQAHyJ8fRVw9YOOF6z0E93ORDEcPRu45aTS6vZlF9n3YV82Gbcknm8Nx
J4z8raD170YtFgg7R83oGeA/BgHdDEHdpFiKBUwyX+ywUwzbcnSwvbnldNZZcGcZrveosVVYF8BM
FOCYcWk1m3IyEmdduFlBDUWRd8nayAdp4ExdUoIpKt6wAeLLfZf6i7rod0mRY4eJCnNPdNLnDRup
/chumB6Z1ClUD6IExvoGoco01x2rPTFGBGm5ZY2dKNJiW+dzZKuiYBPlEaAcdEycx52B2rUqZdvL
i+EmhT50VsjkPLYzRL40c5P61cjSFh+rUQqN86MQmDUCs0J26GHv3HpoE9NBlASSzlET58NOjF5O
z3nZtuKpwDtTHTNi19WvOkvmkNdNqWdG78vhEGJXxosTRaQxid7RXzOFEkeAJEZV7WOHmt9V5TVL
NsQ2kxjmviHUV2X3cbGuLEFvi8UcngR0E3qcijmwlAN3TKjT6L6VrZhwKlikQuDaxdUB7mduQlww
ChhicDDAtlQs92Dwcj6sIDNWyKdbXDYSbdnkDtGCWyHh3JelZfGkSED9HJhuuzRyD/iqMui/2b1f
pUW6mzu3FNtCE9u/he3Ot+9OdbyX/WjrrR1BC1ozVJodEEfAEPZoQwBlfPyV+WfTGl2yC9mQZxhP
RITBo7fm9zIMYFNgH38MS3QoDsa8YFdnGxS9njdax0F3nKKRHHfTg4zArukjPrElT+IbIvT6fQC7
RoNGPDY3HXa8chWzizoWoz+/i2WuGRNuMX31nOrgOdbjd1Gm40aVzfRDeEOzm7M4f3BSi8deIqmO
Lkt4CkFQ7fpeiR/SboCGOtqd3yz6SweYrJvW7MqXyGg3dUhkTTGzKdpen31+b7vyNTENFIhx6IuL
Bn7s7EMj4hPtKeRa+5KO9VUujOZuarEyGAyhuz1pJG1jisTUv7VLjNlnntovvXZHCuDjRj+lRZA7
j1He9NEO77rYjKDIzgo2d7qaWm2Oj16eUJuQu1ALepiI8VOOVvHFTt/yVpB7VLwRrZs8t2AUe7pw
Zt2eZpCJ8y7uE0UCVMaYpbLpkA3jB4obEGH8vZUFDt4HwCvrhdqg0sWCCLhOo0K4BpCKHpX9Rjjd
wwTK/RhhQHtglNjtVD6X34zZDC5GmI8/1OjVD7VhokL0Uxg+qzmfSH+1RX7fh1X1UYKhOXRAoo9R
XwQY+jtRvPtRYmHZIDkR2Dq8GzXhtBVTLPEhbRy1Ody3ZrMkHvxV63QRnCjtiF8C/+OFQ9vwiz4y
Dl9JCJrwWRlNQDWtMbVr2/FpNQ0wqeS/EuG3cg2YwkS/7v1HJl/+awFEbp/0iR3QckKk72KVzchT
gT4UA/DgcyWZGzDHGcqflBlVv/rAGL4Ds+uAtbtxuPG9oq1WFsn8ZJXA2bwzqsS5kbkyOGlltfsM
M6QpLmU9CtCEVgUOQiZGn25xJonvQSWhG6cqHPcpjaE2Q6vM/aoAbVErYYtnsyrzS5nohHCmjoJv
eWt5b3PHCgLCnIdkUEzyu98b5oM9Yhpb5VM+3hCoRttlHH2IhtDZWtKzzrG09bF3bRAtTFrKDeYP
TheUIrSYlNqWFpHZmChjMsJZfRtjy7hl0lCA32R+QIoTWEx7UxgEz/CiFSVeMmRlDOJmWK47c57y
bUwZ30npsbN3s+Mo76FN+/x7oUgf7CopnX7LGT9yMNKEAUXFJYUCRzxEOjoaiY1/2nSx33JhCr98
6D3bmO7IMcb2gwEbmGxMlep+RywShLpyAkxpdcxbh8ScS1J3RjY4IHOsbNij5XnykpSGP637cugf
LBti2In2Ps+8DCAqChqGjFrgxKoe6a1b3HWpMUFHbsjavUSFtx4Lr1ynOU4aG7rRtsy45UFfh+vB
8vubLLDEftBN+EzjiP+QsnOhozLiue8jCzBjnJ1D6MErr+2EkWNqF3fYpgiRBkrs6e+glYXEd44h
XM0XFbng7EvlcORl/oSrNW/qgQuibz9H0IBo4hNk3c4xb9U0UKnRRo8mN/y6xZS31b5JcU1e99+R
GJozgWX5LVUNmU81GDjsal8+u56MJYVXrA6w/4GMMwioLy0+5WxP3TfUHB+Nkq+11kCnEedcfW/b
uXknFATC3Iidby6hqWYPxwejbeVnPJYL7YOfqFPOj4aInG/MTikPqfC6yW04dd3TSDwMa+EkshON
OvKLZY6HZdQOGGz6IXbkAdgEFFfOH++1VYTnyTXze6a/901gjXsK4S0O9DUm7nL2LhV+YxLD3rmh
MWRb2vpZEiumOaiMzoPhze8sGOmTDOz8qwbNsW+yxmqYZhjZ0dJthDHUDZovCSl1VVVedEToG4Df
AjDa1WOMPukmbUq6QgFoo6QJ4xce3gak5si2HYc2dYEKfHjIhHuc7zJXtWskzuqzVtOnbgzmCtrC
3gYmEnA/pKUlHm7lBaD5PxzO/kYs+2Nj+J8rWP/xxLOUcf7hxOMgN5hVpcejW+XkJxxywKcyN9Ln
f/9lhEs0xrUB24AO+vPL9HNRgtQ1hmMwAmRbpVKmyI8NE8Z//TpLPe6fD3DL92vhiDE5EXKe+/Pr
WKFhaxF63XHGavieLiu8r2dOBJKRLnNZI0t+5v0c43DThS3+h1e3l0/rry8fOE5AhjHgdPvXt5kM
ktFt6+ij2yb1Ll42ArYoQGAvm4N+UPmDaK6RHZdZ61TRHMpuAiPr88zuwr1uMyy5yZeNR+mz75/H
eyrGq6PPnK8+mabUFKjMGoneGJL8TuG6zVZVMEPGS2P8Kl54+def5z++IU7CJuXPoWkJDEV/qSOe
HTcO8gro+JwohfcPGD9m/SrBTYvrF5s1j3Hh/B73xYQlf1b/5Jr8xxdFoSVhaQl2pj4eoj9/iS38
HLfPQkoBEzlfnMBhL61/mK08JcHUkIP9f+rEP3mxPwdPlxuAFwMlxxvkN7nuYmP6ww0gQ8cmclHA
VJkTY4vJ5mvMjF1hjvp/eFf/eKc5i1GLHt0AkcPxln//wwvZhaKxt0nKY4JdSd8R3YxYOEsLXMO/
fkfWP/n8vNDlFMk20Ta94C9fmoTuluKIzI+Y2f1zTI/DBkpCvMzRQ6fbZDZDn304J5zz6nhQd9mA
7n4vLA8bJFu+7rr7o4hDbnTbRTPs4mV/2F73iv/6T/2HzwQzGpdWiLDDx+L9tZNeGq4knisSmgBj
MzjWotP3YzVyWPq3X8fhtvdwt6GDEIL+82fvN7FqpKSfuSRDh7pLG1+yWTh1v3eE/29Q/Xmqf/7X
f75/FUm5SZRuk0/9R43PCvH5/eErWZyV//GT8bmebt8LfvLm/Sue3v/jvn3/+qnif/Kjf0up278x
SXF92I5cuCYTgf/WBwN3UQ6xSpE3t4X1h5C67f8m+AEsjSiHoRWE/CH/bWm0fjMDH7sjWqPjwQAR
/448iLL410psHhS+b/m27fkBCMAFW/nHeziBaTfO2ax2uIlid8MjKd4zfYvvEBnMl9jT1qtgvwmP
HpP1hQjFYJ1ECRpYDEn6RDMps1ciSJj8hsn9ImrNk7/UIVPPStoEA2lEjl8kpNNpZRiVeMGdZK/s
2rY3o+GYUKPyx8Z1xm+BV3kUknf9XV2aL3O6dE7V5fDMdrN4lnNZfnVe4NwRY0wPtluLk4+sQV02
yawiIzlP9tcbqzUlhAWwr9iY14zTySl6kyL0hnPmLKBZQcrtBDxGylSnFb30eXVinPJYjn4xP/ah
qpzjUjfyVJM17zf0g/ZPTJaK8DS7A1HP0GQ2txI4ifsj+GTOXk4f1V+GIbDgTE0ZEUEuWNIucFvC
EB6PHYBLHACuPUxTVn+5LdnGvQzHrKcbTIZfVCSNH7M1VJBlW/orkOmcbC3TwfAphQiZRhiccIo7
TwTlUkvl9b844OjqdozxteR2Zz0zcSxWThuJB9udvD2b9yMMAcc41RjCzX2VC/9jahOXEIpP5hTD
d9swB4p90ofxiE4JFp3SN1ihyRpoKPH2cDKfXVUlPzoYZV9dY7DLNlVwWwQcp7ZKALjHGSLdNWG4
gWpyW+9LGQ2Yvry22POp0CGpvZwBFB5B7IpJPR/AFQ9rknby4uRGkb3NXByP7IwNfDlmaZ4MUET0
yOU2oEEsSCSCSD1apgPKt+6KltGMH286Z7G/u9hAQWQNwRUtCQky+6RCzFgRbsMimRRVt2aVTZ+E
gkVCkjHDkcX7ZiDic6ydrXgt3bF6pzEiYmDZOb8I5IpXlznMMo5SmfMW1xgliL7066AbmfoAbwxl
bxzSEUByiHC8N9myxCi2YXL2dfFYO2mCktbGF8+b6IlmLkB8KE9u5ICQsAUkF+8bHYhPHAI+8DOm
5N/7duy6lWF7wIP9RJL+ClwbC0eH2put8zQfBYIh56uTIqCyD4hdk7LMpboMUQ9qqiwfRcqmJaks
IrFuqmkYcsLn3HWJLrnUMBAR4HoPB+HF+KJUJnY0u5MsN+k/efcKFtHXzqxi6Cns7uH0I1RQxGoZ
w3A0A42UPHSMn6Dbm6zwli3o+qnDPv6uhoToQWFJXe3IPsDBbBC2wk2cDWT2oS868c7NgC+tY2Ow
2NElFvF5v/V/OHPQGiPyCb5L8kud++o6bmPceq6K213C+KrbjZiwvQ3qJ9A7bKGOtxumESJzOvJF
Q3soqdCEPEm1JEXugexuoh5j89pqUhMgfcj/9RgLnBEAoiJreNVcXczcA2AZO/R/+tJI0ZlAKKal
1Zs8dnXA86GfUT68o/DQwp8yVU20BQBFTxeBqr70eUXJlOPBmVpNs5WTSYk7G5dmmtGzqvEbOlHU
kvFmrG5uJOG/xZU4w+tTlJfkdAtZUb/B8YXKTci78B3yWlFaZ+rIlTmC40dXWVlh6z60fVISPve8
L98YS/vghiDNT53rtR9Q01ust3HGFBVBv6c1IEx4SJDApxbX+tbgKeM0m1nuLs9cecBxvNQQipp4
L329yXq2Qo+Zu1dwUM/iGZAUD8gAlHvaNYRIFN4OK6kjslAx8bZVPma4ftOyHX70fSlu+swrX6sg
Zf44eDA0usHOTggURBnbuga46dvS2IzUpB18Sw83PeOP+8gQORWkaRzuUpIVD97ILMaNS/uRDlaK
PAftpXIN2rU6Ro2NDa3O6Ryymik5az2QBgVK+myVtvPKYXrYWe3VMRX6x46DCf0CLJHFdjRM82OU
fY7lwx7TRTlasF1i7vbm1IUXZjbGumQGli3udwxvbllT11117yZS3VsyWO6LohP56Hd9ujPbPnpk
tUzEvsGC9lxZ6fjR6MT9gjYzPA9tMexwUTyFPJZw61AfqLZxXz2lnUv+nraJJehDbmdxdMqDVTTO
Bone2/dlCcHJczVtcFRtoWgLjm0tyoT/QwZYiTYdCeozEx3CbD0SUsn0GUxBaB5SrYs3EFuGpLHX
tIeDaXcOnkVmV7mdV4eCtsRt26bDraewv1G8iyS4myzeMIgm6yf2EOPSQTGic6mUVn3BGEEFEubb
6lvDzJ1p34g2Q7NQ7R7Be/bnLIulRnwVrkeVA23WHkXPDz3JrZu0ycK7ss0WbqQvPlma2wu2FfUj
7SHNLYf/+lSPmTwXdC3xt0w8qDxnbB8LoofVSrt9eMffot+KITRfcKz7IDeGan60yd8cE2/CaRT5
jPqC9Kcv7JzQ0Zxuh6hI9C3fXvkD6+W8GT1t7NNWe/vKdikureovkk6wKsJZ3LJzgQwTlsX3CbPU
mpxjwj65chkWWB21mlCgud8CjPCWmfgPjBjNGFdYOD1YHciaJ9hWBpn/qn2zrZILTEI2w1ZZNYXY
DG3VDyvhK/3hN737xkSyfxjz0HeOXlxm36tBSnmHP49xg5m65Uc1KP0J2pnppBqrdgkZRBMKtQlP
b0eTUPCEoqpKni95cKqB2QIq8BaT6BR7BlR7iU8Ab3gQ9Ju2Skgj2ThcwNFp78FNSX95A4nXBVFl
vYyGKnHBaIp6cDN7BfZ02dAEhhl0P82D/uURFwXn0/PfsGa6X96g+2M+ePUFU0NwosaqfsBbAMdS
cSyNN17ep9/ysin3MUDfcxJH5t70I/9EJphfhGM/f02tHBki9BWLzcSHA8si6/kLe1yVr0tDUUjK
rsAQVE/O/N6E1Hxtrw3WyWREn+QXAnerVM9sWAq3wUgyTnF2bxlee+aLB/Nl8+PluinqklAwdIm7
JhPzIxvTeDMmBH3RpQRWfGzETKb5nXJvh2n1FmZdwf3mlMNuNObEoi+0x7DlNfXSUexLKsja8j2b
PKBkURS9O12ntkTTl7pXl7Ys8oCMCWrLy1B40Lklz0wq44VZvWohm0+ogFDlsHR5t4QGSUWEWC8f
Y1CNl1bV5XMVdvxtbVt5txwHCbViWFbHspmJodvY+O956k+bln7A+cBmpyJDYkbyG3a75bkz8JhU
NlUo+NmtYtVGbJo2E0goSrrGqXkTuDwoBUOIvkOWpgey7sbuXeuKuWScKmCCTZbdOaDOYJ0OhZVB
23YJ3ln4i290a3XuWjHK/yZnHT6HhEvEmpPATOgmNg/lcl7djMHofjdDr4+fsrEL7xHyaRbhASO+
NHtLvRpHc4JAwMp8j1/QO8V5FdExWGhxcCrHQGANYnq9JZ/ZwUxCmuG1dsmaWm0AkXvp7xLlYD/5
rDpYR2VHI6Mm4E4w9H6Y5EIf9xr1kNva63cmUVnFlgShm51976Oq9xJmqh8mdymQejZ5IkMNdxos
UHLEu4N/jZXIqRjiJNBZtl5PUytPvHTH+kyv3yTSn8FEeSxbIe9bOIaVtcAt/EezG/y3CiRosg6h
SJE1tlsQHfhsTgSqgx9ZABOnMFvjo4J++QTHAlSprXRxLkFf/cIpktSXWVK4RfzUK77gFuuXeRjB
mRPOOJNxyJKNG8RmugaSl5ZMs1o4T0nJU+jQNIV/wAhqfPPllPfwJ2q1N4nUgudoQQVPCSPehmjo
1qJREF6vzYnfzIqBMtec0eCM7WdLDV8NT2wKGohORTLumKjUF13RwrYxZEKcoJTQAXEpkWvvvo8m
JdxYzZPNnEwdf4jdvEUV7ZMsTfVpjB2QYG29cPWl+5AMARzPyZZgjSZwWyYPrxWR7Bc7w1jgtjhY
uQr7la3CXxUgMOU77XGkjn3bCJ3vSKmOezHAuYoAQvyMQIjcuXbF828KwVcBZWK6ot19VeiYKqHY
xdY49hhFGIndjzTLHbGmq501GeUBfld2bmTQfQ6Zrh+YZEWCaDlboxyJ8dll7YMzM6jDkIfyje2M
Wldh/JiUPJrB7LKbnvGwDk1GNW1fRWeIRsm+pg2eeU6nLp0tWakhP2+GZPjk9KCPFvMAxkkBhkGm
Jvora0pz2KZDLo7AWsVb2tiInQDO9GngAmFQP7XntrE1m8WMeY7KyJKL5ou+RfZWuRstyymnsTou
o6M/te1pMrBjcgSSkOBiTrUES8ybMKG6MEYFou4SBlsre5umk9F/0IVJ8Ukzju3ZbzINsSKuj5OB
MWEjyGvdIZnRo8Kc/QI165nL/sF35RnYy4szD+69S+QEiFE+r0F4Q06wSGHxdZIEx5G/5MzS+CY2
NOSLdOryl8oZ41eamcI1p0+/Y4GFmwAC6z2ps/GeboYFdO7jN59mPyB8PrjHKiL3sTdHtUTk0nH+
4dvmXVar9i4rXDQCtXgOnJYdILwCzmlOR4QBc3qZed53xVDno57VTRHnzVnlKbh7C5YLjxhHfthh
ZH5IthswlcdqN3WTuGGjN597ehhuU3hVT/DlWecEhWWSo/KuySU+f7c1vGMxF/YtsIrhmWK9fjOp
TDOezg3y/ktgQ1s2qeElxKEnR32QA5C7PCTi4S1hj0hSz2cKbe4GV7C6LaEQZ4mHCLwI2CipGMaS
cU2QsBu5z7kaG+Z6S8KkAlK1bYyG3EmVdaVeYzLVLOFWg5GZUxunYcOp37C6ArOKlxhLkEeM6APy
MCNm2hKjAbbVmIIp4i+tbQzOGvTseEjnpHwbJShOxmB2ji8X97O8L9LafImSvmL7nRX3VerYb3Zs
+Hd0dltfKl2m2YurGw8E38Ox43Sz84PF5xLQ5vaS4YX2VoZgSPeEab0E84xZaFtLrM1bsYSA+hiQ
XYACdGT6TkYoXeJCOHDAZy8CyTsxVQIT12SR24+4pZxr4oiWTuPJWmJIGr/7mvWlforzQL/bS1zJ
UASXyCu+tdco0zXVlC8BJwjI04pzHaknPyIARX2HPqhrKkqO2LDApC9pKVvZJCL0NUXlXBNVYoAp
95Jek1ZkVEhdqShftozyMgz1LqE4lw9Ch2S0IjD1WG+W6BYmmu5WzG70ao4Fya74mvLKdIA/mjoh
ACRLCkykDSlBux7zk0FYt3gG2T8/lXoJjxVjrNW5uobK5iVflgzEdpnVcpM7wY+waIpw23B8Y8po
Olhg54SgGi6++YZDZ/vGBJgg2zAkoLqlGsCmQyKsRSQudKGoNVtIh44O8nDcckTjeOQTk2s6LOE4
/Fw6qjvxijJDCxbrETtp8nVllte3Xkial7ggfZ3JksQbl0yetaTz0mtQrxFkNZEfQA2vrNkZ0XYo
M6BNtEUwILdqE/rz68Eja79kAdNrLHD4PSKYN4qKXciTGJlVSYywvkYKHYWj/kwRHRFMiiG43RWR
GooIzEI7B3WNJhbXmGIfULzWZp6m27Qlx+hEzbJVVhUOtIRq9ecMOdBbR0v+EV8Ixt6kaHm4xwUX
JmlJ4v2nxivcd2ngcmm7WI7rjAgLOxyWqCnwMO67lMKdhrD2P0Dy1a9+YYnv1HLi7pdtbNyDRiC2
qVxXqDVwm2knJlpndglNt0d24hS4Q7bM19HUKY53JWi/dZ0CNYCAL+Sb2xAPYdrl3+YRhS8cupZc
KR2KwMoS4X3619wpMYTs7Ls5HRYJe57vqTLg5lJi0pzTJbhaeKZzIC0FHeGaay2pXjwMkdO0dNdx
9ljboaTIxmr98oLBWNordc3LFvSFUYb3e47WLoxerujmJmybXoO3XWHh/e4DF64tfTM/en8J6UbX
vO60RHf9bgx514E/09uY6bmGpETH5arP2CV3eWw9i0DE/dbVwmefsCSE/WtaWHoEh23VzegW1zzx
BMUDDE/vYqwJl8hxek0fc3n6YpP9Hkt2l4hysoSVixLkEYJIkOAydco9am3+VTaFjaNpCoGg4iDs
lkKL1r9Lrpno0Etfm8HssyVaDfRzuAaoM+iKEEHdziqXTGN50tfctW5Fg0egh/1C3onTPBBhk3Zb
qBvRNGh0ENtu7AvPiQTTKrZDLtCMFp4jmMu2pNIo7J3zcI2GJ1RTfLZe137LfRurQpZQD77KbCQ9
QgUBXa9kP+SKswCh84xyZFjF1zA6mcTgPNotWmkSpuI2HROC6wHPTx7Y10B7cQ23ZyWE/I13Db3T
nrgE4OOuMfH59fVtWuRE5EMiWT/8KI0285Kg504iTN+a5OolWZPuUptL5n4wAifcGA55fMxwabwb
rzF9THdkgViWeK6M1zg/kAH3NIfVbK+ILePqH1gm3YVOO+xdP6u3BhSxatXX5nSZSkxryynSkOua
lAeF1XmVp1s7TuYHGwBWvRfsjFqOTKHaNKAKiXsvpIJhXABLrcahikcRlMFAEVW3IiusqVC/gg4E
yAOjGszuMl1BCEbDKoPFdgEkJC0EVRxL+JNWM9nHWzXT+rLKF7pCEvtTSWpqgS4I4j/wgq4wBnOQ
iEVTxR9MZwy4BrxwHn6xwvrVZ4Z4bMH3ojymvk/CE9MA0URMStzGObYKI6//L3vnsRw5ki7dJ0Jb
RCAQALaJzGRSa1G1gbEEobXG0/8HbDFTff87c2c/uzabYZFMAiH8cz/ekqdl2YywsDXWPU0Hq/eC
LZAooBkTLjApeANvIhR/5FoP7RLS2/I150DmHNKENBgqrsaeUjrNPp5c0mH0K54odY7HY5zN7kud
DPUludroBT43J+nSq9O7vMnfassOD8SwXSpU2EQOIZTeXdT0Y7jHiVy+M9CxflRJvTxRhTVY+5jO
Ko6mLLugotgK293swaTnDjl7p2batOxs9L9zmGu/idQrngGOtUlQ1WAruazFF5Zk2ESQYfuN+nCw
ifRt4bc41z+lBckN1cI+zggKl0g6OqCrc7jrYCUOe8K0tqRMaFpPNg/uQ99M9UO40mYMpV0me1jz
6rFtCN8j7nv9U+YpOUNKG+rjir4SHdfJHWlJJpSBLFMTGj6GerCTk8fjC9KyGu0tKxRPVIpIwOh0
RpO7vCID5JsTNjqb8Uzce8RuMiXP+yV+jBttiGXK5V2EycG2dLWnZQpIX7Pm03cGMuT3/Ua9cSab
Hfa2NDaPGVcTfACZV8NrxRLUKuk9cRaNIHT6sWsFglGUxbGtaV6Z8Fcf+MQ5i9otOkDgdaL4Se7Q
ywLP3uo4zIzY3wwJjrGtmkQXLPScKFtTnH0OHf87n/1381nBnJ2J5b8a0e5/5nHyy2T2ry/6gzfj
UtrnO9IxODBhsG3Tz9/DGy4jWDw3gF5ITtjbfPYvhLjyfvM8hq++kaQ7hNkGt39OZ73ftFB8FXE8
iultR/0n01n/VyMHvxz2Q6hSWBpsImAIB3+bzZbMPvnxmrOk3coRmqnpn9jAprd47Ec4gdPTYLXW
Q2kDX4IHHtcYxPxo59SSs7IzpfmXImvH97apkvMw84cD0XknWFeCuBIeIMeZxLmfDU4I/vmY89hU
3xHbzX+yHH6bhs7sp9W3Dg0rIuUS2M5qfwqfqM2o8CDK7tWGSvpeeZjcLLVQ6h5m2d1SOQ9Zhc6R
SzvdQRCYXuzUCKi4WHpIrA/Ql/rqsar8N07mNIlNUUUvRENnj2VNZ6SnWLm4Se67rmZotzSPHOPj
Q4x2yrmz9x9g8GR7ACzNoy60deiiFIF26tTOQw0+JdRac/L3p1e1zM6pU2H+4Yd1eUVzafzNMwXL
9YJ2O9DF9pQOqjhLw5C+Cg1nnqmT7TJZY5go8fSH8isLwxIY7QwH0Xj+1SRndDm1gmsPMBDOX23M
hDUWPEcnYGVG8aVimL+Df0jtDQgzLK+gyK6dfkxRJje+A4GCjpVPImja3gqGkS2XE/J/l4RP48W/
WxIMjZwwoEhg/WWX+h+2jQvaPTMYVD9+WRf+8ZV/uDbc33CfagJagKWENh6Goz9SXZ89n1pvxqff
CVV/Zrqc3xQHX75AAylyzbaW/LksyN98F1eQjyHI24oF9H+yLLjyVzeUqw05LFvRXsA/p0k6/c2z
ATA6pcqIO2Qh9doGRNghwrNY8Z50gzNwcYN58EqJoMgZ8pikP9SMf8cgWtpI8mIpjiRh3YyPk8D6
vHOd3jnCSS6uvXmgYmCK+4dqopugBO4RpE6x+kR+8+TETbO85AcqaJOsJvjTg4ED49Cod2Uq0V4S
zS+TW2cYIp/KXTtO9jlQ/PiydV26DLHz5Q8afAjQg2IBdeC44EzIZ1Jdf1a5McjhKk2wUg6Rw3HN
S1PSVH7pjKcM08jDODjNqVksNEw5l28OIjUEhFAOP/jlZJB53Ojx7tnDk9vREh8oi+sNcXYZnjHg
cNPAmgx65VTSrQBkdowg/TYkGhKUsGrfzWFyk/SSQylUIU3M3a1XcQEkmCEaSGLOhGzuoXtKXTw9
J70yfz9QqUi3j28mMwdJXFpfK4Is/g57ZXJVwe1/bzDPXnVKaJoXqFxEc1UuwysvX/oyKGxuMtBU
244c2Bh69K9Uw5dcbRlkM/TwBGAHfcTatRAS+7qmSztZrolQEOPtHZ/GgqHjYsZyP2cnaanpzlqt
8T612+K7XcS0vrN8RflhaSbrrWv0Yu3DxlBtreGy3GE8COs9g4icuu1u5K4XVjRnVgyqlp3oRQ/q
ajX1JgJ78sPUAtQJ+bn8y+oS9QYVRewGMv1KLCABIBvEdQuJK3WzlUtWaPmXqPpUbME/3qu2a+5q
ZMm7eGxhgPdV8xAzFLhp5oSC+nRNCxJP2AwP3Lfqd4E//kaMqT0EUK4pzCCegz+kVwejszrwZ1q4
usRjmLNSC3bW0yFLcE8uR/jV86u7hMu1iEr/1OEUeJmZfb5qH814Z6/eFHgU6L4Vm0Ajq3lmbmGI
3PQzbYLSn27BO1F5CZ8g0DW480HmVMLyb53Bku72+AlAgXXASQj8MH3p+JGmlXIxAl3rtTWwkVXQ
Hy+k7KuTKph5l7YpzxwRFy+tpPmi8uxntvoClRT1ufPhpo6XI/xoSMYF/NKWbrwHnzHqeUKWO5ho
5NgntIhc4tkR+7BPluc6Kmtu6MN8YfcQkGJ3HYOGIA859oX5gCw0n3+mwuhOOnK9t8lp7RcyOLc8
69QEKkpvuCpQzORNur+Hv6P2KSyJxzWa1heL8+kpJzPmH6e0cWn4nOvyJWdc/4rZoX7Jqn74GOI2
fYH/Qe2sN5x0xr+dcsqeSH/05m5RRfOlwRl6X5JdfJ98ZplBo1z/USUDRqwYR3uQgq+gSZE1hR7a
1Ga6ay/rPsL++T6tJMp2NcLNM9fx6FaPebZviQ0x4E/dW6+1zdc0thi5g5oj1oPy8GB7Ljm/OpHn
mH/yH24X+qQPGwF2nzKj5TZ1S7wegGbqD5U0Eu3bm57woqwfhGOneu8hNDyvjXDvl2K+cxmWj4Bt
+qLFOCEnfk+rGRm0e/KLzSHCOmPQXzp7P8/DG4zTw8XCGvEQMov8iTuDY4qB8vGagSjuGTOI6mRj
4YpI6oX2R9YyWOIvbzPo7DJlngbsRJSGDrSNrbkTPbRFVL6jBPP2j0OJYAw65o4h9agCglXtjvTm
fOUo0E5BtJIm4L7HuUUw/9JMBA7KEyTADc9A2y4NID4lqF0NNcEmweRz33Izlnum4MSiFs+hk3SJ
B3yyNiTQCl0enw5nmcDrVffAaJWTZ0V6jo6SoXtMkU8PBt/2OaNrc2mbPHyIsBt9Cbf223LrwbWm
7lHUxXwFM4esCWJBeu+DLi9O1daiO3YrXrXQjgZQUC01u9KCtS/lAghxa+HN6cikpGDr5s22ll5u
WILC3nUr761yDbjEdNF0UknfP4YiyZ/iMXK+qpTu33EkSSq9WNzTLDJdJNo3V7kai4uEMXAUWENc
HygR8W8LuglOYzU7FyQbrZaXbKTjgagDVum+6w2lr5hlSAADkLnmVVDPZusujhpajBWDx4vFD4v3
uWv8d4txxVlDQglAjk0Hsux79zhXiXoaZeId1q0r2Wtij6L5tv7OCGx69+t048fYTu8F2Wfb8jpO
7cksCR3MyWcfsyw/QqROvE6cNk6DRWXi2NjWsgeL4Zz34VxdpVvBc7VVPY/L1vrsbgXQ/VYFHceU
Qlvu1g/dCo+Ow+SzN9qr/ebGJ7gIYViiae3iaZzeqb2hbzouVPgQbyXUINGL4VZ+dlNX3tZTPW2V
1SHe62O51Vi3xcJYyG+79r787LnutsprbB60XwNaTa7KcWjYvLZ67G4ryna3ymz4UhRZajtVP9xi
IuJoqQGvQGjbyaX/2bqtFKQaxg7JC3s2kCg0ZYRNF5vG13Kr7c6prTsjm+A/+yifgXTBYJFbT4G2
ZmqwLqnMXsV5Mnblk1029II3iLWXK24sfRmXi/1a1cLMeEZaGDTGAPraKsZpzgEoX7nqgRCvutB+
nB0R/61AbvXkNHNMd2vZ8YH4LLo70Bv9K92L1Ue8lZvThmfO8q3wvFu9fJ+uXvngh42+clsbZ8xi
OvPaf3al95PNcciJ4FCdp21trpOYYvU8bLLXaitb58BG73rYlHSwN52fXxEN8r7gZYeulZg3ocl6
w/Sf92prw0y2Snd6cPSWmMtweiIG7uiPQegu3c59hrNIg1m9lZnFW61ZuRWcqc+us1S19aW/FaDF
PUFhYDPUoqk5jy8MibXzZStNU0h/Z6RajvgiY2pvUyxLRCOYLyiG0ggsm65iu9kXD/MEjWwD5Wxt
KLwb+/fGtq28LXSocRvoc2s5GB3EVvEm7e693Erfpq0yftiK4CSNcHqrhpv88VFuZXGtppSC9DPK
qTt6rFgYigQJdEJFvP1R/pjwmLw2MxV0STiuJ0YpY3EAeZA8qM+2uuGzuY5oRx8dSlvpN7/rl281
ahsgbVb1fscgmFU9LcJuOK1dHWIFjTnoCLqPaKCsmYaQPHU6lm2a5qBHTnyI/oiXULF9nuFclsEa
D9ldupRuAx1zCfdovBY54OQpF5HL7VmHTwk19FZQ4YGAZDQNe5luVtMajuXP2inEU0+TzSnNF7be
KmqPdKHqIE9G+4mBachHfmTitKuLzrnuCiGoD5j0YSpauiR9QR0NPO/zQoqSAf8c3XVeX2MSljdu
kcgbcmfhrmnFdE9WObnK1lweMyuBmN5L9tjdFKrYCdxmcmlhqNRxKPz0RiJXXkUNCJiD1WEbOhVZ
1F+3K4dFsouOecE6sUFj+iommYj6ay4bDogvQ9Si49uzjl4a1jp2sMV5qN1JpXt74JR4lA09Wjs8
gD5xfazpzzRe+zfTssR3kdvTxOBEy2KziM3rhdeOzVuHU/3Zy81yZXKXWkLoLualM5Vzz2In9Y42
1PgLL7A44kMHcF9YOM54Z8pHxpXRdY0BmYxeXynoTljEFb/4h29GiHP4ld1mn3HePAcGHlEmswKn
CbTbd+JE56862p3dxacir+2SVXORoKc6Bz8Lo+MGFU9Q6hz0RDQDPXRucnA91B9M8dp6xxrXPeKA
Xkm4cWbf15R93uKWH75ULnTUfTMu5fVAzUqjPdMHTF054izIBaQHTf6ly2ZuaLHGDX3blfQi74am
yZ29E2tQQuSkwbjJcSZWiDMYkMdcS81Jk0f5FI7Kfw3dgYvO6IY+MwiXR5Xig6arLqxco5TU5cZ8
N6t87TqyKWekIb1Lf5kwV6YqSp4rUFXLPcOiZSDTVemPrsWcdFY3RbscQ9HDoiXUgBkwZ5oW3/b2
BgnL84qQNWWKK5seSCH2quWBdwZcoF3Qx0KXJ2cNVv9LfMSndijKy9mz9SvLkvNgKraDJA39zS/T
P85L1mWcptbXacUYTIY0mTuW3xRUVLxN+1mSVvNfieT3bMq/kUhcsmFYLP6VQHJW/VK7+NdX/KGY
6t8g2ThCSvTPX3A3rv2bcag5xO+v0UARQf5STLdmRYlqQZSFtxx6H5jwP6QRqRFToeQI8DloY5vQ
8h+ULv4PYYQfjLuTp33HbPdwRNt/DrModxpLJ5+w5JA42c0g+444TVUgJYdYq0jn38NR/2us7+8C
7fZBEJ9RAPSQnczG/vnn7wcjCnQxZ0fOekQJVx19MBfG2znhcv+nv8H/J9On7E3s/UcQE9HHEYhH
LhwfknauI/4WgRuMo2w7joEhSEFEpHAcci5RLM9TperrDFLpNX799Ay/XLmPmtb/QbplvOvKOTsv
fD0ACbMyeSGWiSlGNnQaN7Qfta8aiWYiFm6cG2MieTEI6IjLtDpwmSWVF1g6vBjmCo2SLufc6qe1
DYeMl8mnAsl1PKKZNvKy1624S3LVgQFI1nDfcyj82ZuY+jH8+SMTkpy7I/Shn6SSqQ8uyUBWYb7e
MYcxNi85DfXNSLcVFBdEDBqELhsBLPPUaNrfEGV8fpTBDcNXdLGNHhk3q7tL2LmjXQQemFllZLln
9QrubVfkKfNN4CkR12w8aUjH7th+FKnVXqAOnbsRz4McgQNZwFfLxTxtJZH1no05vFgjTESJcsq7
ec6v5hiIhw4F6llSv0HiosNd0DOl1/KsdNwr/PugCn0V73AcNoHtW+3VghYfiGEYg5CrOe2dfk61
mfEY9Gf0aFH3gaCxdG+JP2BpnTXOTlBjO2wB3m4e3Zu+5BCQU94VbzKALWccd5aPORW5A3rxPb7b
Xaesh4V7qYNHfWfkHJ95pIf3VAudK7CkQVbbfHtM4Tshow+s55xBh5T/iHHQCGIPJKX8YAQ+SxNZ
J/ZG882VKRgye+J+GmRHhUfLq0NRa6Sy66JkpqBM9I0TfLqj0c3b69I6IzZ7X2UtRE4+0czecpk6
fsR+HkH5VD+cIbySmXveVGke5LIA54SXBO9+DYTYvufiPAdVIX+kpjjaGS6KYuihlqcfQhlG52H7
RpHEB+IYN+30I/OTKwrJLiAuI/iNYYPJuHnkFHJmcWjzFmh5IdBA27qKc8hvVKLw3M0ezaRNiM3u
KrX1RJJEh91t02Pbtaq3EqAoDg/MEPaUXwp//kk1Z7rnemqOWbEdgDBekf4BLzf2E+daO8mA7yG9
JD4H4kF7N2qJoxs7nL/FYfc6k2s6OGqiGMjmJmNC64n7LqBZVwBz41xXWV0YKLeiFonIPVWltNJn
1Zlp1RtzcH4BKCOY/oFUTMm30NEknTi45sZ2g96loauuxqAQfGszKeu8q3ps4R1yJ3/Ye2APFL4h
3TK5xjsYFryoWaPWp97COxt27tMk+E1Lt7gaS/4OUD2/wdypDv+dP/zf5g9K/svI6OU7jvL+Pftl
gyV7uX3VH9ur95vjKOOxmfw1dvxjIEla1Ify7djslSSut8DvH5MHydQRltwWJOWfcl2b/+nP7VX+
5rhKMsRQ0BsUgYz/ZHvdtrNftyAGn0RfbMPF1GO8/ut2ZzqcU27vsxp1zgnt9daE2Qc0/ePIgBCe
zz3j848Gt8+/2fw8l9/g1+9sCMiiWAKDRAdWn5S7f0qaR7Fjo2rlw8GEfvsz1C68TWY0dH86IFHP
lVg5jyZsokwzEmt9mDvseOf5GONol139oR1alyCIDTMY6AwJuPKW6jJVWI/JJ9JntKdQA4+R6Bbv
jrpTTqCDGOOj7YQKt5Vdna1mJHAY9cCQEG7XXblwP8mXiMicaW9pN6So0La/p0jP+4GsXerbpCBh
ke7cpnxYiqLY9ZFgyKkEh+JZ7PTcpg/2LBk+zjOIWFlZ8i6HXnbjdlYLJX4mz2N7KVg3j+8XLnN3
xji1uF+c6pDVKatZ2l1nNR/F7K8SC9csFq7GWcIXT0tC8XLVjN9tY+lnYl5zF3SDjG5JjbVXTgnA
RWLAZsVPOBnUiv4t1Tvpzs7T6IVElP9gnJFyCuJMmGcrzFhquF+qRtNH3MdvWKttclutto4ELCFu
26Pl3U5W13+EM5aTHbhdKEJR2vuEBZjOkoI1Ft46XzwDf+74T9JUZh/WdvzQVc0WPtJLVgY5WkVL
99synSHVx5eck6bLyQEQqJAHAhsn/82cFPpWJGsSHxT5jTvONS5T2k5cJd0M5rye2bqjCc47bYHU
G6yN218YtygZY9VheVbpYb4aU68/AjyFYdOmpNOSfr0s57F+bkrPhU9bd6StXNupXhQSxF71UOZ2
Lvxn9F8PQNNdpGx8XTEYt4bnAETPfsSsRmqj9qkQgb51MoIkQFDF9BkUOT3VoF3cqMfzCyOR/j+c
QLf8/6Zmp+CS/3QsDn0H8PHlYXR6/y42UycDMVqREwwtqVFHWv350I1YfL2ySkcAY6KiW5TD+BlM
C5IMVVQ7L85CEOqwposJifZC6A3BqUO1aDtIK5VbL+chHjrqUiqnviac3X9tSsWDlDXiLSIP+hO/
cf2dTyZ56GjlunXJ/SEbLvlSHjDVxW/UmqI5JoDBjiotbfQ+Icc7owa+y6piebLxGvTUZ7v6K5hA
6jPXlAFZiJQf7pIxjen3tuVyUMmsjmm3VSNXq/1QMntp9hNp4pURfIPSsYk635vCxdmXRlN9P4bS
J29Vxa8IhLl30F5bXSPDZ3Lv+ZF5GXsi2u4wyHnbpmeqQvvuma43tAtVtua9SVJQQbXLrVjimnQC
k6ctaQrZyJ8WbPzHuK+Ll5Gy7HsaBty3ckBBpgQjB4WrJls8RUD8AMrLET8cNrLisTIN4aWFMSjW
rKhG2wbPx3TKHhgyJrHXs023uYVbeXYV7gc4+IdYKNqh4xGnZRytkmMF8ZiFOc54Fmdx+8Cwg6Av
VNn8ckWxljtUJlaRzC2iiYPtZN0u9dIBOsyofksXC36YEFUqAkP/3nchWkZTXNSKE/ongr60Undh
JVQu7FkUNEaLBelOcMjpnVXk8Z3qXWcI4EG5WbDCZ7xPGFO98Cd1dlVtCsNRn3q3UJv2MUIU3Ota
TwfHdop7innTw4pfCyI0VKc3u2NN/0wFfeGcYb6ymPMX9eoSY1XnSuxfoNItPwAXkCKCM7oA+oLh
DxOVmHrEk5mf1Kr7iyHCzMe8NfURY8eSZWEMmSPtM2sdbyaCoC+5aCkYXrm7cMwZfVWfhPLVF2yk
oxNEA3ejg6ASGAjnItLr1FfDHd2I9bOHKQTvBkRO7xBOpX6birX+0UQrSXsS0SzpCdwrChVUi++r
zmG+c7tol+ic6jLl7lzbzm6Qd0R8Vwm61g/brP6iovsvPutym4jQYg3MZ5dB8na1VZEYILyp9T6F
7RwGSxS2HWimkthU2dXMDTpXH7XdYBmb6pU7K+wuSzN/Sdtx31QZHjpdEf0KsET6+yasMEybxen4
v0jHoSK49YYtblbwJZTK+ulYB7XywmuepParO1ry2spa92VI2+KCXqPsck0FC7FAeDoZImEUQpXD
8loQVh2CyEumG91nXnkoMlbqlY6EdrcwEG+IJ2r3R1Ua8zhDW8FeKwxhz1qQG8HX3H4s9F7ct8am
KiYp0/4AAmi68YoJZGxXY/uPquK1RO68iDKvSoLUZduhpwDYj4HNUKhSBJZL6YrLq3fgtma9r31K
yDgOufWJzTPAQepbFDr5jQ7pADoMU1jFQWYn5LRU7bjiFGJ4YHxP0P9dRISfdoPps+WqMgtISs+M
hFcoXuAPTSaZW9w8e0NQS363OYyXN3u1zRPLb33HaMqcRWJevpB4kVfkmmdGYiRtvxRYo1GzuxU+
QCQ2g/RITEwEcBgaH9ZAtvIaWqL9Og1OT7zGGm/CGaqocDvnJ5KlFXhhsj47vEjffWOFKIrCJMyM
8jOlE+rYvaoPaRzK+/bHmozckpymcx3AvJaDDtcZdZ/oZsA9JYdzLupZftWMo/vFGeL4Y83CIg4o
SQBSjU3S44NL45WrYj/PSp+vsx6xPUYYDRZZm3d2l+TeoIzMLFv4zOadGqhM3FeE+3rBKCJzb0XI
lh/ocdXzOTdFBxOF3Wo8JYOzn0H/8xIsjHA7C6sDeZybaqxex6KlNqJFtIxTSdy+6Jb4yMEAG+/Q
WxDNl1ibR7Pa8QQva0NbFiEDpjqerXrP/PZMFuFCiRkGWC7HyvtOfMq+hE7g4VV2qfDmhuN3pwZi
+xVFAV8wajXP2Wzrb16m/PzkCh6zg6862J9ScUjYacToD89YKQOWwR2Hg04c7wGhLMLHMNromV4W
hd0+noeUt9Mm+LWbJrvloYF+BvHMS6FikDKyqsth1PoVrh1PVCHLkoNQrtn0BdtemwtibB6XQ5LR
/Sw/6OoOKbTOcgzubTmuTCH1DI2fHoS9WIrxQMNrhKAfI2VdUcG+XDB5tL6FSTtwR2YOi0LTAgcn
MNh/tZutMAFarPU1smDWB6QS0vd5slkFfEW/JDkNSz7iH9b6FI01ZxMt1+l5yibBZkz6vYMYihty
xyOAlpyl6RJdky6zHwSNKN4xxx6DLrvm5AsAbTTnvVHujyJUbTBruqP9LN+3DV2udi/N0YHR9zrN
8MYcC1gLAdWYAA1g3t0oNqBkSLncRttn2t1L6/sio/qLcACxAA2ctMVUl2jULuq94qgTQqLQ4dG9
15pvVkfqdkg9ZB3jxPuCFosdU/w9OUYquX2HkP2Sevo+rS2LsUjpHVXX5gfXDzVb7hjeLaGDU90d
vBVmY/HdX5UkpFzZH7A40gOEha3Tq3L9O8IO7VUaz5PFv5i7D6tckuogej9+tBZZXDOm5PPjpXiZ
GeMwJLZtRB+vS5dXgITdU9f21NEldLgueyD4ndzJpR4+fE6D33U8wiqpvG6j1doh5U0Ft5sP2+vG
FsRgHD/pGqvkrsKMdT11NoEFZaEtRYqnkEAB0ce9HJbpI7EoBKrXpnicVhYVmDhhvVmuiUnswnLr
uQ77flanAYgOVo9sXi40DyKH3rxggEsJIEyIGHHG0Ysds42VTX5TcJov9nTQjeLcwRNwiKQh4QW/
4qFaVvz8ro3FvnBXECRN6x4mhXWmImzEHKdheEsHhbEusjwc2e+XpJh4iI3/VDGWwzdOlsTbsVHm
zR62cE4MSDZELqPVxAy5MdZ0e0svfLSurp4lWbdjnYjMHAaoCXR8zWRL+m6bzkRMjl+ZhvrdRcEE
/2fmEs7ZNW7Iqai0Co6I0kDboWxFVS8CouDT1Anvh4J8fWLKNNdgInhHS27GFUP3Nn1PdRWJI9dY
55ZA0CJJrpa5v1PkPS5BvHA89AmbUFxWep69H6dQszhoiVtHU3N0T0kMUmZf8Bju2k3lhGjHNQeJ
UdypTxk0/5REl1aLJxc4xg5E9k/cJ0in2aeM2n5KqmNhpRA6NrmVbl0C4hgLqFtDYPIuEvoALrBU
8MCFvPnnfeq0d52N5rWjgIUJi3a45o0zJOEEJf588iKUYKtKfxi3w/2BHCsvuSU79yYtsUSQ5Zua
6rxQaoUalD3HK/49WlINtv/prOx0jsnD6mkPIUE0KXPb8QLcJlboHRZifoGb414juuWDHxipkV3c
PtsKwrhYUDWwj4d8QLScxDGz2+SsbGR5j7WouCuAAcAr5tTIjG5pQ77NovOrCnzOwVq4izC+5HAx
p+YWi3Z3LKv8NLCxBSnnywiU7F1pWvEiyoIUgsZyAmq8ey3DkbaFBHjQyCzhgJ9iOdLJckvSnKJL
5QzmVOnZP6fmA7FtqlVERbjliz3D+eRSwj7d0a7hrQfR5uVN7FVkB8Z20kEV+pDjWbx/gvQ8azzR
fdQbiCAax37Xj6X/hRpC78KNlf2mGhP9IFgsA5cPaGhz6rp7PQhQC3D0qc4d28y6W9Hs3GC2KYFh
S+7qp6LtxYl8DAmDiRaIp82kd0lCbNiNsFZPLp04z7XbZF9DYLEYGMVifYyDW3Zf7YxrEAeAhOBv
GaJ/n7VpNnmspGregyaJcD8wfvthyR71WcacLMfYZwNL5w1tIeslm475yGkySz3/Hlu7lx6l1wzH
wZmYb0PE2eqkEhDhXDM5Keyzbc+svZqAkF17LFTeZE/ZnjNSd1F/Ljs9P9qX3uA3A7ychJSag1lg
DkmfjHMifVfrI3HTcg5Id+ssqN2B9JZdSvO1dyeYJE6iwr1Wfrbsvc7zz/2RDP6paCYmCDaDTvZg
Ozc/vcjO9wlKzmU3ddPNQojYDYSIOZgOMjXf20KTkNNRk9wjC0DzGWz7geg31oDIEyyJNFROgPHW
aAmIsFZEqgsXTlaShFzO07wcKREflbga2ro+5f24NZ54JPKPlTX33+lo8vr/Rjb+T8NHafSmWv7v
3uzLn+17/jdx9PNL/pHW8OFnMi30vE9A3p+mbFB6rMcMfoxkCqZtl0Hdn+Ko+s0V3F587eIDNFQB
/yWOUjaMoIo4KhlaYtA25j8RR5X5+4QO67chQyIUSixaHy7vX6aBDHOsKctkBg6qR6jcOlqGyhBZ
w0A2XJUp+lUoBnVp7LU6kWroz6uiJUVKxUt9HWdW/6onTpJkwOL0zdRsDDzoZXWeh5J6At/LPNor
EbSOBC29WxH3xjsnvTklV63TVN/1Sp12V6LvMcMzyAsDrVAjHsCww8+6xgxUelZCYo1U2syMQYSB
DpFHP8ragRXjjZ6hGdZO24nKn839Q1vZXIIOztxnjHxpdqCBDfPhKsLLtWva4QK7nXlt1knhQQDD
3cH7uoWiXpOj2iQ+U4roYpQeqIAkiztQA/ngXyiZrTddORG1zS2RoJXpUo8XihOkOExtCCHHLLF6
FCWXqGPGzCffNwtmFBLQEol2ArJY0uwBJP42dkmbHpwYNC5jJG3gPBN1m26xfLjdlTKaWCdV62QH
6yrTBLhTCR2C/k1knyQt6o9mwk6HhSzpDgIezFW1pMI5MRCzdWAgn3J5mNKFo5cqbAAyCmoTp628
D6CNsyNNvsWN00z0LmVWtcJekAN1i+AE+AY6Mt6b4Mx5m21FQfxl9BNXifFE58Fyw1Xev1PMq/st
CtrOh64T1bOybazvGKLn8MxEbXZBvlJE3MDa+UXUmXuPSme+s6zZyWEwg0PjMhUeCILQrriOpyY/
4F9SryTPhlcOBno8TrnuPGaWBTVF2nUJFwNReiT/DBs59RomSTUn9GlrsSLsEgJP2cefC6fzuYgO
23qabiurs62x3edyO24rLzsLi3ATb9px5qtpYy7EnKJYr6NBmp/6cxEPV4cTEhoNi3sXrv65Hq10
2Tefy/+w7QR62xOaz+2hIKWVBYSOihnwzbaFTJ/byfK5tSyf28zwueUM2+7TfG5EXOS6i85bZwpQ
P7eq5nPbEnU7fJjPzYwdqQyD5HOTK+psgk6y7X3QDtkGBXVp98W2N6rPbRLJjXdw+tw+mXGwlUaK
XbXJTfaDvm22WkQsnMwh+d89CiKayG7SMfhC3uji0fcTb99x+4AqMuYFnaDbBDp9qVf/JgcneCjp
63Z7LOB+fSkUssEAgp7U85SeRCfSl1JNgtbXZaV+VK9Xkd/lXJnZ+JtZhU2QZJNL6MKHL7DNgauX
drL3/ogvSDojbH+fMr4UM2NRPkZxeujzbhnJOKFZnBctTwq0E+daDF4CasKDXvL/2DuT5bqRLIn+
UCMtEJi3bx45UxS1gZGihBkIBGZ8fR+8rOrOKrNuq9qX5SYXKaZIPgRuXHc/zv/AiumCCGE/fQJX
ny+yN/sA/ZjPycmgvmL65th+vXTrTb2IVtY0utmuB6mrufb1kMxWRZqhVdKV9kQ5n0uifsBqzGAO
z2uY8nK+TwjZT2uTR6ajCVa5YsPUOnLtC4IWuowbzN18jy14wkYPd/RbC5iOnbPVOkwoI3cFaktj
2XkHnFMc80iZMdv4KCO+QWtE/QGg/lw2frrlHrEZ2VmsWIpbXJzBHHmOw3e7+i8HOVh0qqtpWxzV
QyP7dm8qle3+I37+K+KnvcC0/7+X+/WD5NVHg5/yH97wf/tzf4tdiT8CFrWCDz9eF3xlGHj+Jn9K
3EVEKoXp+KiPvJv+5w0v5R+Ciw7jvkX0Eo2PP/R3+dP5g4lgQSRbEheJ6f9bwStTkN/8Jx3S9m2b
dYxl+agapLz+8RUvgcyMrTTGLW19sj+4MCvpVGzclkC6/TtaCCJcD73A2ozBAvfzb3dK83a9NDwj
2fpeSt64JEv/vSCsGdzxIHHrNMtG/rRqYL3sE6wj5C0ut/p20cXgwqUXX2iuHh26eN5oFUqiZzHZ
Q/VYQ/puNgnqFStimyIHqgDcUG7sfNB6k8YKnnkLHYsta8+KhZiJ5LL+574ImAm6GVmQ6KFsI/M3
NlV7m47Ah9d11gVH+gGMJ5nFhryjhqSHDhkPtsOG3Kyz+0Gr4SJuOwZnWTeYcCJPbYtyvdEOaaa7
8LahAKYgsicWc99Jzk/mHn4X643akyxghxCK15jEnETzqO30QvwShAvBTHYmktU3vV99Y0PVj1LW
Jb4BdV7fVi6T1LhNaVhN0vvGEqhmSEmvbt1YF0NYE4Hyxu/zg+FHQ3bSo4Ljw3qGGcr1sDysJhyj
DcETlkiyNTPuBcKGxMrbHtcSe6dh2UABCasupvbjRypD1HvDEsvR7RLeoH0P4nhQOFvgCE0L08f1
V4GdJ298NeThPtIPIei+6ujkipXafFuvsaiwn7KJnfF1geWGiE+dHazQFlnMcdob426o6BNa6l6h
v9gtqNRT5LGpXYsBl+lBo0+/aX8eun2norC/oihg93Bu60R/kM5DOY7msE5oESovvgD3xb0yR/+s
emUekBRZVDbowsFRMD2pMxtHNowMfV2/dZjHDnL023ZjWpWsttEs+ff2th1tSPKFuynL+vwopqqZ
CN8E0oRIpVzJ1UuNjH6xkcPHZQurln1sEVdswiOtv6omNMcTnzoEenHb7PaaEQrfUhWsYi06eiYW
UC9uLqKMwmDliigEYjBNhfWpArMbD7FJ9802BliGKBKg+QIajKqTNbQkaBOlMzqFEtSHxHsApOm+
Ng385XUb1saRSSQ++cOASg5USIFoSs0ndknNjzmYXPIHGWEQCfIAJq8vn0PyuhTZ5zCWXhIdsebH
bMcKvBNqek5Ka/4qYlqLe0fogdxlFZv3usNZTPVKJrHmlWR6D7OIimsAbaU9jHC/6o1I++IdNFV9
H+ADoqCH6JPahCLIqrWBp/KlnmJaZoUsKADzDd9qyaqUDg3ZZexsVDRBmkDpi8xzZ3EmrJqosK9a
mR36FpAR2LRpkfygHlqOW28Cc+lSkwbUS4GV2VTAsGmgFuE3Y87D/ez1OAPGqvzKldGtch0nuyi0
xzfQvsW6BmHg7c1aF++ghnluFB76e6Ri0oB2UZ1LkfcvDfW3YDcmeFZJHoyEbWzrAQGRdQ6FwOmh
66tiWyZmTomY6GVxAI9jv5pF1pybaYh+OJmMg+3ctjn1t2OC+9CzWNzuA5KKO5bv8eeoDNiKENXQ
K2dhdnw88volYTo8cv0nbG3n5dKMDh+YdJPn0mjixPpkYS+nnWX0529YHcqfdV/1wa7PrTHax7xx
0BdYIbLRGqDXkKO/i+vKOIa2RGnooyofntWQhOiybNjsTcxuoEEYLSjEc2WoTr2r8m4/TpbJTDeL
xSZGJySqKdgRsXZE3bz16eTds1Ko1gE+lB9mFHrlqw/Zh4ln5EFZBehqm9CoHKrHeA36PwsDB3zO
ob939MDHM36jtEF8th1FWL6sUsSKTO+CLgYg0iBicIQXOCeRXpcbRlIfMD6gjhEpCzj2Me6fmNOC
8oXOW+4wpA7nbW/X4VMxGQjYE5CaFWQ2D7yZYybDNsd2/ii6EP9kJyS7j8VFaFC1JdMPl4hAf4gS
0WVX2wrntR9x5KxT0yq2EMEELbSd7h7CJIte2DOW+aaPRpPQm0XB1MZ0AEauAqcE64cIP7wGXOJm
ziszgbvNTz5BO7bdx3ysDXoDp7JguCXypjY0OfIXkU6snpJakmPlbEDqY6vlLkxpJohjQg6cSB/y
6rbkNCP46CXjOWsTceDDPBto3diCxrFSybpnPmgO0qAVaNfWTnAo8zT5csegfmMWrx6Nvk3oVK2T
+ScMkFyz7HQkWhPsLFqiwc4Wa3yp89Es7SwjVQpuhYJfoqmQnGdpr3x/+SGUslsJeDbpQ5PNEwOC
tqwPeCOL0liW6mVCC7hWQg0A17MxI3WaITwFHYh/vPtRcTcSIiHKGPffhomtZDYxmO+EgZkppZIb
g4GP9+OaBfP00s/C15shZYHPEIwocxjdzv/lDfZ0AI1n3oVDjARSGQN6fDVnWEzKIZrpTUf3ptJs
jMN7m03adLC7VAUPE+JoT/+KF1/R94J3d4GYpxIH7o1r7kE4JyjC+jRdqOfhAkC3OOQ2eI6Boifs
9hHHPlMFZCZZ0OlSLBR1YPAQ1SM5+2/tgllHBqYKckGvo+NDYcedlB3FSCaNM2ZZbsJspzC5W1Px
nUYbmuHSdT/C0DHq0juZtSfkvl8I8MXCgidZzprejADE1wsrvrth4wHISuItDqKkF84no55DvRJ4
Mp/sG3Y+NiHQuwuL3q1iakC4FGMKAsa8itWAYStfCPZpVAFowpDW7ts4Gs7GDXYv3KHdUmsKAp+G
bO+uX7j4qBvRlz248XvcTC/GDZ8vbyh9/MZky0f4+kW8oPbpEIIipDmLWHpbs+yPROHdT1i+SuzN
MpfGqQfdby4Mf3Yh/qMtudGDCjVfMH+qH47JFunOSuv+N8UVlAFE3lIM4LYx1oU4XQoDHDnTIjj5
ivKuW6VAZWfjZyTpGRjsMum/VVgekr1bmdVX7VhCPxIHoqBApqzPTvatuCAJMCuvoijoaGdfug0s
KH5EnW6VB+Gt/sBgnEOJvNUilKXVP9e3soQkM9CobhUK1bjUKVgUK/SNyqqTo4nArKxgoODOs1D6
rTm+IpEmB3DP1DPEo273+tbZcKtv8OyYKoeFJEVqm8jMQzLr+EgVun8qUyM5hMFg3QvbjjHEtEO1
ReDuUIVVTl1cHvEuZwb50ghir07pxVu2DHJDh5xkiqaBwjBKyigwhviUWEBEKT8mIMVqz0EbvBDE
tL+o0LQUDXC6vO/I2X/rRlTqFP3ePFnZlJPopz9vndeR+Ua23/zmMqvdNa0T7YO8j9C7bpwfp1iY
P2LB/4yTUnjDKbr7yQsy3/DKghSEo8x6a8PmQ+qaKNrY56Rd8For2jLr+s288YaA8hEmc0K2Bmsj
mUp6oLvoZbhxinzXj1kkCOd5+BNkRMxTfodnQNH5jXTU2gW1XQZ8AxMO0shM/mGOM5XdU/ycLrAk
Q1qc/O2NoQTYF56SmBe2UnbjLBV52aV3yY2/FNxYTIa9cJkknp95x78VHmfewm4S5sJxShakU+PV
1njuFtBTc2M+JTKSz/TGQ4KSVLZDUczUk54oJuezPx/mHoF2ldHO0W1KGnIfSLzb66CxWI/kjbWT
BlNBAoXKvvGo1KKqxdpPnWOTYi14K2oVIzVL0nyrQumFqUIw5KqsunuwhxGplIo6qhaSbe3G40kU
QbW1sOWv+6b/kXVDQhdZg3cC0pWng5UVOw5ggqB9Goxw3kegaL4rIFFH2IA6WxPoz6pDYgQG6IbC
TpKtcGN2Vmy1jHc2sp1xgqCI07CzCu91sHp2HRCvTUJZuseelfveuAp50d5F9nI5q7wmq3h7B+Nz
Mo1hvqvYBvIrdOZ3kr3DD8nfwt2kdBaYa5+ft9rYhD33tqXHH4B4MGrQQ2rfJzH2NAZcTth0pg8T
NnB8Cq1q/FWE9bRzJy8/ahPB7oB10b5yafDDEyRd+ZlWytqQUChItHcx2koMHgiJOoOMP8rF5EpJ
ki3XqDXbIq/RTAJ+Yy1WSCtLtzzMZg13L+s/eXzdS5PlmLpiU/B2Z68b0ToNSW3TxzmbPAgE9L06
xb0UDEPbsBaJeWqCOMRqXzbC2kSJkXKr4nrjrrnkzvuAro8fTssLbD23lE1z2RD24q5iGcdFKXCn
Vx3S7c5eyAIRmRCf++pr7Rz7uDPfi7FkFRc7+pApjvlZIlCuHETNvQZBtCXAmm0Kx49AjENnLddE
OQDU09DR/LCNOryPPLD9rqljCh988g4Rra5EhNPcfZx1WzWnupLoXg3JFMTQqHS3mNnYUHdDhLzZ
U4cgKVpFnPSVHxA1bZPgKwHt8gyO7zVe2l1WgOcwZJQY8go1e0uUht6ATPinqTEB2dnkixWMwAev
h/6nIM3qLe/mHKgHifwnHQ4o2LrzFnp00vxMW7iDOxJErT54bbkUOsR0JLdzf4/ZGNRrIQV7NYem
SV7StGp82C2BiJzfw2+05fkJv3TLZJ+4F4yeLhaLiMxlHA7Xqp/PkRfgP8idCrZ0XUBlsd2fDSzH
h8yNSOLIEqNuzC1J1mLfpDkTb+9ab7T0fPFxw11UoCV2bvKV90lxbEKr2OSJz887ZULGBn1nF4Y6
FQ5ZlLyv1IPPa3iXtDr6wUxREN9KJvfZzj5oD3S2WJcXAGhpbZIJNjKBSOeYlUI9h6oVe+1jsuDg
pDe8sfZmUnpfsH3NQyi0fbRUdphLH4+P22XpRoG42KWka581IAKQ8774DLRdnhEFhw9EQUTKMMOj
ELSTGA95VrnRlkNy+DmzgB9wk5s1hkLHP7UZdcerGgpcvu5hRnw4metP29mtncvUWfpQjcz0Garw
PqUs+kDFDdf9XmUPg29Nd4AXHOruhny6DPjBAxTXdv41pQ2LZEqFsYLZhf8yOa57maRK125T2tyJ
c1RglYmNZJL/lRuj3mv2rsvL5Hsd4PgmSel018blEG3dtErXClkj3BdVEB3wy+7rnIrLsqUI2kTo
RSB2VfvKuFuzoJgatR5vdw5MOZsaoMpvn4gPlhHqGrCWzO8mvTxPZYWvfgU4sYH0seDAS9GZ68Th
uGRzs6do+TjQlruPc9O97zLb5BsafWMtnapk2DEK8MkdynPktQ5lK9xPO8+uvw9aUC404aYS5OGe
8sBuD6RSx8dc4MoYoarAUKBxoc4t8R2KrNpAZ9V36NTmlv253CkHn0jeDGRgaSRionEe4nohwXtJ
clJCsmCeuoM1encE3IY1dTL2eXKkySAVzHgJLPAYmOK5I/dIbA0V3T0v450biGSNKbm4cFClWx4Z
/w2c5iIU6LpekzwnnWZGLxigg36fiH58cd2x2Q2Edfh8BJ1zTwOOj4MwdafrkEOv4MSFWGKV+W5q
o/o0z5GS59FMVbtlm4ZvK27ejdQXL45btzQd1XPzOvcB016UWUTiU7GHSS74rc6kmV1+/7qM2q0H
Mzs61ePAGDLEw6Z3HIc5Z868z7HMP3AqJuuxMtkXtHPxC3h9uOd8qJ6Q9KB+JqFxl1vgnu2QHp2U
F2sHt4w0QKyqvTM6Peo55Lgq9+6UEwKVaLkOtOR3ud6ATHKSM5b38ugJ7f8SrfVghIzdDUoOA1k4
Pbj0CG9HFvprwmQGzao9+yOD5u8xbY/uOLObmqrZ/ebKwnl3MviLDVmEPuqSs1e3MBG4b2AkYbDF
Y+lMn3OSW68YpsXvQXcG94HAeaC2Y5+6ztzeKQMLxDXu0Sb5WuS8Z8q3HVM2W+Co44HRewLskBYP
WePIA6bKeqsBE0+PtMJjIJzIuPitGa6mqYmZpOCqy2MoPKzCNIFj1vC5tDwKq8DI5SCTxvl/Asv/
mmdALJjHhXD2f9sG7j4ibAP/RHT7nz/3p7IQQGeTRJZZ8EJiA87GZv9PZSFYgG5IwYG0KLPwhIV8
8Hekm/tHIB3Ai4GLwICx4H+DVdL5g8SVG/iutFyHL+n9W96BxQfx14ATVDh/0RR8Xs6LtUHyl/hr
knj2Gyn6iabgKbEmrpkfkUdiE7RWcReDybhAnnY2eN5eK5W5GyejSbUWY/4x2o53TX28hyPFyalD
RRU32QeQkEjXpf8a2UWwyXXA1NktTmnM3ECR7f6x14jHAyMRxvMuf27wH4ATB8/lxzZVPujmjXud
GiY930lY9ab4iPvwsSPZ7IJQ2/Jc4DVLQ2qwQ3+ne7R3r3AuPADuBw60fE/d6bapJLK9H0Azh7gP
tL7FRZlPvPXSBrSNP3Ao9kyYqQ/zwjeppSM4saHqBXKk6W0ATBibKhge65g0jc01Fgv+oIrL4sqd
GvmUFM650jSPyy7B7iB/s9MaT0YcpvNK0xKzl7F+TvjZ3legoYB2G2oPg/mVl8fKNYZLxyt6E7TK
uqQT33KCuZ9b+b42QgyGqr5aTtcgnVfFPsELpOQ034XfWLURv61Bg8V1d7LNOL+bjPYbS5NNXnds
1EjzFlzBCMb9bvFObwIXs5VlbniVEhtLX+ogOsaqkBAShmjTK6oRbGoj8NEeqNh+NKTTY4Brxleo
UM7R8ti2dfi8kqza4i/lR+PV0aGg2OQZoOxTbPXkRCdvFWHl240jhRApXoh7B78j0xrkK4Z4RfSA
Bne/xcmbky488oabMKBVT1jLWNOZlt2RumF8EzmZrxWUM7VvMSnej+6Vu8Ermdx2T46nfBg0PDps
UldG8fsYI0mWuW9RPt1RVTetW+TafTrAE9HN0ZhZ68zR2xAN+jwm28mZ8Op3zR0yzu+sfEY/4kRH
LTs4nsrXE3ihbcvLGxybAM3Lu9IymPJwMCpZ36E+XzIHiWsis4xBCALSdBwb8RoW32TObpWycwrI
3OX/nR5rYbBtUeJVgqdbkw1mo8dSEZ9hDCq+gNm8r6F7sAX9sNG+z7MZ/M7T4Gpl8wrx7eSF9YMF
pakv0w27/Sc9x+Z7r8XScMPlxu4C/zlwS+x44VJaBFV+bRXauJ9jy3kwhxm6amDG+9KC967w7J9b
nSXAPxjg4Dtb6mSFzXRObe1/sB6hQKkro7NBJ+ixNHVHnUhItRLkIBLMXZNcYhmLY5xGmqiQjl6a
Je7FR7U5Wljw30Fo0PhUD9UD1Y89hPoy/5FNofc824DFcpFl0PpLinPdKjiz7nJ3pjswEJosSWm8
Gq8w2osX2nfGF7ZH3SkVqngFANLs6p4kzErTivLRkprZ1CSX7uwhcK5AT9Ulo3yP0qzSusM22J1a
oc13MyWn6UXVSK4BTthinDhq1u/3M+UBv4had/aqwR36pQp6a1Cn+KnP3MOvrCKHixPmLaZI3zTX
Vd+LB98fxRP36PrODKV5KbIqfqWEL7jCH9QXPirexTIGccGh0oIv04m57gqFhkFe4y7gG9zELa/x
NI9FefjLW+bhz+DrX4vGWRv8w6nt0+4RSNxmvAXAI4AKxlv211M7y4hkW80cHf0oyu+UjUP2mDZ9
c1dbJTHQUGDdNocBfhDLDRMYPXcilCwHcvrWbrtXRFljR9NAzVOQNpywjVltHDbudALhf47tJHqH
xY3kk1SR84ChKj23orgDywDtug7mB+WabHhCP79OEUUIfJJeHRBhKw0iAzZ2z+7abBx2Ls6L1qDq
u25gadhFfko0qgtf1ECMfA+Gi9V848012bySL0wkMQ4ADXpq2pdzHHZAHWjW2YtiMZX0oV29GyRN
Etg2UbV1wHi/Wl7svzcyOgEWmHeG9J86z9jjk+JibbkLh8ZZ1y3WrUTk7j4pyothRfZhKlAMMBnB
9W0vsdJIcJ6PXQtuXQ+kzciTkVga2yv2Rxl27W5eY5VhaAQu08x2fw51dfESHn928s4OOOaOJadc
p4zUW7D8TNyDG/2Me2c4lf1g74wI1FoJv/UOsxcmk4DKEy/O0ic1u9FGdaziO4DkezBvfJSgXeKl
Z8d2GdRCeyAhcgEiFIDtEvFrzGr5EiFL3GVOIJ4q7OgPcUab+zpI+vbM73q8lMpNrmQwgiuYZz7v
/hA3X15U9jZWbSv+VeRVuR7Jy+z08qSw+3fP/vL0UNHSbbvlicobvzvF4WjdZUY5Pqo6qS+2KHk/
x01/pwZelXilm496KrDNdoHd7LLlCQ6WZ1ksT3XoZeVLvzzpBMmjo+qtYVcv50CynAh0w7lnhVS5
Zg2yfA5q/5kdc/4jWU6TeTlX5uWEsZezxllOnXY5f2jzjF6S5UzCviyOmW9CgItcjqyx1cWiVXfH
NANIodohOudtRw8pnsWPNJfTmaJJdSIg6D0gJnMwBvzXZwYQl3YMP95jC293PYrPA/+1cd/VrITM
arK3SQJ8fT11E5Y/EWrgDA2TPh8PTCPNbkmpmEhHXjrsPICI6aZWLKPXJu5/tBFcb/1diQVjDQ3R
QZr3goabXjCiCpmwKtNTOTeReoNiowu+TKbaNRHXrD2QXOujiwTyNZLZSMjNda1PlMjKy2ngsUsg
Ngj4qMhBcTzREjstvQjF7CDRjA6eybW2XSrcKLGr9jToWveW0csrLigI3AYdBHlgNVud2uZTM2uH
ReMcFmLPypJljwH1cViHKYo5kMbwk61iPZB5zZGLcULExrYrSAYRRpu7fO1xbH6f8xwo6xyXJmcL
5k06mzQ514u2WvmUtTU/l7J+5B5GijJNhy3Bd0XqsUTf8sUu9drXtr+4M1fgKBRwEHGo2kksVuSg
iTEmFqUXOoFI5RFTMMNpEVEwDhaVGlaWjaILv/WHyoJhN6XDT7O0QORrixDRJB9CUQ8kHnhG3UZ/
Jt5nXhvkJmUILgN81aZveQ1YVW1Dk+VeG1ePdmA+pSR2Nmw7HkzME4eYVDAMHC22wPO8c+uOeOiq
sFgniXUKfWIsWcc7LyFYhe7HknZWPzF0EHyMDNLEk7JWOh4eeJ2/zqZKfjv2EB/xkpKYyav5nGbt
AD6oar9BJJg2qVlPv+mH4zMI5FVZa5I/tLdBs8KU/x/72L9iH8OJHfD2/L8vefdfSRN//BXa/bc/
8jfnmPeHTZ7ehqAmkExxaf39fuebMPn5xzHFgtAnkPu/9zsJHeNmD/OYsLGWcc38u3PMA1kFL4M/
YwJcgvX979zvvMWD9tf7HQRxxzd9C4eCb+FV+2eARcIT6zOhzDuVV3gpq8KBu6xprr3Gno632msg
DSsz3DJsx8VW5gXgHJeFUIg+fiasZ27hOxRABhDXFcmgqFtJotvdyg8HT+9l6ejraCaxB5awHbdw
BnwTl/KgTwSa6u9z4uSbTrKKS6yc9Qfw00NX9OR0m25pHYzK+8T27HZVR20fbBzuA3pd4BbADTPZ
7DmlrVnmSD+3z8mYhAgcRPtpJbGM65DqrCZlpukhLYLR+AVekeOTETv4TALNYSsGutmcNDlVHbhU
8A5zdfEdy30jroVnBcMtyckFZcHgkuge3ILVcTNKy/Rb2ubvwyySK4/xS6hnHARR0R9ZnOsP4vTx
2Zb4TkPdLplSO7+KJJX7sYcQLLwFUzCV8bGH0YiaKY4tdcw7IOXzNuBHtzVZT66NGm41ZL3hSbPt
w8nsX302tWfElWRNDumL1eWyuEadpxouZTxn7+R4/fRjnCv3EnO2z0wI5MjWCfjFHFO1ZZ2yKiGg
jqgBqgqaJOvVinvX2WihSKENGXhY8txEO1HjkLL9jz3/1Yxm8eBOzQgDOs8DxMlENtTmRfV9Rukn
bkKiUB+Q0of6OECOOLtRJJG3qyG8p4py2e/XPkJ+oaE8nwdl5pTDoVmAxvLsjredioKHpgdcsXZb
z/Z3JduzE2SQdB0qrMqYgH1Guoje1GSHrQTY45ClVC828i7Btf3DgJgFIhUKNjJstXxLff5Uwyd5
VW3jbJ0WNnHWFP19a3o5v0psyajIo49sIAfdP/smzZSrIrHkG7kj91ulTFRNNWjzMWB3c88WBpuh
o8Pq0NGifQBbNiwYbHotWyGjT0zj6WOD1rWlsCaqadiZJgrc+Jb6HX4ZBtEpX8oDXTd5irFgH3AR
i4NL09SOSbCgryvrq0OtvOrK7aDFqvcsddKtuVTuPCosq6EGR5VN/V3X8jM2qSB+57LdPTiV7tm/
k4nw0YTJ9sI7nUxCUuOMIz9fWhwNfmSGrtaaxmegFAAY9iDNW57qCTbXoHXCNQCUE3Z7LTU7UEz/
JIKRFjc2IYJfXhq+txQXXVLuDtehDsZjRI1Eip7n1YcO3z3hhLFaBhQf1pU0w/sUoqNelWDBzsSC
cbfIwUw8wL+J91gmefPNzHTcUtaYe9cmMPV3YuAlmpBW0Ow9v3LPjgq7kQShbDqaaQGzbUVv+dMP
LsCJ9dz4TBkNoP0vEI/IHpSsu666+Hz2A2rhyBiYb0YUjyMXU88hbBb1fk2q0M7ET8sNw+BSAilO
Nw6QYn4VVRashs7zgdgafHk04356JWpgbpyuLd5MOcK3jasE6DQX1hTFD2AZIFqOafwHlsi2gCry
N7SkYd8F1FOtOey/dTXTgkkDyh23wPI1145DabJ00bn8fBRfnpd6e+j++RUMHL51wCa7vk2ByWG6
tO4rc5w+SzyK77kemZ00HSIjTxEnrIqo9mvVy5BIbKm5mHGFrXNo819R31aPs+2Gv1KjmQ4Z1WZf
GtEGuUDwhdHazWibW6Tm92NkOc1LwmDok75o/Ag2ZuWPT1NT48Hy2PK4OwTz2T5GKSuiluD8sE1S
bAmHUI5ZuCm4sOXXEuVXHuF5ddweZTJQ4JJFMwUmtiyQrO0WH5zt2vGm8W1waMDrogW5F2TXkS5p
Xi+RtVNc3YHhdMyoiOXVfqLtay2Cil9lHt3nTZFftE9Ww7DHcVzBCoXLwYtnVQyNOnVuOsNECkDi
TuNYXLEdDa/UykfUygZuDPtQqh+d5ttZa1AyBHGGUeFx62rrHBkGWezaK8gYwlf10kMWAWFdh0kx
/RTgMSa65abgM64Nqo7VrQNC3fogpls3BP109ESIW2cE0X3En2ypkmi8pVUC1B8NE6G7tE24t+aJ
+tZC4S2FFEMRD9UxxWd2HJS0h2u+9FZYDglYszGKM97J5DCELIBBHdMkmlIijaMhbp+8kSaMJtfi
o27nJxvf1JL/CbtnMWa0Z0TGYumD0uFBYyt7cDp4b9wPHS2VGxlXjjfdORRx2K4i6EuJXo8N5cYx
beKFaQqwpV2DYpx+kWkSr47ZDs8tdX4ZlmeYqC6r6nPNM4w/WNpPZlPbb0YTFPT7lPYJDBdx7lRH
m2GYrnOQ2+O6czHD+E5GFft8ku3CZG3MHLvqjdTa3aitcm649SZx0VDKx68SVyV62rRr9GCUezu3
rd8sxuHAqhsT1gJM/OqwXly+OtDYzCzcaJ+ANX5NR2w4O0+4LWX3FXLzVhMnugfgAeKHe03wBoG6
OJg4H6AC2qJmw2eYfbgObzRbN2ZeWxWE35xNkzVkxkGML/TbsafpzO+bnBrWTNzrGym3sDp6Q/UC
0a0c2h82YkHr1gtkt1twu/AMIO/C72qeWQgYH+QEIPOyuYXS20UAe8WN3RvfOL7IpMU933V9CmND
NAdYwpBws7hrfjWsiChzjIaIgIlPnvBQUdPhUyDJamNNziRhIyNiDmxougblm20xXL1RqHlNy7mL
Q88x1RcxCW5vXtlXJ0yOllrbQ/2TrEN+UNgYf3YshFlHjtxRuG6BLYQLUMxbVYGAWWEjjd6pNQDQ
hWX4zUiAFK/E1KTX3qxe/aF2JHpmEplbKHDOmTx0uk2LPu02cVF+CVuS3gU0830uq+qo68Vg2CNS
340ZOz9CvkVLiT0k8QKfA7thPEjTrsy6+gEJa+aRD1sDwdRKgQpQS9y9J10GTzkSrNHIHMrh+wQs
Pl+RcUyjreFTJWzYfvTajW78q8tbi0e65/60rbpqRgCeSzzfY1TUm7nV+J8iVr+Irg0McVZpLqhI
mS7eyi78hmmjRI6NUa/dVq4Ui+E1jAM4VlO8ZyA9ZAACgDGm1GWjGwJKETOhi2xssYH7A7UuBWq4
gKYTbxKMxm9DEmRbO2rHNe99OmUyPpWnyLfCQxvl6lLh/n0hiY2Jm2rMjWXa43tQu3nO1U7UnxHW
xYTbc2z9HIuKpEK/BdI4v2NV+dXjEKYXUUTE2WQPI2Tx9FObDJ5kaYCn2BqbFXT1JJ73kK7ltDVa
Lb6bNm+jt8VwDNhqZEfMJd4/zsQD9dbSOdWeUavYXVCqIyHXBGX2qSJnxPjCAbGhooaLNnYvg0b4
KlAHzeti3fIOOI5Jrp6qIBm+he1YLwYCOeC/YMo04vIM9wn7d92C/TwYTcG6ROPZK1alDIYXyqyp
lHBq/tIw3YtPDyzWdwnk3dmACjJ+gXcrmDqly9ceff3ICSQoqxCWwmOXVc2DUEPAJgq3+QYRL3jI
0lI/C9N1sn3o0jO7okWo/uEiPMEpU2lpbhjQpnd2uuontnmeDmwqNdRLYTEYJmVcfQRu17w4Zm8B
d7HkQzGazatv+RC3LEXv1sqKXPQxSd/8useGtYfgNx749AzxrohF92W3U5AcqjkJyNnCzOKo9ajy
JNXq04s0WfTRpA0auhQyPuR5gZ3IaLzoO01sLsyyoYTm1uX8AtvKgtXGyGZ+BH7TndiYR9cB0gqC
ir+MYH1Lryy6FoCUXFDuQTIO7wOxguZCGykt4pgeFcI2HqFgH5d2AQ53+G/2zqNHcuzMon9FmD0b
NO/RLGYTwfCRkd5UbYh0RW8f/a+fw+waqbox6tEsZidAENRQZ0VlRPC9z9x7LggKzAhXmasnls+M
qNjwnhG13rvMOfvWiPCvxewUEOyVT8pO+hMPq2CsATuoryzjaEA2I+EyFatIdsOGU5WRraOZhg/Z
LxAQMRILrdE8hY9JmHkfIbBCPnTcv29jJ5NzU0nPBJLogv3pVWO8YTitfBZi4TrWUkQTE30jctFq
g5vg1AQTI9IZpRcuwezaSubiBqh5Yq57jWkI3kQOFlgzh6FRzVpySL56me4APunkd0y/89uY1Xm2
qtwFNuMVyVtlloU/j1l43+VG+mIy5bqPh5D+j5FbfWEbFgw7Ez8UAcOOia2JB0s3tziLcHTETXMy
eSw2Yz60cFK1/eASJFUU90hqwbwBVJtumdO7mKEqq/c7x3NOU4gSat2NbfakIivajzPFhd/Y2bzI
JFT0gbyWYrEEeFFLJ98hMJzDrcyL6BTi57qxjSA6ZHwAD57ss3vOi/ocWvwaVEYGHpsUom47cOFO
5Hg+INg72nygAe3XNyfhtB09Ed7X5fz4y/jjf9g+wAj940QBRChgDCztuu459p/Z067FG2uh7dql
jZHcVmycLiIi3AWGm3ME48MKpBgj/69fdIFM/4EA6rEgtyzmfV9L6gXk/evCw4QQMTNLHncDyVJn
qoz2BjNT6bMejB6quem2tGT2QQ1D/fnXr7w46/78yoxNDB1B6pKx9qcsxErKwclyNYPmqCxKHUfA
zSxt7dRMy8ou84JFIMB86d/Jmv8LI97kG/WXo7ibrkhe3/4wivv9R35iGlBNWEtDhjLChfmwWDV/
mjitBfbOdM61mSXZ8Gz/PoqzGMUZwGs9x5UG6gwADj8ncab3mxR87vwgX3bb1v9vmZrunykNuiNt
IBHgAIXkP+JPHPUwDFM7BsG367pe7RvibogmsZF7UxzcWJmmTkPNzDdDNU1AAQJrToLw0IxucgKe
wEqIBvPJZZv14TWEcDB+1rYOs0eGJcl40tIiggZPtgWNaIConplYOM6vdiduSLfzgYsR1TXmJ414
Bh/eD0zBMuiYlcTMFDhDKQ+fzFJ8kIALVFXmx1RV9c7MM2PBJKbjtq46Zz2Zbkyb6BiPmYwBdxOc
lB3pIgsyMKb5miMgf+/SxYPn2vbbFHPX8XrDNR5obWsKDZF8ZZPbgehErhsNaqDAXY8xLUi/EwKE
g3/mVQPMJGRKUGB89DqbIHrf8FnkajhoRWn5TEHx4xX5bYU04TWdovaYGFPOXeCO16g73F0ZSdTv
StFlr1IcSTcR0ch7LbWLUxkOHVhcJXH6F9DTozYxH6FuIaIb0UKz+r6oCNyRGfTlTsudG2YX/WPr
6eFnncXNS2wP4pZ4FBbIuushGq8tVhxltcntIL7vk9w8eOb0lKCcvYkwHd0jdJAHZIZs4vMgPveR
WzwNzFSZNhC5MaqQyVeYrhuICK8Dar5LFLn0VHVsGKxdBqe/J0aO1WsFIZWF6xqBGlvRzq5fbNSo
dM1T9W7PwY8pmdzZd7zxOTKrfRrJY9eZ6SauDOO2d1N9E4OTu4G5770Ie6zOMMPECekAYTHdnH0w
PCFJlZwwgk2SSF6mwtIu2AqpOJhVoyWQXb1DqImEduTigfM4HHNdBJchK+o9sCZkNoZr4FbSzKt6
cj6D5mSYL1bCK+uwUO7pe8tjJpXy56BwJOKbrtpAxwnDNQLcYl7xIeQ3oV2mJEbNaudp8/RoEiRz
XaCvXIeixJqgZvQeJGH5oY4qYzIB0Yd0VWvAjYNPbB6eXnCN3lU+4LAiwblSez0KLL8roCllmv2j
GyCnt0CGNrVZe1u7ZfIWUXEcWm6Fi01WTCjimqxYiZAidtytmhrnwaOMZ4Keo12MtHplK1huawlI
kd6crihp6BFqcrC2c4FIZZw6/JUThku7K/WNmGOaGYxbV7ldToCYOmeXJTphOjOevbHZ5RaBa447
V1eBGwhfsiaUrb2CU1XtZjhSVc66LWH9RSu6HszyTUbTjro+PlGou6uq09NbWv+Y/lk1u5ReR6DN
36IgZyITxMXJNXX3W0q4TE9TVfS3RlwPd3ZRfWM1+FbAXZOzOsMJeU+Ax93MQeruK60RW2aKAYfP
8ifmjWutB2OAaIIEV4k7lq4TWNim9Wt8UPchu9QVpCYCPmMMdaCSP2AYX4CVEbDLfm9tdDbbMbvq
nqNyYOQLjQU5vK1fO8tIopwK48TEuT2inBabrq2cz5bcyy3EQeuKTpiHSXfYRVBs3luOybs6Yg4Q
kzeuFaJJ7OQlzpA5KzauQUQP08tqfA7zwEXHlERkKyq1RYReHkfc8GsiydWuL5PpkJYSAoehCGdA
TzHvED3MN244yy1tAoxXC4k5yY4jRDk+7SmV0VqS4APeNmp3qVezJA3A41dTJ3Zmxw5zBaLnrUoQ
KfBvlxMOYRwUud7iAEnL4Jm6fl6DK6/ObBv7o16PxbHIBpfNole8ET3fImY3dTaWqX7HQ45ulN1K
AJW/thHNmoP1SGqWY65bbLCbtBg7RoZQQC7IhOGSRbFrbZOenn4MYIWNXv5oDXW9qaZ4p8HCWPFG
7BlGOT4XhnzpC+22W+hWeB6CIFlHfVwsEw+gn7NrJy9NyIwgz9xknUzkNpdlAteqyTw8sosa3moi
Mqu8jue/pS8CZRzv2kLqN8rJNqnOTCsKvTW2px7sonPuEoC/oHwBeFvilMwwsdic3RdzP54kcc4C
Cato7yPNjpfx40dKu7EfSqJjA2zn6EPIGLVBhCV41udFah8rXWzbcph3FgjdnSU5wSVmwfUYsEDu
8rn/ZLZ1G/UO+WRVi+GRPwAwZjW9VAnHxioM8kTuexsgKiMc1sottoosaHatrpblSjB9x2ks73Sb
YGn+9HXm9oQfIY5JOfWz+IGS9QL2b0O6wsCMMcw39Hj6SoJuxl2monOj6ckRk7Y4OAku0oDf/Fnm
nvVNWcngx7VLlpqM90UbVPdhpjW7qe6wGBh9P7DUiorqBeNxeKrtqb128qk6lQTCfbKgIBFejss1
OLHRSfNiqySTDWdW3p1i/0y8R7ex9e6lM2HBJvmpG5L5YuThVdlEJtdsVuBcK1g3e0SAYA1OOFQh
0GBdrBcCmjqz+cGvjW3XjFpjJRJrV2bJDrMCLWqd4FPTUnQFxtweGtQlQG0rUOkI+fm3Pg01eXKL
ZYl3MVNmc2+FQ32usIqOFmhJslKxOqUusWDSPMm2cYtdP8StjXFiaF9nrqHPBK8pJgk9uzGABiC+
g/TM9QbO4QH2ZvtAaIWlIXdIc3M9ZHF9O/V6608V60giTiJftnkjcYdM+hNHz6LHCMadqguF+BTI
u24yFCBBj0zVoUnWsOvsew22E26/ac5hIKF9961IPVSMMUhddK9dTXbVKne1J2zxMJpLSpRQrz5R
AI4PVY4xj37e3nYi4/a2rNy7ZfH6NDr9TVkAhSuK6EIfucUwSzyo1b2AzHts5hynYZFat8QeldvC
K6Yt1553VYDURbeoZ85LIhVmWsqKUKbvSSR2VhnuZxWf2tjZDy05bwNtc+jPIg9zniw88CF2rIwZ
XZmQz2jo9R4rxg0+7LtUj9650J5Yin0oMj6Q6MtLFYYkdhrCW9tJxXcXlRv3LlVYEMFnsB2fUJzp
qlKC7ETWQb41ifoSyGibMTKM8Jc7yvci0V1CXcwrp6oxB2kMgvxE6tYDx697nmYFXqrtNUE/7xVE
b1J1iugCRz4+aXB8/bgfrD32Av2WKm66J7Zl3op+QNLo4kbNkw8RUsCSWdOBwgUsW2fdlZ0saWMR
6golEdXAn1K+DlDwGJDUCU/CGPeIXfR12WivYOmr/VRn2ZnOnSuaROINqyE4UoqExnKO5FkNAUEI
mqiPbJrMfVUOeBiC5JRrY/2tS0bniTho1zd7FoGrdNLAB7DsvmtoDK+9wAAykpSvbkaqpyQocTNw
+yCZtQ+s6KYltv2lZnUMGkD6sdmK1ZTXOzjRyTGAGP4swW++FPmgbWK4CY+FaPzcXpbtSFdxJvPW
fY5awBImNuxbGKPhemR+w+iPYezRrtNs39as67re3oOnsHlT8/AchGQfOy6XFJABn+De7rmK2vos
Y7f5VsYlm0RZL5Nmu9Y4eJjfsHhVWyOoG747yGyiKQ/WmOi1LXstbz1jFdpVfRc8Et9a3yJCc/06
wuRvNZV1seMQ8KmRDXelmRXPDUpcpKkDW2AppzvsNvqqJ2r0g9wdQJexXfzwGLrsRlj9a7emgmZD
I87kiSAdnrUif43NODrLfibE3mBXeEIFFt+HIVUec9A6flLYgjlqiWU2uyC8GJmu74B+6hfDmXiu
+5C4qEipQzDnxh54W/i9ELOBC9Ix/UEb8g9Rd95Fcyv5NBkG1o12gDpvdeob5tvwLmU0fl/CGj4O
rrtgIYy4561nXMeYOAZdCyJGqeVyLaJblYgt+qmIgk2ppy4K8Aaqcbg4FtsHe6iLi1CtOuVYijZz
EHwOBdtnNuORvS2I7d5WI+HW6Wy734yxYXWF1P1umG21GVujPoUqsak/bdJPWim/07LWmxka7GfV
At3xaAAP0eSW13YYx5feiOK9FOADWlHUx9LydG4N4W3HombGZsY3qTYUrCiozF3EwqxFDYZcJomM
5txcw5g3F2euAg/Q5kd3hm6ADtpDe4eqSQ5N+oNftN4EXuWcUidCkpa1JczTbPohg/m9JURjRRxw
yILdDdn6YobiVfBQwhWnYiyCU0BwUZ+mVI7oaU3oZz4ylp4gZxk/Y8Wc/GHOvpUu5Gq8+c7Voj3P
EbRtC3Zx69JUw2lp8uFlFp/1UO2km3unsvUmgtEJgqpIDH2KIlMjkwWGjh/xzGHtY2yPQQl1bNcY
IH8QHdamWTyGFPCkI+n9U6hLe6XV+j2A6mArgq07BDsjrdNjkPe3yWD7TjhwuEyU5LqOntOYLlMw
19s2hNMLnuw6EeqNr+cI/jSHIY95kR10o/y6rR16blvsmtmwWAroi63O4ouaBcSzNAn2tCz6Nkf6
JeT83GSgHpfaIEZqDmy6rzRzQ58X7DEKseYTcXPbV1nsI1+p973y5o0mk3zPTZEcjZ6pc93n7nU3
T2IHMh5rmAyvescCokY1Gh7jscPkmbGr9tGfmqYPflUFTJDNZ2C963FZGdcZZomM+NN1WWkMQ1O5
j8ozCTawJcN+OOcchQwvtbG/VzIpvsHr5uGxIiN4b4Ji1lZB5IzsNKN61BHVJ7d5Y2h3uEbyNj80
oodzAMQafBUf/KXM0+KStInxnRuwwTOFuXCOSDUrkrQm3CM2RkQAmvfSoU58QtMsNnVP37Jq44n+
NC/G6VA0qbGzc6/dwTuw0dSQdTbhiz5IcNfk3Qix69CUv9tNwl7Djrr4W8kGkT1LPrMjqHgYew5P
3hrvFNRGecBC4e49k1Cr3oYjG5eq9fkDxAu99PDUd3F+39aDuKSOiXnMKEpYC3pzbfGZ3pq5yV8G
K/pTaA6fVZaYGzqh+BjpvXE9GfyvbgzY0lpWz9xALmtr5v3X3LbGJhc9DrQgAl48aWct0aGxQ3vY
OhQWK8+otUXAg9vXhAFGmZ7w2OqV59wTFa+h4jKx6+PrvYK7uEHvgQgqlJxYfRiT9tynR6+xmrXX
lg/Q9F6bariap1hbJUP8kaYiOTh1gygfySSZPnW1ssZnRfODT3blWMZ01XnT97IutGOcRNHt/8vc
c/dZXl7zT/U1UH3H9Iu8K2p/n6/+/R/V3+etPsFXf/iHzZcs8Lb7bKa7T9Vl/OjvuYvLv/mv/p9/
+/xXxIVI+xYT2V9mc10x5au65tep5j9+7KeHTPzmMNZEwsfkEMHGPzSGnvkbjDmH1ElGlYRYOv/g
z2IUYzhK7qUhDNNihonx7L8nm4xDUQRK/kSLpsDC5fbf78HN76Nv3r5/mkVpfsVv/TIih36LMdVw
sLlJiZgR2N0fhvNERRSVpqfePmnifD9FS0xkDNijnYli53AMkc6ND6mbsOzvM3JSonl8zGmU7iG6
UCcQeK7V7nxHNzaeHHPo71Qvbg3APGRF4xI1BgH7YSwBqKMzr6EwBE/CdPOrNiWJrlkepM7tTrS2
dxq2aFAEY/QmNabzEinf2uyzGzJdYMNnCfrDlaKXWnH1I8nH6zb7lbT7B2/CvzQGLcfgMFVXTSLY
Ych60tcgxcqlFQR7Dgh1rxWkpe095Y33mMail7iqPlPKFccPW4sIgzFOvsdm8jZ4pr6HUHVJCgBw
jEnT0+ASCMx4Q/lkTv1AuZf7oivqy4gmbaWo7u7YnCHi4qydOmgoA4uqdRMzqZybwUAjH7PejeKX
HpH6CoUQx4ZWIOxSaoCFIK2DbgD8TByPaabehdvGxEmg+IqkKwxw1Z0+JB8DGS5EpgXB2oqmTK0N
fcBppvTvBHHk/FFB0e8mswwZQLA96tEotNag3fedk932ma3tskEGhV+RTHnLZoReRhBHky0JPlTa
RrP8mYBEWVWnTUqZ/GV/iVucMMiKNDhIAjGALEiZ6bTMNvdZFYXagfyP7FTBt022wWySXyhGlUL7
TQJyPkFueqe+VN1zC6CmOSjyoSOgXXF/JE2xZvvmzbWNyXhClo7RkoIrURWlociF/m7X1vgEQ6Po
V/D8IUEIpwah1Od5620mDRguYr0UuE8tiPgA1yzRYkOChS0EbuelVXZzNbetqDYGwe8oM40A+xn1
GaKpAdlC04IhggUHmcIr+mspLGXcTmnrguKCv4WOQjgZSQbCwE0DGn0Y7lDvBNGe8V5XH/mGEWiW
4eOZffwP5kWjNvsBPio/ORDewk07wRbZIeNVfOZ0nsdWpfhkBqMhfNEevFtUiAeuJMAKaDDQgkBb
1tvc711LX1mOg+HHuiBPfsmUczMueIQsZpmu4mYftTjwZKNfZUQAYQMv7/rF01eJe2iqmwkk0AVs
xF7mpHAOXX1OwsC30vJgR1d2jn0S5DPGAvKK2oZkHWEO0m9z5vChnlo38WRpn3yd/ZL4Ua/Xb8w2
1nzSH291va621NUrimF9y41V+fyqP6z5NidUUrn8jGFUL7lmIrrU9UNlI7EaGojVq8gR+EMT5gSp
9iHiLL33KsZytqZuXHvy1bIIrwcESj14jf2XCZF50wNZHtEuTR2AYJkV7msnhEtp52CwJiBhRl6q
9TTP+gY6h/YqEIZBityNRclGxQKm3VdOuC9cCNb1sn0QaFSwrFqlH3DrL8Jf+7s3hfdop2MfQFi3
G4Ks4pFJtqlgwGBYTrtGbOK8z2LGa0EEmeGOYKLNhLKRCWVUZMGhl849R99VmDB8s+rJPKaxu22h
PZIRkiE+IRuo9hgWV263o/z9gM8JTNJGyZUG14TasMtHGrgVyn0grsr4ZFGdvkGn+vHX+1CT6MZf
N6KL+cwmVJmdKCtRF8HPnxZZRYXKuY8Nb6+FjAuiPDFXHuMkww9R3l1HCDbjtTZ3RGFJIjeu9HKM
X8KkxMA4UmEhE7aHiHOytXnqbOIPbhKz6rxNOKYNfTKEGDwSRlpCWESd91Q2hfHeTwHPs9EM8Ctx
bDpoJfK5sf2p7BpzNVZNf0yNqIt2UYgYFuKM5LAoquCEBaXvt/LrNNG+Tpb665RRy4Ez5mMEsQ20
r4kLZ+h9sqvAYnc66YLu4sxqEw1/a1brDqomoI7NgKMLIl+5MttwS+/WnbMAwAJ7zW23sEaspD/r
4KFOUi9OJuk9JwtG3yYx4UoTEkSqDE3b2iw8G4GUdUdfCgub4+xsg3Xe1VBVQSq3jP/KWPkLixs7
n3lcQu0/DbcsHvEClRv69IzvqkKJtlOp0Y27pC/hv9pzPO1AXS+CRD0B7OAJl1NIVEaSAvlRxnCi
M8rXWTJgzJOjuRk9G/RlreW+54XFU7QY++zF4qfw+sVlk6BhMMRNJwqkHC6kmW8cCkhSa2feypL1
u1MuOU/QI5Prvurcj7CV3YYYrluiKUzkCHGBSi5PjCtsEOSXfflW2t89LG0+E6qLxudEABN7EODW
O4hO4t0Nem1naFl7Q/IZnZkThu9kaPC0jnCevk+S06t3e/MaELZ+i8GB6CjDeBPQ6vf6qJjAlpIR
ppk3NxlGRgKNzF2Wl2xM4Cly2zUrp9N6rG6169tjU2/wxTVropFi3E4olqZz1coXFB3jhnfuOSOn
FmYe0dFlSIepAcpDxmo80GmUZEaP+0agaUNztPNG6yPUjWHLNOUdgl0BUV8YOyYuR4ZgfmQk58w0
TioPnoMQ4j2U6rIf3hjokInoXfQeDf/UwZ4f5w7cJ2LvtLY+SxF6V2kHz81w9Gbrjpq7L432VbpK
HSOXxGVlp9HH5HkDoEhX3ealOR2UkvMqqWIXtWPq7vpevVMskoMkrY9eYCFHYGWD2w1dPzfi+CQS
jfYzD3dIyIwL0qgrVOIT5DCiqotCm3zLMcqt1VbBuu7QzPQSETnLHNBZfbYGAHokIgYTtYuvOrO3
7N3aqxmVvY82Zdo5okJvOJr3TRiMV9gP4gMdEkZMY7IpPmDwhCRs3aayUDcoiDeW18cHrV0ofhgY
M/KGnPhoeygBVybr5E8VZP3G7IzqR9ojmuT6LreigzPIWtdcWbnJ/xvL0E/QEe/qYSQUOmP//W3E
PkFo9TiZzw7JmdWqb3L9hT6qfapbgQmkiJPkRxRADlvlzDYxc4Ys4qQ5qmqnNV3EoB9E6SlY7uhm
ua3Tr4u7+rrE7a8L3XIyWi3366Lvvy79+asAAJ1LMTB+FQbiq0iwl3oB52n7byvXv9RtAdOw6X/+
uZXr4TWPs79dXj+6X7utnz/2086l/0avxL1mgmXFzWVxuf3UkNi/IQahyUID7eIZ+6XVMqzfhEcm
PP0UzZjp/tJqub/xVJn8lBAoY5m0/Z9arT/nIEMkoPvivySvhlBwMXv9kkbcQMrrcBw2Gyat+BHJ
2Uq1+nsuqCAbgBlamx6FGmdcG+TG/fJO/ez6fvWc2wuO5A9CKLTCmJMX37kLaJZf9I8vPmqGngxc
vhsj0+Z90OLL0JbkhmZU42rZqK9m5hxE4VJrdZUeI9A39Pdi8kLSkka8ZZSbinUTit8L5Rm1yzzK
U9FwtTQS92TdYGWNGwUKIVaMb5sJz0yAxnWCnwW1uKmc297TZXpVLSJZLCEPVoSy32H6diF6tqzQ
tw7GtSgZBPudra5CFLmc/ynrZYkDbsFZ0nvA9rs4oFofWIxgE6pyCk+CNs2z6SrtwcE8gXil9K4H
CyOCQ+g1ngO92MWaNj0mMbmrtUNqsEEe0CrK7G7HhkmevLT3dgtu7DALnm4UIZoGjQkNbLqn4TDP
DmpX5Tda3CFigddlnWqCC4AiOVawo1smGg7gHjB15rjfUQGgsk3NyryzPCjga8Vtw7hT411T1rSf
wJicWzbS+yGto/wWuUwPcG/SvxVCKXjXUiumtT4X/CgTrOFlCMMoBW895PeFpZ67WpOY6VG/eGZ7
cgtx8gB97cOkUfu+cWEX1dp3u9M9AhvEaMO3QuCbdaozOWsTQEhoPcd2P+fjeOmQl/NhpSmu8xHv
EYLPnQkxs1sntVueC4btB9Q3+Z4afHgIyS7G4Q5+hLDBeauUq23mjo9bGan+SrobSdVFRVK95+Tj
LtW86xy8xNlLCf1NaYSuLC3dlaYjCwTHyFAcTbl7o2XX5fHkEA7ZdsZ5ioeoWvTteJKSIajQRbBN
ypp8hmeMJSN0kCMjUwHRDOzUt9tOPduh4T7TCOpXVVLxnQ7lyTVqNETL9xzzXLaukZVdWVPjPfR4
8qh7u9YHraU2FlWHz063IrK1jkaYB656cFCueCsJi+zeDTFB0ZHYoMfXk6exnATtbXT07fHwPXE7
y9hWNhoN3mK9qP1U9TFPizHIdCvmmSRcazAJVMEdN1/cwrHeChG0d+SH4DN08CnupoKV2WAFzueM
Me/eGZT32LYKPfcUddr3JDbHc9zl4sFCcAEPphxrB9EmLPkN0dNl4we9DIatoWmspDyZwMiHihty
W+FpOaD2Ht6qaUTF0jMtPieN0RjfkSJPQL3ltPYkiV4813bypsYmuxmI5fChhWYPKjblHi/WQRWx
3IOq+jG3GjuAZhwgL1rWjxCN9EeMEXA/hTK+Av8fHUAcslYOKiwIYW31aHJgxusyrnioR6N9tAfT
e08CKzhopT37msy0dYHwE/GxyuU+1euk9mMUHVczCMUNyuvm2QoypurdYLBxnOVrMPfFthvK+IdJ
EOmGXUxxV5CyxrbHM17zcLZvjG7udkEU8BaOrnoMkqjcZT1R3y3GgpcokfVTmVjWI4pVcYjUgBG9
msjilukC+e26dNhVSuG1TYuMCHRCv4zmPQNWGJ4iq6Fzy5PMFY8mWzhSjfnJl2YOdkEyRT+CwLKd
vZh0IoYMeMrzHm3vDC01TqYNQv+tO0UW1b2cc9cHN8GAPSTLIVyRB8kciTl5449JH7/yTRunVUHI
LAeS48W6r8WcxjgzWc5EqFGSrVOhlPcJ/8mBo9WOd26rKT/O1mSAYBEpZCQXosYhYHH0XWrSu+ma
uYdx4wTPymIa4ycayEE/KYZY26DS4LFBHR+8RmTfOiREesMJxfzw1CVF6xzI9KSOruFH3xos15g+
WWQuBiGZ2UUyVpcWPYl5hK/nbXoNugz2INOfQt4YqkymhZ1VfSI26pHq0JsPjgkIQe86NphIo2AL
2FNevPDlR9GE9oOdAVmLnrVLg5YSvVumeUwHehulhlOT0NS1NYZErJ7GtxEyhd+3UWosav6CbPGu
br9pBUqnjZNW4plQIP2ljmlt9Xo23+OuNdeWmD3fa+dmC/1XXQ+j7X0oMrYuqHq8BDlKy8jAQJsH
CmdejG/hiOqRfy0+sRGay3VYOdYD4iJ8bIPgoV+Voq33U9LwF8CrnC4KkJmhzmAw7YO4neTaKlVp
hW6uE5wXEbP7bIdxlK41CGVHfAUZX+PW/YqLR23m4jdY7h2cSeUTV08A3jpJSFwuRxLn4QLNp5R9
yJaPDGVZQjK9SLPxjFaCCy8kknIFPLU9grOn5s8iS2vXhHgXNzVO67UUPA4shxwUNSAOFTTsiAWE
Y13Tc9sXBGqo9mhpzzB3Bk5TPNO5Vw+kjXfI9AARMptF9MOg06us6A4GkWH7gz6T4MXmX18edKQX
WHjMTah77kcy5Xxvuyn2cACnnvrRgFK+nmckDwh3GC4qPaQSwoYevbBEET4ArfZWSzGZtPZ4E2EL
v4NJHj4ZrSSRHnTSOmh07C1VRJ+JQ1WuI0LMzioKo2vl4E/m7dTEI8b5nglEnPLMxI2DgyOcoFZG
0LWxAy1TNiGbK3eOzrjkNkAbuZC7GlauXlZUEGb0wMB2uPSEzJIEJur0YpYaSgO4gRcxGkxEBjRp
d2MLVHcSrX6KAuideY5PArchbhoQ6YuviZpsG+thgUneehe9Jv3Bbq7TKdRX+cLLFUnF6/GD9rYP
cgaFdOg73IHmOq+qaIsxYcA9khTuDeENLJBsBVDfT02cLCuEeeUJtjPBYXifCZDlS0UdRCH0IwfO
epkU09mDG0OFt83EJjLXwjq3Gnr+QgczylkCm/jtVrHqmk/ilMguFG7cvndfiYbM9fDz9w1Bhygr
oGl9pR/WxGGThPiVipj19H5st/JgOCyq6AXdP1OtpV+ZYWKqT2pq524N95xQMSeU3IfVkjXWovp4
RjhNEO9XFNlSqtgr9n5Q5nTXFfEmWZLL5iXDTOBxfTLmJT677uN0sWXB1GhNqq9Ns6Sg1WGuoAJ8
haPldNQ3tarmS6o3/b5ZUtSSJU9NZ253jRvIfWGqRNza+BW9lrpoag/BGAvWdfD5+fA4wKt16GVg
OQHDN59eip4BFtwS6WaBErpnabMEvSns0Wv4bATA6WPZnDvNi9RmYu5wjpasuPYrNi5Mlgg5PhfB
uaqAr6+RwHOIIZyR6tzUS/xc8RVF14QajBpSePsZJ5o2ARQmuK3wEyyfuMAnhuWrJF3i7VIKYrmV
mMXu+68APIaUob5JetPsj55d9+6W5FKKjjLzjl3vZC5ljz5SAdtM84xJpMcK4ZiiWiOGr5oH+uol
mo+HOumPhkDIkC/RfTOHTsqRTqDfVAV9cWL3iD5Sj4d6wEtHdqKPEIHpnw4V90SgA2ZKbI8jgRUz
zDVHp4zaDGZBnqBJ59DjyrGRBPOZeM0xItbuOcv65InlA8DUOYL1c5Cgfw5ZiTGEPbL2qRtJcEy/
8gx1bpXDNA4cxeUSeGgNAjREvMQg8mmDmzFmQLpzbrUHuQQmBiozT/OyHPBk0J5zpElof79SFvnV
NxN/iW492mK8VL3MIt+JyPQGxqCmzoeLLh9ACNQg+P+6HzP+bCegy/R0w3YsvDiuIQSd76+9ILEP
RHXEot0Ehp4dyjZ8K+LivmZwbnn5PUZsLlYHNQRF5neFau73Ze0/3fotO71fdn5ieXm4Jy7SbzwG
AFD++PJpoMw8HTQ4sYGqV9pcFWfe/Oz017/lV0f755cBkEnHqfM6oM7++DJwIKEhz6Lb9GG7SHog
364dzWIGJiIkoOu0h2e4Mj342wXXk4kZoib+xeiz4QWHvTxMWtGd7Spv71Kkw1fLW7bGOsKeZUAF
apo0CjEc6WLdcS+2NwDay2D79Uv828/zMFWf//kfrx85Y9xYEXX03v5hsILxn/HJP5/H0IO8Nn+7
aV4/PlX0P/zkz5EMGavs0fmuYcKBe2cwFfk5knF+Q+RpIo0kKcc14eb8w9aj/yYWOw8TnP9i70yW
HEfOLf0qbb2HzOEA3IFFb0hwDsbAmHMDi8jIwDzPePr7sW9fu1UpWVWr162FTKVUihEk6MP5z/kO
DWxX5eVP02+bJxajoWdfC93+rVzP72k4E1CraZM4Jx+kpWnxI/zxa9jR4KCa3hl2VdJ5j6QO5rui
xGy8try4+TS8hbGv8Opq/Yc36l/IMazl1y/4H78a4IFsbieuQ1sdQ5qr6PTHV+6RfQHVDcNO2X2w
jRvLqT5wf3DGjQfTzuHkYJxdx83Yv2XcaZcNnVBVunZ1ZlFakY5C7URWmYwCGyt7D+oAA/9MdI/w
wBx2V2xWDfqYdoN1mnPc24+EIxvUXxPWsjl2sEir0p0/sZevrG5uip1EV3vP7Xz6mEvpveQCrueG
bp/hYW5nCgTSjoNvzCA8XrlVAEl8MGX/Rkl6vCWaNfhunp9sGJe7MdzOeN+wZBefKBHrqCNSudAe
4rdBSfUJ/i3QAcmD16f6lXtnvbOoqbtp8sos1pFjK9IXoQqejSGLEyImBiRrcD9UZ86/dElGmA7c
bcBd9tBJSG1cHe/dqNfbYcIKVMALWRtm8RLH+QDinNoUc2R/dA1Y854kOgSx30mwTzNUAD/uWfZd
UUFFm0pmk3isfAJG/MWmdrYg+HAFX28BqsJk3EzyAymCe61nc6Nt/RbI2rUffldQwECz3bCqqUpY
1Za3g7jfrhHxM/5HJZ3c0G/ovmMIy6GiO9Au06yCrO1xv/e5XzaEtkyYFWDCWhPcbaw3mOctH/4I
XTJO2B+oxjG3dmw5BxuZ78pKqDdm0/e4T1tadcgcwGObFlJmhdynQUJLaRWCRclTBaUxC3zGAfFu
AcK6GSRl9twzw4xuCsP+qswh3Pe2MHxtKON2IURyMMs6vsxL1qZ4HQichfh/kxX4gYiBFwVrCZld
xg2+TZ7S8zk8cQ8ccUZ8zFpRTlYBgDPWJNn1e9jb7lnPsflJvVX+1ek50Wti2Y6FMZ0oV1imNwJ+
d8aIWMS3ifTqQ8d5ETOycSSoWh2jJS9fc24avNdJQzJaUDawbJifwyilBoLMnBClUpgNVXmfwxa6
Eokc7r6QCQufSYWDeTMFpTeZFuHTNjd3EzCmHH0qch9zx2hq2j5s4deqWOQG4gQn+YWqlbNoGMzC
7J2HBwlxfGuHMPqOYVhhca25Wr23nUvQOZAcsmipoGyq1kZwmUdXHK78xGKtOJNyfirlITWRsoAp
MNjmzmQ/lU2DWwVCKO5ix+0TIuqzPVpcOCsC03k5vHhhzfnS9fT4mKpJXoEodjNuXGeE9T6Pnfmr
rEnbQYc0X1ILqPCuy037u1CQSbaE4GdAy21N3nK1zI5xcVXHbIuCl1NK5WmK30DiEytqwWDeysjh
9jKmUz6uycZWAk2Lf1lYf2J96SnCxRRP7G6bLcZdYM9fKkw/2zy6MYdkVwnD3vaztFb5ILM9FfLW
nbJJLdZ2f0PFJEbDWaU3XkecHwQGwqrA9JsvRrdPqvq2UEt7Xyfii+s7+ceygQfRZeFeJLo6F1qn
WxnyG+k5r7ZhruP7KDC63YR0SF0MY9COMubPRTXDds4NdUvnNJk8rlTjTdCm03fOKAjq6Sjjk0cz
XMQD7EK8WAoE6lUzO+Yn1Mf4mMk+O3la301Il8iTrdlZGBmKVv2qy/lqWtYQzSjlYtwKjf6tIzYC
0pLiSWU6z4S59bYthv7B4yyExykOXL9z8LhQUfurwlmE2bi0bY6zNEN4XF7PAz1rjp1isoJ9Fm7G
PIw5B0b5vSFwcK8dq8fFB6PrQjgvtZ6gcDJqElhTDmnIjbYz8v62HZkVbKKyLpmudvOd21CqM3cl
6CMkXs2TRS82q0X46aI5+0bhuHvLnfjFHGiYhNN5NyYpn92sjKA6CQOLPkocmpk4UIJ5C7G1xUAe
7PtM5mvoc8cui3D0ShWB9nG+2Z3i2wKwxC5rqNtEdlmc9sDcblpXAePJDeA1MXOtDM3CN+a6+YqN
mbIUMEDiRisASgQ1k67dRA0gHUA0Q3ieouESz2FK+xfXhoze3l8iMvsd9EiwFrjo4p3D1WbYV5VK
7M0wDO4tQlD+ovmc1sNkwjrOSHXjpbfv26kOPmccl/YjA3eW2W4pos4vO1RfphW4SX3wcTi8DDNs
NkjUC2OHxWJyKD4rxLurZW3ZMfcdTpjN/Kkp3oypr/JrOgi2NmqOhTV4YByzi/OeozRV0i4k0Tru
nkbu5jSwmol9q1s9TptZ4XbIhrGmOa14CCwkUnysjd9WuXGfwdi+nYzxKiBTOu3aW9E2sW8yg/Zl
Hc6bMDzgvE82o2s3p6RmZ3KaAdRSDH1WR2c8Ol+1nn7OrO+HsdUcFQST5HihQoYEhNwbDChWMWNM
X8qMME82IUM1zs4dOD4HoQz8JSKBUkYT4S4nfAktxMa6w182BiPLc2h1+NDsFnKRsUQXypCRM5N4
a4zBJs6Vue3mXt5EYCgIQRM5EtjzvqYQNl7QD90ZGC28HoMOxHKacCS3OL/ClqxWpSm15BMaN5wF
YWSahfCHaXlmSMwbCRoUiy1vbFYXwRlTOaCUtnoenQiuQlk0+84jlcZRg6pLRR1YSbZ8xwrkEq6s
wo2bNgqNUaY+2TS1Z/ABACMBZ2fMfH1zad/RF0vLBV2ia9kMQMhJGUOFnXS4a+DckARqUFkgt0KM
76f2/dogSOoYK+UWvnZ7r+LK2ySMMNxNWQTjOyCE7KK7RZyEl6Xf7eSoAwAVgrWDN77SPaF8oOwl
/eqOKGnHnHqqMbQIvkW09HvlXDHsXYanim022CFqO/GqjM3oPjQoAV2n4SCOKrwSwmRifXhmU98M
Qk53TJjScXWtkIp5v6U6hl6OwjOQaD6GYO5JeJrOSbiD+YSLJPiV4TQhmopvY+c2YZyyMJnBIYGX
ccT1RdfaMiWYeiwjPl4HJPEK1WwId6Wg9gWai/liYTRakZMnmJvPk7eOZBZ+9ZTpDOuMHG7Jh1BQ
i+G6xpOE/LGPoyu3fEqWXSHm4c0m4HXqa/KU16hiRF65IOHZ9l4BDRwz6gaC1PKUJvP8q09UztfU
TdNLQzXKxSMXTH9GTJsfR9ueYYfU24TStxd3LsVtEBUF1GNTYIS80uCXWZPF4zkI32K7plcvFxlh
QGN6Gsbc3g803D0YHnJBJxVJ/rZ0sTi45gmGk34zspGgQViXb5YdHAikO5SehLf0iCkGjiGlJMzi
BhqcUnrwiHqKds2KZ9KViT3GBuNIhKhpdiVwfou4HLAWDT8ZCnBLNI4yPNhrq5QWlNvA05giyWKv
5FBwYMzn7qI6Yzkg8aeUGxfms6UGrOVl0yE6B1iZNgsWO/OeLYL9DSzOMLOAocHmLfPVLCOp7RF1
3SqrYHCmCH3RoZOsdeZ9JKTKN7BfsMVDJNjJgXhKTVb1i0MLiViylhglAaMAhZ7mYpeTGjlU9dC+
86VdLgZgR7JEUwFChBdxDSE3iXbTDdTscK2YZt6XUyNvx5YOm4/SklP9wPipzh4NNYba7yqModxE
uOCtA1iaI0GQZgpwIA6CXbZnTrpSLi4iB0LMJbfH8GmqzPh7gTODb1ThoVpGO9z1jWgf6Ko13/vS
s5/6aQQyNTeSnAGljguYRxSVMDeir2lUydFQtvVR21i/VrqG90sjhJouggPqr8Yql2M4llTE5/FU
X+bGZK1YEL85sLUmq5rT1SFxu5Qlu2mtHoksFx8p9afPjhKqeXKR7rrboKxta7MkaF0bs2UMgnmq
2QzWnNDC5oQoSl4e6mYV9+YcHyqTh5CyCoPkbu+0zQb3pTJJg/LtpWbTNf2S/fBUmgl+s9Sqq9uw
0RGJPcMiom9UmpxepYnVlUMVHuqyt96zZaQ7wPSql8qT/YfkSgRpoqovjWM/xAZp+4ne76p13VM3
Y2IKeQ5hoCjxAQ1v/BEWXnK4lpO/JMtgvJlV6bgb5c32O6yC6Th047wdPIJKcrHUQ4g/jex1OAV7
O8k29VylB07U0Q2C6LivwSLve97Cj0GHA24CQ93b2GW2uaF3Zlfqu1gn87FTIIgQhpJLQeHg2SNa
SdOY15G6BqaAacytBen6bA5o7KAZ3XZ0cA4j90cfRl/GkE8PmBUCnDkYe1itJVn3Vg3eNzFNOulA
km5tCZ99GGX00rhe/zomfHMyjNevSRbSRToRUC9gXhxjGAgPaUkdux2JtSRvfKHFILtHiaWnOY6r
XzYTI3bQUe6LNlVPNCl1xyWkR5wU7fiSmtQBt4RQb6n1Su6x1lm0uWKu3+Rm1d1MgT1iICBjp8I8
ehgQAHyrirE9MOSu7mEsZZ/YRu0HmGzddqZNb9W6ZXMHgD49lLp+7cUUl5SBSKgRcW71G2oS3HUz
0liV9t3CzC6bV+bUi3WaWZyBAGO8DbARzgjJ6QlGvPcW6zr4EcSs+U7IOY1tdbggVJOS5ix2S5s7
4LQ26M49k/THjlMeznNas7b0nxhHam4gHLQ88kPLeq+rsv9B0UyxCZYu/piZgDvExLlSm8Wgz67m
soaIzrcrZlfxiaaTBKLdeuOOZMXIozN4CdItEbrkTBto8JK5TnuELJq80LbJBTVSOTdBMFXuNWGW
R5Z5r7HVHAMNKwKkbPZEPaY8R0ZefNvjhCAdi0I+uZwnb+kbkD3c1MD6csOUGxZg4eYkwhYFndrl
cG/woJlQ2Acs4F2X9ngq0i70ydlVr91U4dB2vcl8TJ25etIN+NwEKtpEe2FP1QEVwMUb0+HgY+xE
xuw8ZH05tWUDfIHV72VpilTdAOME4p4rhivbJHWDj7AbuV85fWx9DqoAYyvzZZ1qXX7ge6l8eF/6
tVSINE7elTchJ7V4NbJ28AMlDHoKN9vGg7YvUPPNjakaZ8872d41Jv2+NCl2H33eDyeTnMGqlW6A
kTLOSCJYYC3ogL1pXRaMMoyrt0YLyrvT3Lg4WeowwhHBytRrEglDuYYBWHyVRa2mWw9Kq7M31DJi
+SdhcW0oNF8wBJQUfNPA/T0IaMDgbGZMzoxBV8EyhoCfi3l+TblD+mGAbwCeohGt+OVDzgR2wIVa
Rq2dbzkFNDezGKJ36cXmk04KHqDYXPgZjLa8zBQfTwhBGFvtvP5uUwJ1TC7m4mOBLvZdcgYlem+w
DDFl8KO8pgGDMs2dmuLPNETYMimyp+LwI6Ply+/Ymtdj1wHBiBJxPYy9sMiUR+J9jyIY5Y5+MOMU
JtDBvJBEMvkNxzcUkbm+on24dy9d3Np32BbyGxHaTDYtmy4wMA0ps4qiOJHhVgcQHTwOBqLfccmb
nthiZF23qXyblsy3PZ2t2KpavmnGcpr62T3H4Rz5iB7NzvQC8Rnx+HxWTAQWjAclTYdRVp9UJJzz
wA1qqzKru1AVfj/TKrNjbx4vKbbEYtWZpMJ6wxl3meHZqxRR6s6R4u6qCb0L+Ai4NqrRtHyKIJI7
TnZXwB3rFRRxF0jm2DpRSAObzXw24eJJ8HKx0d+WzrfAAL+QY8/Uyhsb9cDRILMBX2Jal0kMS2DU
7Z4gAkW3mQWnCMc/VuOZ72UG7LvLGAluu6UDLBL3ZXOyG7RE8j4yeK3DQcIQrdr3ZLbEGYYqtb3w
WVjA7cF5sOK+Pte82rqEUHIfQfg6i8oAPBh4pT71nqf3Vkn+WuKNPlWdqE6xHbsXZWbVthgBLfqy
4Hs6t0N3h7jWdhvHomcEBFiekj806F9Y7CrZhPb806Ni3O8k0E8cOOKLAqL0MARL8EiRBfkE3TPi
q6tFrggFptsQX+m2ccRy5zGe2UVSlzWOstw94w+tHhZjIvTXU1O6iwyr2CsIFx8UK+pj5VTJM3lB
VsGpbGv0RkUZNeIVpGKjwoKAOfpFRTPFu0IMnLm0vbdaNrMOO31I4oTrHibnRhrPbocVNplBWIJO
wusjYIVvkimbHnQgcTvNrnHoMlUdjRKqHGOU+oeIOYAYYRn7bU4t10K7Odf1HXzW+m5g1r6l+gpV
cZnYSPlHhwilm99kkx63VsZ26hfRtappdoNuYxM/esXkj9yg3DnY9WndmGw80CrMzGtfQKybL+4I
1yDr5yQCC9wwth1UEm90VoB9t8e4egL6nYtt7LTTTCsIYa+tQQi8PA3Ef5Fkq1Ly3CJ+9KsoDY1X
sLDt0aUwEu2ZQzQD/SgZLqA+m/gEXTB+jPQC2CnzDMTeBcPW6Cd13H8nOl92Sz+qH6lc1MWdvNLc
0lNigAJPlMq2DkwGlJA68ghDE2sCc+K51gUoMkfk0YuhaKRUWbz2tpV8Doag/cJzR2FTI9UE6rgg
9T/F9lK81RYUQiMp6ruJCTsIL8J1DwMWGOQ22Fv31YgQZw1XlmzavTsmCMXAbdMVrCjvh1FaERxF
6qZiS1vH1pX5S9JerSOFO9E2rCLJuNLMEFK6A+/CsmkZuJLbb7W7ckqvfOy6YfKhnixPyJfO0a2l
vqdYDYkhGeF7hP1itNA/LPcL1UCR5APnSU1mw+jAmCaDZJke4fs7Ba0+TVhOb7Gr2CCQUOdzl9t6
00cPcaWxjdNa6z2lXVBQmoX5IlVNSpWons6wWedpDxWrylcxs9xPZrRUwESYq7GMlky1V6jOzgM0
PovqrXHOPAiUM4WIcGCl4w/kjVIcTSVx8ZnWj8z2ugdrlssrwvn4YKi+wDtlZrsYr+Suayvr2aK9
8Y5ROCUvLjDvbQk1BAyMk9wRH525l4+u+tFVafQeTyo7Aasd7htDpjUSpBnZp9ql0paP4ErvxJEP
OyvmlLXutDG8zUtHNZ7icL0lcpHsRBRPd5PXYJjQduoVNIkq76HEbW9gB5LhV2BCkF/Htmk+hsHV
HBPnIn9MYk1cwwi4QHtqcdhOW2eNM46L1JRbzm1Tmu0Fs564yNEq7mbDKRJCxHH9vkxufKuWhFDT
ULvqLABII+MUbVLs4642n2l8kieql/A55iQM6WDr0T8ximAhSWYj+Bmn+fJRwdC0iUpwYFsNoh4p
hKDkBceVxTVuaYbsladtGNZFFrMToHpOd5QQBD8ZEV8XOL5EsFWzV/y08mCZ3XIGwKKPURSAbKjz
9sTazgbUeuKrtfsm8r2SnW+sDONZGXH1gOlZH6cwqW/ssaMayIr677a3Y0rlPdbO0fVqTXZjmn6p
BK5uk/U+d4gsWXeqK/ZgH/TRYd32B11mjzY2rKMhC2u1pHP/VSRXXPKiSMtXGWVdia0nzmjwgz/M
ivLPTdhronFViPpdFe1zOljuAz6aDFeJpupMNvwbQYJtGw71W0i5LVe8YGbcEevWoJ5XjJue9/AR
NxllfsQ+XRpmRo+YlmnRGpA3Mt6UbXTf57q94PBwmB6wttCv1dtYc0XX3efECk4VVUFP8FkpfF2U
vldTgZog5rz/sSCrXTfka7NPD+kq0NxKVsDOswtGC5j2kUfI6jEIyuVhoiKCvPp1bCJi9cBwqzhk
wowurXSqtUwnALcDAH5yLeC1G/K3S0TRQz7M6shfC0mp18bnZOLu4h/fomBIN2ZcTh9cmd3bXi/L
/TzlX7UJzDftsdpEpbuWiTefVTfnMFetcdeUulwnkfc4x6DUU5UR21BIl4euFXizrJHSvkQK9YRl
iXOF0nx55qrz7YzvNU7pdtwSyrtOaGiROxhxHhw6ju0/KO1R9PwIArC2NTUXmwM9N4HMMUh/kqZc
DdNUHeOBloQVxvT2PUyn5obp6s+ySWVKWrklwRZKfR5VaT9MyBk/Ck0se0WsOOy47jK+iSjnOo5w
mFlVg/syLuD+CzSFtOnldwXsCh6NqLHgmGULawzZvbmCVsY5XzscEU69oYtXK2TLgvnFkSW6tn+Y
coSQwbSlpO22emGe2h1y3t9NVHflfqJ43hcgUjcunrdyJyzHZjcNod6Trc1/KEr9zswOaYFUs/uN
Ww+apJGSpGS7fxeYcppreTnsbyh/WHkCh4OsTphbWUvPDUaaZNbA5yDl5DVmHKY5yL2V81E5gN/X
UdYZh8DAA2ijkdBljo5x7iinlzh/airQujZ6dKhk32JXH59iPdlf5ThPn/AZu6d6ArmxUul0Xf+D
qx3DS+jfXiya3uuU+eXVZR++IJFyNFly7nj4jFmMh97VzGHSzmKjSbvoPBpCfGYWuI/NWAUdSsrM
xjWTpjsEpRYnfingauzBIP0qsJGzg0cebyoe5qZ1SFBVoYS0R8Ph/Ap4SzK3ibytlBV7flFDgA8A
6AbrMpBG4Hc6Xs59HLB6d6NMj9pT7TEkX2ZR5Dtr4lQJveJKMPHDwlSyW8mYbrGV6c0glfI4aogG
W2QPkohdbJUXMJUJnUKyu/GmiZcBt0BNfQuEYp0r23zOhoY5iizSE92CNOl1gWEcENlz7Tv0G/Bf
jHzpVkEfy2dmthb5cAaimhoAx/nCz1ZQyGbZD2xenF0ytstV4LC1HzpBjNzHjz69oTcDooCf9hRe
b1e5SyqiD72pW9vMBzcj/RdQoDNxdr1BfqV2ed3ErmGxIG2itW32Q7B1cBGsPcTh05IL8whTZrrF
6TasCY0gkpOWXzGmkRtYrCbfrAFySTI+2AbKKDZpbtftW88h/DgHBYZCozA2XWq2/jjXwy+zcpIz
zXPxLWQW1q8FjI/WgqDYUEkY7/wnYEAkIcy+FW8CixjYuyg9p80oN2UnInddTwMuMay3b1FfLQ/N
MBQ3JRARxuimsYFUnx8ygnQ/s2rQm7ByGzpdy+gOjEvSrKt4jP0+G5efbQiwGb8cwc+F5gbO68jE
ZR86/98b9H+X1cK58pdZrddfbfc/Vr8KGpb/5Az6z7/3f7gY4h8CixH2M61NsBj/HdZynX+Q4LJw
xXjm/45rYU/7r25l/Q9cGJoAlSbMxMrCH7Vl30X/639KE+IvViNXCw0vWNv/ljMI2vCf/Dl0NFse
TGPIG/CFscr+2Z+jr7DbjPH8ron6dFuLBPwgTTe+E6cugvV8+BtH0BWB/Uc/EK/HoVCSM+MdoQT1
N1B1IoEeklJDG03bcBfKNLnqjfXDYMJUB/05+nmwMAdDNhfg4ueB8Qug1x61KcjWrCUWJ5vAHfy/
+bl+z41dfy7p4hQU1yCco3/zKV1vuDbWbXeHuv6jowrTN0cEer04ezBoR89bSsiCVrMN4mzyo/ns
NL04/vUPwWf6T++NZSJYCAIdFsaEP38WXEsVnYy9u6tQ53dMeoIj/NLy6a9f5V984ja/KgdJyyOq
513//A/xPM2bzGKfuDurdPZOOr66eJv2IxhjYgft+Ddv7L/4nRwLjYVPHJ40D9KfX40yJ1NMievt
PEpFt5MLbQmirvybV/ndZcan5/GN8MDM4HEjhPTnV5FBatYQP/SOdjh+jRTRAxzvZcjjn//2mweq
RpmaghMHq99vL+QYC+/o9fEN4CKvciP5xp7DlM4q7mEI3/4/vJiCfoM7y4Ey8duLTb1dlrq19a60
oBpm+GtX0cD2lS8YtqZE7f/65eT1s/jtu4lxEccVbe9MidzfPqvYdO2FLiSwdwb+8Ia4/s2oA3HJ
SBEcypzyBVox1TbipLFfyuQKbcyDT9S6YjUWzJOQfxtYAPngk+AKTAJ+OAqV5WY+FZ/LfServPLd
qMD7RNKG/S9nb1811UJ2gHIxus66hSmJkxA2EIl6aOjA+RtDsPkvvufXsjT45oi2//w8XstvR2CF
ehcWkTwkjuEeKL8Waz04z8ZcbKskaKF0hd/aiip24lQ+jUyA/uat/lfPq8fKTX0itnBmyH9+XpuE
DAZVzt4uy3rkFRt3iVDgegUC419/qP/8SiR+r/dVlypt3uvfXimqrqmvxHN3GuLxeupddLUy/0HP
ktz89SuZCiLT7w/QNfBL/pghiaX/88//sLTUuWkZWrZ6Z3My26SDEe8bVvx77kjTRRk8CLLunrjN
5JsEoEXqd66ANkuWEoN9OY0AiypygnDwmQr1jnrsuQR9OCgCe0YPXba26n5+9NrOvkEDKk9plMcU
UsB/XFUm7MttRrqSkauJJzTX/UF4M4zoCN6I1zAANuq29pumlhvLaTwmb72gUsYJSyfYjZ2kgic3
g3NPbO6O4vMJK1PUKjClE62r2o3vApEnH1c4xcHG5bARmbfsIcjCuB1qfUjrTr/F1mLfjZJffGnx
FBkB4284mwo9TwZnE2igx01hkwVVfiXqQnTITXIteG2ebNlUb7Ivqg83FO4qjOoCaNBcc/cux3ZD
ZxJ1RF6R7WPRJY+GqOo7V+RkGidm537aTIwNp9Gq3yCfBGccUsELyKF4N1B7+FON17N5IKz31Ehe
i0x6eAVIJp6SDhgctLVbnUc+Wu7eso18Xwwm6Fw4HvKCt7eE/hop9yQAAtwtJEYYc9QKTG2T7vh1
qBsauA0RXkRyXegII4kVT6gDTOpuPBRs3HYpQxscIQFw/p4D8S4j4faLIxPvCUrQTQRCGCRvb2Jx
CsgtO5bsGfXa7auJ2+zFsV3SkrlTQRciDOW9cGyDjsW0psPTlduw4fFjjMBP1o1y7Jt6UDkMBEHC
IQ5x8a7rha2feQEy/SoBLN376eBC6wq9Zlu4fN6yHXj7BqMldqnS0acbBt+IGEy67CvHeY8qOZ+0
J+13HIgg6F2RRndDWMM2dQdiBtzbBZEfFo+JldOeG0bZ+ei9MHKgWMWiBxk9SiQ/ayfhd9CBwxPv
4VV7zNBeMQlGY7WJOOIccygf2Lj09xIyEwOQFSMuiw5Ay86VVQIuI+3nG5nm9XFRnSr9OBtnvkLE
q6jAhqS+cMCBgifzT2U5gwe0AyuUZzf1oSH1RkFQ2u8HqtfPajEQ0BLAHbuSMROIlTTPfbcIbuGF
hHvEYtJQiDf8vNGIdQDREGv0OscURx+cES83tFZu+8Gsj/iEGtpgivzRKkZkgnjeTpi1nqTwJiqp
K7ri+Nn2o1GGW6/uvD2lNTmf75T7oZp4PjIGex5B9Z66P0jaL2hX+kTx+y+cKPUm7puY82ld//AC
qD8cUK36YJiYi5VB105KwDJemQtjIQP/rF9nIHtSHDyoTAWOnWlmhFY0yFn2FVrUxvkH3M8E5Jk5
7l2rCb5Sa3GCVZqM48OQkOKHpTM8BtoS+yQ2ss04AwswJnZhjqLNz4HB5YP02nnvjUa+a9qeiZ0M
zS0xO5yFBLYpapvP02LaJ3iTyWbSNMQ2FBWthupIgthliOrWhBSXkQhBG7qUVwfPGI8QaRszvDPS
WZ7wzXofCNMWlGOn2zDEt5wV8af+aiMJ9lI4JTT2Lt5MgEFWdAtBzExpnFAVh2MkZup5quHNdQHv
uiWsO3a9eTX2fb9vgqU4d/St9uvKHhe/LGJ7FeIRzAiqI0ba9J/5E/HWleUst61VR5sh0cujrHV7
rpY0/pxiVlyBLWfNNh/v6jqd7tuhHA8JmsRbhc606tPFe1a1jaG/mSFqzRrLoZe89cpTu7KFNOQV
QbsOEcKy/IIVKkNIytVh7C2cxtRihguhgax3jW1pqfEX4Weaz9IKhZLvmmG+MZ22znbWnscgwp1D
keB6GsW8lvZs3tC2RnOVcqOM2njNhT8rx21pUw2M35ULBe7jFYLXcMFkV8TbxtbtKuvQSJLC+J6o
SchH7TxxSFp2Pejg69jhZVR4rUxTOZtxLM2zXXQ0ezQ3EHQI+JsG2iwrODjq4sMssbzh3Z6sJmUB
CstVbXc0sUOgjuLF3kwQtNZWP1q39dgHl0JATNZBiG/Mtc92iRfAcw0sVZaatuPY1z8Cj0YNPRPM
V/Nyz2TN3SYjBmggMaN6KzQzMUoq5y2+B4jvrmAgvbYLY+RYNRfVM+ey6UEWsbUHLhHs6Follsdi
c4toX9FUaniPEb/vewPrv/HTKWt4N1QOcbpFcMDpkPWg+PGdBoIQeJMOG0WRgbciwqzvM3CgWNZZ
vF6HqGk/JTgkgUHca3pKO7HYAljPKadql+8Z5zUVE1e7he4/mCuXB/7vllXnTu02sRt7TYimho+W
XVj7fcHiA5lY1LslwSsqLS99h/ZVH/FJI973y8JQ8GokzcKIFgxcjKZy+RqPzYmU+nSHofhlkOTJ
IUM/W9lI2oVN/l7hu9i22CNS5rsmhspAjTy5aUucTtv1o1TiUccga8sqMVYEp8UemB14/Lm193nd
94eenD2rPFDEnSIPthtA9O5gV6sdSwoB86YVuK5wn85dLu/7KwO3EFEBK5hO6Np2NgHuYJgirBZT
65XfbEgIycjg+0WJ4TmEvFms48kZfzUZMOtVKWAwQr0gNgvxjzOjM28pDS1hFZT0ycTtdyklnRGQ
wR8t06u3WBXu4waM6rw45Ac9C5nNNI3hBZxx+O0sabOJ+GzuanTag3bqYAsvsrksThZuAT99NV7d
31KREm6zGKeichMs7SA10v00iOlKEMdqEtSQlHLxUC+QeFsrkluiblQeBA44q9AOi2Pi8CS4kxRb
0+q7FVbOZQtmLT3ZpKOzVZf38bhmlgyJgKTiTznJ7BQUMu22Rcc74qkk2wWFZx5sxHnyz+qU2v3b
3EzlGTjE7ZSV7ZeTVz1JcKvyr0hjprTytrfAXXhB235YrXKwcdbDIXfmXVoaL4Rr8On3C55ZjLbF
saRaYRNVE3mYXuXP/8HemSxHjmRZ9lf6BxCCSRXAsm02I43GedpASCeJWQEoZnx9HWSndEV5ZkV0
72sRKSEZ7hzMYIC+++49d2zG9oYkAtr1As0aq+ikyHM/uVXsrxS2+k0d9PqrVsPMk5tDAXIqUEEk
t2FT2dybs1JGNzTqRXc0z6k1m0u59FIbGe1EeblByOhvkclfqokwfGl01zHcz3UxDdsy5r6Ng6CC
ADFudMlCjGT1vMd9hdWU1WzDHudszywN7CRJ7jjYC6oh0hB4FSGYlXJ8+k9G9dws5aOVp7Y9RcNK
JodusNoj+2l2eWzicBNAW4TIxVMY3vChTQTOb6BPXYC1vxTebpITbQ1VZfinoCR5ZDsJHoT8sR/J
BNRdhlEbhiKFyNWeo3y29SMc1DJOw33Mvnrv8P1XuhC/2lqEr14B0bqi/8kcJolncD7gv3ma2sZf
NT2+OKN79lO7v42hUPPSvgWtwTM6Nn75SflsO9mZnPVD1POESgrrwpYekOC3Hvx+j7mxI5wbPRKj
pjS9rvAdeNeJsM6GTQY797rmOtfGteYKwqMaULo4OKxQRi/dRdj8eUphOK36vSPr4mV2vpDi8p1v
19baonQcflyFj0VMBm9gkzx2wO64i6knaMXPoOT4p/7IqvB9LMV1TJuda4sWbJrLgjDXrHWL+Cm2
A7iUxePgp2/Kro8sb/O1aNSNIzN+dptkhqx69m7szldtCsTRNrp04wr0i7i2CS4N9W6Q+X3Kp+rI
uuMT2eEoh2lj+LVYYW1lzd1Tr5HG4QEUYn9RQSQuU+U13y0d6Yhm4oh1pjgFiVjy9nSQFEP4iZuf
wZxx/7GtceYuQz4fWUPIX/FsVbuicddQbsVOB2Z+mrIcn2A4xMtRStZ4IrC2xLnfkQ9R6ca3cBMA
5jnbLhuNRo2cVSpgtwtTf29EjAjNkGRM9QZnGH7hFOAgt4KOUJDr0nVY8n4zt9JRangPvowurjMk
a2nr9x4STtNyzleS02eRYXWD3L6yYJStaye4j2fn7KThSzupG2qt3JUCSbemTMBkcZnrYxzPEDxd
9WS20JJ0TxRrTKvX1AK0TsKgWiXlp2e4LzKnqWHWPLOnquFN09lzZTvdLTnt4nlEDF1NFDccNK6w
gzvb5Za0IUSmukk/kr5r97ELBRuuW3ry1LLB8mpjUxcDZ1tPvyvWEXs4lfymgKngqQBftcD0Y4HC
3+vk3Y8HJ+XCZpLTnXTy3YQzZGew7dhMYH4UM8suZf45DSrkcERoUNj6VrcMGKLy69e4MsRexWG3
R2J5qLuoJBJHrKaPboiutZemNrBQcu/YukEoz2UAt5YwDHNzgqn+ZraJ/elkzHYmNklO/1BoMiwX
HVzWnZ1ocxuBR1l7gxwfbUMxuijSmYPGfwAVp/w18kudPO3lGznyltpWVx3s2Oj2PG/Nm6qOCdgQ
TzsV9YFC8RRsEk5Nk4aLbcQC/5wBk35urFI++6P4DkeLaLQN2zfOHfOFiFt7UFZqPFRVrz8Hru1b
SljkmYgMRAbHMfZVG/f7EUAm5SoYzkQHWNFFxiHeHnsrs040LTGc5hXnvsZ7oshjbQDLc3amlXAZ
Nmh869xp8LR3cdUdmwJKLo71t6nmqIh/NfsFX09RdmFN61hzFGoXu1OAeQytOuWslJqkGWol2N9J
eYKSN70BtN8wMMltzsd3h6+6Oy6grO2QYtTRRTTeJmyPOS1m1cnz4n5D9uouRoiC9ss7Tq9KcLB7
Ye1GtJQM5nkHSqpJzu6o9TEFIaGCYdwFfNCZpbB7Ek7pMYFrzpUsjM/B0HHAVTkNUJk14H+gnrOa
e42PDjZrkbewb+g+2Hb0j+5nYdMUlA3+KfSDEM2lZNeacJpnAHsYGtt5zxSmbjm2lDQ5hNUz2im8
OT/XYwzOIJm/GMf1fUCcHe+jNrCEGB3VHJnur+iPfrJt8cK3bU5KB0dApO4WbEmJ822CyAbO6ckm
c0F1W63jG9s00IYUvvNt0ZloQYVhoTomch35dLdh2Kx2Ii7DaMfQ5750EftqLsHqpU95TFNA3K58
1RFOJSdGM20q1R1ahXqqjCFY6yCuPiCdOvcJMJBbu66dbTwt4CF4pPo2s4NPEvnBPXocGHqDDBAo
naXaeMacEXgs4ukVvM4apa8xhmZbGYxY50Y8PFUdStIRZbE38M6uMZ2rFRjK5DTFuGpWAhMBjGbC
sama3wH1mIcIWNxrXGos6WmqUTjkJ5tU0JsimIDtW9GW9W11yZ0QdCdEl2vWkymkayc9cvndBa6k
BkCrqD6M7P+uo14RHy7L5IoQcwJsG0/qfJWPHWgjt3P6uyk13a8+HWr7ZGAl2fcDYbO1I2fvlSC1
SRH04I1iCzgy+SHRoL21U01pdR1H7fQ4F4QFafA1dLj1jbF1N26m89dBglDFW8ikN7fzo2lH2FL6
nKfjlLn0O4mHVHbcMwOd/SrCOt7h818A/WO0NZVs1tQ2iqcwU1dZ29/4haVPuYd/oYRQymVINftZ
6YLEkec7/Bb0ReGNY/m9YtFbPvON9BMVHeUrrYrOxSqLGzqisl2qKu9axIG1I2YVc5vzW/VWlZVz
akVh0ztJtHFDQV94sETYPw31ND9kYV8/Jpnjns0iMLeDAR7GBCW6grmMyt7kVX6wqmDUfOuk29Rg
kgC3TBb3xCUfBPMm96msDkhhR97Si4NJEqZ3bKTU4ZB4h+KMlj7VWbjJMh4GBD864GKAsnMW1kP1
gWHdFst7kj163H9uusKnFEAJo1jBP6eHk5fav+b5HWe7xNb3oWi4e2X30g+KfdDH41qgX64qqh/P
g+hu3QhLC0oOxNWwlysCDjcI7qTCw2Hd9CE3XvYIOzy0bP4zcrVeT7AugSbXSXeNpZD45JgJoKNB
nZ0FXqZVVjfPXk2VwibOHPhFRSU/JKPUIeixVmiNT3IIsO95c9vdM1KGfP6LdF8QWd6OdcVPBepo
mHj62aIbt4aVmXukj6+5IcIH2W1elfPw3E3xoaYoao9Si0/UD83bBpbKlr5Uc6U62j3yBJ+oalW+
nuKsptg8ITqkui32zFPokq5ec7VYG6AtxRZVpzt7TWp/jqUHzatIi8LiDD55e8pFeoEUWrVXLkTv
vecJg6imNv0vzA/BnoRv9YL8Ud0pv2nvo8FvX4FwppB8G+ZipLud1WvvwlkOtHkd+buCT9/G7O3v
No70IZit8SJo6QtXZOPCTzRYTvjo5dWVciLC0FDjcRT3DdDqHUkyA2hMVAMayCj6aH/gE1njlmzs
TP/HMLJ2LATN36vGqYInnqUdVGQnR80SE3VCDByhno+0yoB7xt3FStUHRTuXHr0DIkufMtmH8Nn8
+rqJ5LAJzWXjEibG+1RVSzccpYNLc0DTDc29oOMIcrdlXpBFPL50EyBfNCh6wsOqtQs4ywZ4F2o7
v1QZt+kYuhebHpgFGt5T5faXMM83cA6pL3PSLRNQuK509dPN+km1Y/CkxkHx2I1Ix+P7aoqNZ82v
FKO80BQGY6jN7B0Jio2xkEF9ShnW5ZQkp6hEE2Khc4zyxHhuBiPZBDDOFtmdaFdMTwmtaQTe4qVm
j6mrjkR68M2AYbZ3DYSXWDtHTrD9Qu6EerQzW56Kq7LxqwZpZ8DfqH0aCgB/dgtKDuvUiq2KcUPL
41TuTCjE1Hx7QfyAYVVccegrj+Clyi12++pB9lNRrrxWWg2YTqC/NLZyHF3Nnd3eNg7BVm5gjnw0
o6o+6CxiiNRMK7RCh64+EXKiX2Yyp3GX+Q1FXxGypjl48pXfayZsWoBKqDvAaM7cY4diYsnxjkUE
aqy5dr4mu+bQS3CFRqFAwclAWayefIrlSdwtkSwiVaHz48oMi9lATHGfskPg8YZe8oJDynttp9i7
ZiNVnsn/evcsPr2jtB3nyRQgADZSGHHKqdoFy9XmTfDWU+G0RHwKdcQh3FI94ZoJcppEtINnxWcr
7QlWbAwqP77xZTlPuIzN59BMASF7ijRBGzTFhUQ+tmdNIJ4q+MDNvkgYmqCpsNWabEYekoLetk0W
Gw3PnVK+TxRfXzCW55+5N4coplF06cbSxafj4LZtuqj4SEUwnyqoarhvhwAZIjcYmPCe6n4dkPJ6
CEh6VQS8XeujwWZ1GHTb0yTrx/I2M0PUCL9uolswhmi7MVXAQJafzSZof0pll88skcIX6uvKN4PP
/tZoeOVTXs6MiJFHG4ZK5pdwKuNXRcw4Wk1J2L7Z2pAfqMDue95MDSX1cPjCxTPtNhzhZwd/j+IS
OVWG6/JIKdMtpLHxx559GnLQbdbKdCGd49Eu1lOtnGcD89LRGc3prIcheEvxM61NrymxWPrgp5GZ
obYbLTjRUocfMyILH4Ayr9982htPM2dtDtVzTgMrB0AscUUT76JePPLwUt+96spbsjnmnmWDgYdM
aFJkCYcgKzPeE+QejPjYKNBuTLy1wDX2PcC/G3wcGN247ddbB5PZLesymIVjhN4lEhByK2UX1cPU
DDqgk44eCUYqREiXloSz3Q750R0m/7hwN04Jzq0vuJAsBkvYBHQYWB45EdtP8scmGExzQwi+PHPD
gOLtJrxzNuU75Z4xeQS5btdM0ST4U6ChNC9wzpae/ctK9XCHYD3cmmZYPwgMtt+i7vKzMlUGuyCU
P/Sl+OewrfCPux71uLbVOz+CSMI3lsulHq4vuzeF9eQ11bqBt+94oP19YO9qPQ2uS+2qcuSBSzXY
xCxIHxtRW7hrSwErxQ0b897QrfsceUXxpSL9bAWooqrhRNJPJEXJ/kXUQDuUEdzi4Z8+CpgfkGHR
TjvOU0T3PaT3+dC0yHoi6JtixxjAi9xVPQcMQ1azeUpjiks2cUtdyoqoaXIzja0gMMTWlXtEpPyd
Q0nRFXEC7YHUozx4mGsunYLqx3xt+zxsbCJ/UEJJu5772oUQwSVh35idh2DntS2oBelFHx14h2xD
dd4rGJ4q3UCqjI99ocv7mDfK37l+4z7ROqenrVnU3hdHIwrpA/D4v1L8vogreeWlh8orFjQyjs5p
x9WcNnvyzIsyiJNQrr1AyXeCRHAnK478V1HoDE+yXZ5sgRz20Wyg2hvEQE+RN33SvLGAkHlRVozW
fE44I/EbsEyw6MID9IL3HWWNPQ60lpwqaR0NIZIlPQaxnLCKWNY1/GVoXRrygNw7cKPApKFg28D5
NQsPh//waLV934Gncy21rSKHgFFneSVJkThBOmus9FfYuPnRcwH6r/OoBWTr4WCmnjasf+EEnXjq
upST9qxupqssM/K1ObTyFdwdj480YngrdFhkB51nzleaA1qctKsYcOfJ2k89bQpO1kvqEQC14Egu
Web56jhEHYsyj2XarYRjHbGD7HiaNGHza04r6uUq29AvpF8LMA6cJsq4+nF6K7gShhucUtxWt8Ps
GCBSXKY14mL6PE2dsWFXy4w/gfiVUDMMtn17Zpsy3jA1Vz+13zvQmfMUWIkvLjl7370d1dFjXBRU
T9uNMR5S2Hr9jr19vFON+yGoR7w3IFr8MiTSDhQE+rGt8qsTTvrkeHRGHOahDBB/3foV8gGuyqi0
bvKqNO4jIK9/Y8RY7A//1fISmC4uKB7cNil+d7FP/MmxEGemB3Wy9peZnuUpE/OtJ3Fa5m1FOy27
WfPSW0b6RO0Bj9K/Nky4/84ugQWFLShQLow3v/l7ZtuA8hGM/n6SUXsJZKUPvW7YIpis7XGX02TK
TMZi3Ez7r2HmkaK7rthVfWatOt7ZrCJe4fsFYmdlkoVXLJgUlvrdwDGefbNt3aoI4PLKLiD0IaCK
+aClW54GN8UZ3eBLJYu+GgTaoINTK193Q0aInqwt5a85xGLCava+GDNjleAO2siF+9TpzuWEIh7H
juFADJN1WyfyV6ogSxle3x5oEsXkVYKoWjGMYZUaQWL89Utn/6uNECwakE8HWAbqoPebia3gUuLl
czmt46FkbjBvXXecSnJ9dOxZWJaGCW+GA2mAHVE3XUH8nHZBDuOdiwnah70JkyjAlhz3cHm7Qm6p
yumPJgEHqLPG1Wh2zLt5xgHYSdMDDX/e3xhzFiPp75deIFhoASm08DP4i3PuT5dewrOk6gMd7E1d
pYw4QT/na38e46vZaO/BaFIWxcN5TVtQfLJMs/tm49Udtbm49RDchKUyPmIDQUSFb+OvX+B/te0F
mDOpagNLF+BP/e31jdDwpEVPIbE5hCpWkVFwTf5c/823Wah4//IiBC6ORz4C3Nqt375PxcLYbcIq
2LP+nDIe3x60eAhim3HM5afNAM89MqvWyqLOC8CKvKebtRk3COMg61o7uBB9yrDN8GGphCouBOsh
8WThjI06MR+rNmue//qlsX5/bbhfmxYdclgngX9w4/ivb1yd1zOCBNde39jcFGZbibVnIg4C5yDE
xhjyHGSX0kxKQAULEqGgKT3u8/g0uRNcFJ1MXyINxut//Fz/A3D8G4CjRZSCy+a/BzgePvT0oT7+
bND+59/5PwZtz/sDZOfikoORyFv6n8WFnvuHi4ttebt9ie/T5Pv806DtmH/4uCRxKzCmO0zvfLyb
fxq0vT/kYgLFkcolvfyX33oK/6q3UHi/f0RwSwPTwpKMyfPfXG5kbmI7y2JFf5LhXzCFDx6Kgyp2
ak7T14hegDeGGih3EojLKqhDm+QLfA4zqwEC93ZwTNGlHxixSML1Xho8l6j7r/agvBsgLu5TIojl
DGzWj1PhpJ9lYjg3nY7Go+J/D7JYGFpM0+AFaqt1v7JxZhPT1F17w+bEfnQ9+iZAHsEnmBZSAQp9
/mijwG183IIngKfWLYkhVkAL5aBdeAckGlj6LAyEYqEhaMMPn0n2puc0LXbJwkygTI+UXlEHW/Ra
nDsLW0HCrCXVgubkpA7ScO6HcNsE/Z90F0Y3QeKAA2+AR7hjRo80m8otEDCyXK32iFTBS+gsHxQ6
yDI/RuGaEmle04NBXUMcG6dxQUAwXPU3EFrcXb/AIfrWbM9Qa6GsLOiI2nYbRIjG2noLUyKHsXXs
28BcubnJ7rcTN2Gn8xtJvAOKShe8Wdola22oniOq7cKiqbNLvmArxALqa3U1rfIFagHEiKMXKtyu
zDGn2TG9WO3s5XgJWnHSrmkjllY/SrUVm9dW1wlDbTa8mXD+n9s+Gl6nOGweg7ALv7lhz2im/lzR
TVZbTBmTaXvJUZodYLvEic23gns/Qwnx6Grlz974nk714O6y0E1uld+H17AzxqvAwFeiq8FHNJ1n
P9mUePk2k87hw3GNsLBgDAbJVnWzuvb7rvixplEcQoCZaKg4tw66KdW1U7h4IkZRP+SsEjduXZjr
JvF+JqrB7wgdUY7OmeWMiyPaFAuwBGczEvgCMSErnTyXphFtWGPd2zKtrlIQJz/GSKgJcieFxmlX
dywVYZ3fQbz+ikGmiIWdAuIMP9/ohVc2WaxNN9AuvKxYLQvq3gJf8bwK3MBCZMFcYG2SuZlOI3f2
S8HTqDSypzFWpAqHheqCwUN96IX0MpHXPEQJ9Be9cGCgmWzthQxTGg2OSmfhxQwLOQYhc2KRLsdT
DVziLXa09LcZYuyrt3BnoirPjiobhvcCR/vHEPYUcrAS3KBJ+VeYOJtNEmDqlOIuGa2aLDWEm6DL
+4/UqetnMTox6URIONXCxJk7hJ7VRLOGBUQrwRbF6RvegrOwdBoe7sQM3ejKicsei4uuLmIE6cX8
XL2ElLaS7StYY9m1jWhtFhVCOhZMckxTug6RSjh3F1a0zrg7XGxHjId2jEt+XrOAQtPb1vAsCxof
u5JZ1puN8hx6bb2SgFkuyexjGVOdtW3jVp+a3tMWZIJUsOGtKnnO4ojlVZgDeSS8ZX37zATfHQan
M1LUqDdDUc8WG88+X8TEqmZX1rBlBnswPCWajcAey4+Zr5UAsroJkOUhIqayXoVOKq5YEtfxplO9
OBPjRShmq7jDt8J9sPRAgNEPqnyf+mac3q3j9clu9gz/pvWtel5pnvxvWLg58eJdZKWYCY33bALU
ivJBvyg6akK056SBEV1DwVzYWQtZDi5jdzcavfpqMOqP6xA16N3VggUvnTHx21j6GAm5IbJk8FTq
AbsCyui9TcptWfsbjv+Ew1pQq2YNr4hkszoxJDiSBXk5HY3BFAoCJko36f3E+CS/Dhm/FZX32sWi
8LdB7utbs+r8s4N6yk17CIFbQekECG60atx1NrwaBB4Tjy7JeONNxiMwUQzYaKVUaox4QyXbjUOS
2JVeOyTYbggpYwMcx9YZt5FtQQZojCHVS6cLfprBFuVDIns8LQMigkGmGyeYqZeQZNdJGaOZCrt9
qGLToDB0LnZdUbV669FVNgEkKKYHM8qQwPHbd28sbQntF8lAOHzoBuD4WTPB9+0MrCRmI0Jm+hxp
JSI5Qctdnlknyifl0bJa9NzGScYfRDf10umy2YNXmZA2XLHA0cY6v08yWkG6IWjOeeD+1JOhP0QS
3LvjiLY1C8SfFcYiuevYB506Fhbvk98jqbscPt/df7h8I/anR1NGXrhKIIbsI6v37sPMn/1bWi6x
0kxuYbE38fSww3vPLwDQqt1nedBS2eFNVHsAYUqfjNQZr8hgR8+mm4BE66gN2CC/o94MUg/fTIzd
yllknrVMYnMbx4M4Gxmbg1XrWoz3iHviaBg5n3vNB+G1Erl8pE6co3HhAW8pLMUFWMYuvYIzvSfI
K5H1RENSfM4KgSqQGeRDt0qq9FV4OHlRofziJN1mcWbM1MGgnQfNqczz+oUmDJzWC82qWodeMQjg
0Q7tKODJnOtM8cYZTm6pFXtffkAMCDmSLqdemFXpfENxDZ+YNrTyF5bT3RX3UOvDtNrpZaAA4ZjT
NTytQm9OufcqkKEDXxqwBM74t4C/f9f0TohDOAuGvSeE8ca2dryyJ998giPFQw/INJkcFTzTiGg8
mVWQ37nOGBHZHIE2w2YuzpiwKfxlXzJ8c9NtL2noWohSadw+9707tZs5ccp3mjiqY0DBNfWqFC88
iARj1oq7ovGp6nbCfUp/Oi6BAKgwthifo0LQtfkHq4CZ+j1IhHqLNgNwIqWbst6nNuV9LZichxKx
8duLoY28WENouis9Dd596qQxtekD4rDu0xl7b1Zmt0FMEQkvl7SbtRuJ4SpsCwfaQRrfDW2cQOv1
gRtogqBWOuefvFfEFYAoVDjOW54CfcvznY6AeyKxrBspHykwi9UWH5CsUuWd4S37ALs2zOcqhTyy
pqrFu6ZDQxbAfjyaZMGSBt21R1MTvL0OgWITxqK9mHXGdx/Q7NB3sjh8DeWIdTfA8rwik9teIthf
z/DW5B2A52CTVwnvO10xza1FG+p5HhE36Lxwm/sOhM394If4v2Eh2jtJs+XSqJEUxySeIEtRWFqv
XZ5wXBli8g5G2lk7q8Rjsnb6DMvkbFJ271lxvGpSnV4g1JI6wi1gf8yIcs9GHZRQ9mVj3kg98oqA
qgRNbY68QpVbJQdrjPyPjIaTX4zB/FgYlNvnwBoHXl/cARtWDtEvIsL5QeZd8Jww0u3jmZRBY7S0
Ks6QhfJJsHui3mnepzg8DjxpK9CR0ipoHE2XfWOZNsF1iMxzNbotcudse226SQBFvg95hhaXq8b5
yaug+A671DmJ0Ig+59bGIhE1c3Btj85NjB3nCKiax/z/DI3/T533QjJn/fcz4/9WX7H++F//hvoP
r5+/+X+h/55kdqRSnhvCn6O9nvzDkyS7pBVgYeIP/efkaAV/WBJlxbQsz/L/NDda9h/s1cgw8uUk
mkjw/zM3/kvzxvItLIbWIPAxCIilc/LP8pJscqMnEwXuCHNq8wDby3/keKOqDdZteXG92GfVDwF9
p+hz2bmEirZ5G4m/SWbyQfldq+PHoF+M4xJBN7S6f/ykfxK6TNFLcMgB2Xfqzp4zHzxTKAO6pKPC
fuyyJLgeJaswEAZFWEJULjuMzYGxpbxQHPi/kh1aPulb9vrvIsbdp+JkgpQrk2RTRKG4NdspPM4w
ETd4p7qbOE0w5KW02Wzd2rDv4kajX3KEP+KI02ujNuZ2PUZ5uDU0UR9HeNNWRSyBY7PD4mS7nr1r
pVDb1J+CK9lBx2P73GfrlD+/ZChG6wgPCeYnxV8oju5NkTjGgeejYPPetM6HKcz8LJycx01b52yT
R7O+GmW7Tmhf/XScdv7CIiUe2Wkza0xOD35l4ESeZ3BD8JYn+BGG8rP1/ObYyV5fYrelFbjEHidj
v9vJwG1vI7z8G1fZrFi4a+RldRgTesIL7tVPE0iemrwLDxWXsMOr1eHILCVjZDwExq5je39MFcrw
3Dv2dU25/Y4/Yu6Zl2gtp/j60KC+XkeGMxxh81obPeWAiqIJ1nndXU2tkdx0iRttq6GuOMbVLCFB
Bjq7yRuwt7cuHGch20cB1ZJd/dJHHtXxQ64G8erNQPv0BAjU0aZ5qOgi41erb7EmTasCvsqZ81X6
2A2j8TIMdY/9ccm7uBhzdAmDpsaXv3aA+XzVRQq3s8jUnct5mHO6NLrzUBX6lEQOTcQS8No4nN24
PsAzv6LKWO6i0cAIa3oXj+cuADD8lesZT59dkLYzhBYUqSlkT4flRNNIVozxxO0/JsISztm6Ya/Y
yOY27xJJ1VjIialrFHOKJjnXszDiWFvfVFnWviZp1O5VQ//yHNFUAQLY+PTmetz6vZpuCnZ4m2Dg
ekq4rHZsa7JthRNx+Tf5FRH+2Q/Yz19QucGzwnKazpE7LPVmpXVnjmgqXdGPF7OCJVJX8LCGueKJ
E6hLkueaia6b91XUtnekBSSRAXe+c4HPbOsZ2Evh4CPtcb7dZlOiLjAxaDO2E7FVbI+PMTLHWsR1
tNFqabH22upQDlX1nFOGyLvp1YSrsxgfYvFDJUO0tYageAxdb1h5E4tFvgZCfFzLQz8G8/UIaftY
itbfKyahrUPXKvunwgPkZATBVhN2XI9jWG105JAXbQ0G5WgiZuCxK+K44msY1Jz04YVIyWeNBeXG
qEYWGqqYikPa5Q5eO87inTPKS9IYzn0/DmtTNTdjNc94pEpx9kt32lOH0W/cXlrnyI8vATeZLbL8
BV1kncfDiCNcdVckH5NfU6njH6ya3TrIWxA5wRxeT9YAadBzgCdx1z84XS5PgDtg9w8uXRdMmTvD
8+Sl4cde49gI7yPMDx92tazl01YcWtJXvzSSyT13Zo68Xqnf7bpjt+4BCg4iWcSwPSgKXAk3ktkR
oA8pb6GZZjGNTRh8cRVvCG4U06qparov4mzYiSbwqxvVm4NCWo4gkwxVtIkBze/SqHfWqBsQccKl
J5pmFK/d2LXpsGhAM2D95gxsGZIQzLURXtwiKee1LYLSJm2R8z7DhGvFW2H53Z1hl+R8bGjtzw2M
QFhAYXSRrWZcELI/h5DydtzT6HafOnUCIxS/UXQCa8uPELOQ1ShkGYnwgEKFl8d6nZn2Oq4ycfJY
nrtbpwq+p0xm0bFSirrzrlUnP2/Eq5sElLimmDZWGGAI9vue3NPHQrMtVIDqJ6EEroLOqtsfr6F6
Nuzn9rWwgu5QyfKiYuOlHofmoOgbgKgmCWyqhEG+ytnAryYZ4P02Z/eNmBiLb4k99dUtdH4MUs76
gTnQBzkk/noq8LvEmIjg0tkhpXttHea3AInYiFIH545HmU59cF0VoZV9S0M03T2sRPchqkpn3LWV
UX00fBQ+wtBWz2UeG+c6kpSvh7R/8RHSfLcimIeniiCUwUMqxCvQ969ZERhXky/GkPjtpNdSDnTO
iBZbi5k4g7PGZumcoko792r0l6pNCONrAnoSNc4W9zwKG/84eGme3rVNQ08q+9uHTtccCayO1lzH
qhEbejoPf6KicZgyoeS+wMtxflHwMR1xRAhKCXp5JYFxfJMhBUMQ2mZ6MHxLXIepC8nPqAeCU7GQ
ZzXyqmZZ7u0ZJzFCNkYtoXfKms4dWd+73K0fKKepDyTt+l3URLbYwazz4W66/nh25tA5uCKJUFg5
uwxuyKyLOfKZwHruXxor9NJTnwHn7v0rogQNUw79CyY2OCzhgVmbL2Wgk7dBpJ290hWy3qpgDe9s
k7IT79IkVX1JSbUt5i0EdKhbvrnNLYPI22wH1p2lyBoYlhHdMWwPr7muIJIbg/NQthYxCqsRO9sZ
S4xuRvQEFC8+cqph7SN7vgRnrSHdOEr3m3xMhn1dUlxseeSjOKUZd2Kyy71Vd5RpDHP57SWjvQMA
bhBajPCj6tEiT5GltQLBpDKARVlht9t5XipHYCTQ/Ij3iI26NXQbupKPYJnGz9gzhk2pp/iFUEtz
hlFVrI04tlDP0Z57XuD13PP8LNJ6TazAP8bFOF+YWOVG1+Tt0XcKg7OYvx/HlGldFVlB3UcWlu14
RcOmQUlTPnT2waOzezg1ZRqfOM6Um8m2aFPh2CAfXRSFcc0SQg0s0j3rNqux7AwTw2Q2l9h9U+3o
e/7WTqT082gY5tMaW+OGBYJ3NUTNRLnHFBXIe1hKKuq0V2EqpqOV2u0OYTDiceQEO1UvWXvsQHsI
cdGlp+9l17pcoy7gsWtpYHlLIp2sCAtV7jfRg6XHAtn7IxTUJjj/QduZLcetrNn5VTr6utEBJJBA
IsL2RRVqHlgcRfEGIVIUZiAxD0/vr3afdpxju9t949hXCkraIgvI/Ie1vpUdhffeDKONMGMIe3SY
RvtJfVltO0tqdoqQUX4YOO5veUMik52FeRbkLEmvlcFluZvN3k2DNvN3yrgbVDM/36W43fZI0dyd
NBNFjIU71Ncq4bBVsrdWVl9AtQlNa761k4lHr6oWeXFRC99ioh2YUBNJc0oyP3sZeiSJAi7oTg5t
fkhb4NoAQu12k+pq/h5EkXvrqBrTH6rzwwC4JMkzftp6pHiYNlFeo0WTv6kKJabNVLZmGjKEabhq
B+nFB9VOyZp5PzkXYVhg755G57BUjd66dVOeGY+a13T0akF9m71NcA3FcYgGQnNHywv3fhjW+T6F
J3gm4qy/iw+BxxCNuHYHy9gPaEk+e3BUN2cULXV1O5vPnDax5MHtex3EEyLcpgs3xRAOx4xtMhTW
re1l+YaiByMZU9IzQoR2RT6N8Ys42a7dDSQDHJl5/KptIrZr1CFMFheRf/elFxEpqiS3PwE1q2Zy
6B76OZwD5LPlxcuxRLfGwHDDTPwbF1x9qswRSqFvdFvTEf3WmQTPBISzP8zM8g1Uc+8BJ7WggPZ6
HH2jZ3GKauPNcBfOkHkKkbn6ujR3GSJP6K6yflpGF9nX1An72oSmv078ZfrFSiB8RBPl7ERkgIjp
SLZgDoe2Im+/G4dMFbz6dcAuUnNzRiFFJ9ATaY3XsKEoADx4svmENumceZsB1NurFp6zcbloVrnG
c1kkoXeZ4zx+s/qGlZSLuz5j0pnjEkHqR3NzbmSUndys8ThIRN7vmcxTuEUAT0y8ZY/OJNHe5eUp
r/JXVxTfRqgeugEPVmbF5EBMGbTauCQCPlHcTGm7rjykVi5AzIe8rgtiZpv+oaL6gsgcRud4yeK9
qyKcQNZnxhKy6zq2STbCxGia97bhxPRSyxhgiSi2FhcSiEOI0ClZViwYkx6AgUC1Fx/Y65CU6eLZ
i07ZkriXyIusU6nAeWapTULEoiX2fGswKBmL32qsIwsf4fiieZm2Dgw9HKDMJ+9TqoC5XfaI1Bju
XhM5J9X1zqNjFeo4mHrYdOQNBIz7k13I237qZ3CaK7tqLErQ0rw/hmz1Zx4NY2ryoGLtEeauSxZE
clRZByEVQpSKd6Y38EzPa/ZLeUDVkRzDwiJETaTTqRHSDIiEquizqqo/WF6BmYupL/ZYCUi0yBqH
Meu0d5J6X5vUEIszKNYdrGQizK+HcCk4/6APv5E0XhExV8zGncFpnOKo9t9NJNc75sfWj0ZRsvt1
lB81HrjAIubnkhvS2cjRH/YLIXIfivjKH6636CcqYJwkYTK8ZWVYHexSG0/W0MunbKkzzkoyz1YO
VJVz06XxBeT4sjEp2r4sYqIOytLw/52u+g0IAwuiA/K/hgpfhDKYzfDTnLj77JmlJ0RdYOMvddob
DGqxImiG7nuDxO0D9j8fduXoP98x9gFWlhSxJwXs4JX2prWRGklPn/FM48VkoetCbo9ZwiOlK57S
YcqoE8rml+WW5JwY0EkR0xqH1hZ7kI/G0bRJpgfu0F07v2thImZPktAyqfCvCae5VuJHDQCjz0wc
eGorOvdnFo8P5Wha+yyenpWPQ9QoCNFrMEdZ92vJjdARsj6jNPzRRP47QvhAEF7eMNhY5w2QXcaO
8VM69cXe78Bdc82UZycbBc9xUx18lZ0UcCrYjM5ychnKbjyp8n2RqZ0zkyWXpXG+D80yOYyEgu3s
oX827RLA7VwOa5HT4LE8RO4uKcMPgJXc/RIX2Zct0ju83UuXNfsSN0h7zkicVPuY3PcA9gjgWh82
ecXW4zTlstgYAEX3zDhpmMo6xTCLVpnIOy9YWjUcUB3CHPYOVh+frALMk42kl1QS+aq1153R0tmv
SergN25YfG+kmLkYcZsUEDfCGaKESnu5RZyr37Bd5UR606IsLnI0iJn6FFeANVB93u702HQm0kiR
KhOL9NgV9Xc5yebCbgXrS6TMcsMBfzS1CurGKraMmPQhVdnd+zlBYc6a+bIg0kUWIMwvm++PbUEP
ydIrp7soXNWHIVXqNvWl3IaQXAIicLEe5Hoz1JO5dYdu3dsEBGfgYW3XMJ+GMG3pcCZ/fixM6QlE
CG6z7eCH7sakxKBKGOXBzIic8obRxyoEtX+lG3kuSscJXO2OZ28O1XmwK9K1WBEs6N/ZCeLc9gDI
PWO1CpLYvs0JA/Mu+USz+T1HDQhcU1cU4qIGjiZdfF2t1VRbrk0Dage0OURS5qYyipFom8GiywYv
xM21z1ixW2j+RmcI2KKwh/OLvVIVL5RXbLhtv91RXElD83ett+ylYZ2kwm5DrbWth+FnL0bygifb
zg4118FzY5nz1Q7jn70tIGNjl7cTXz4U6dT9MqSt93x9VWaULR4NxMGu6cYoUYxnvIGXyq4DnSLD
wpLnnmsBLzuV4p0DHKmHWUsgOIUVGGhtAzVbb4WHTjp1VYPzNt5SQ68bjKVzxfrXvK+VuZpXvod9
M+sVntrCxTsgDm6cHApS1+KxeKndhPJSjuukHqJVzQW+LUKi/Ap7l5fzu6GVw9uDuyZh2YIVwMkR
wUQu2X5OcknDAR+n1d3GJqfUY11+i1v7Na2w4HkTQZ5WblIvAj7behZyF6gx2wnH+dpJgBRMruVc
JzghMGjRtBBOHxK85W5Ea27c5k7/kNZwdLKz4ZsnPSYJr2P53KfYhIfyGPqtv0eQCO/aZ8fd9r0f
9JVVvJC/NL37ZXdMl5alMA0He6cJf2k+7dCjkraTo3E8JB2JmuR3WTBwYmIwW0Df9TJEH1FmEbXl
2b9o+V9s5Jwj2nj0yfVvjznXC6CI6mBR+h5iJkMbnFdnA80Q6pm7JWby1N4R4F/KsX+ICsYtfV/p
N5v90p58KowxiaHsjaVJPS87OCG1nvVZeEzMaBtC9DKL+wyDmVwuc5ku1eJMzDKFWx9cN+3xi0xQ
MBC9GV5RkrGQTnxQ2JW0CGHlC2/2V7W2k9cB7dKV52wjwBzNbtieWdPhEEtNpl6HJRUKI+3Ukkvi
GAfWujCpcXXha1q8L72E7R4y17Mfps+FqOKdV6V61/g6eyM+Qge1bG69zVqZSAe2yuAWAyPEHx1x
z1Mng0ROY9wWgr0UII5hhYRmMwMFAVoN6PqwaJSI9Tj+lBV6DWLu4oObRM4FFRRi+CHGo5bmmYb6
H/GZ7cfJVizQtES777kEC8iU3xfaDKHiMmZCVcvfHqOuVQvv5wZ5d3pMW3Z0EFiYh0MGHZmkYgsS
IvqRLTIj2qQqj5gMJr1pk5TlrBG22KlClDS7kayKDyJ2CFLNbLklaxXdcJz1QQFHHHWL2UCk9lCB
cy7MuXVBbzZE58GdT6VMjbdQaNBSmtZj0xqW9eJLCSBcsNzH8lYV6XlqKcm8UFv7YbTME8FxJU9n
WbClnGbXg9NCbG4YgU3hjyA+E0l3ppcXb5A+5MHqXLJNYk3pGDrteWTDvysN24RKI+EduZW9q/FX
74gRogCy3NraRKRHQULXhTybQ8eqM1ujkhPNKmVKcfYbKZ77QkTHfBbihYO/fOhdVDFDVONEMZu6
3om0sOvtZAJDIlZPT2uaf83V5y3r2akxg+EAYRJWzSL+pVzOi1VCCNErQu1L70sC3eexvKV15a6t
yfkO2UZ+msStxAGsvfB3mCfFC2XIz9SXuMOy5lH07QtBA0Mw3Ade/TLuu2XW24za+YS6gMdVMvhS
bjnsJ2Mpf2mZeHulCSuDaGBuhqrjKWI8GERzttyAFWPtNHOkBzOpY9slu0cMmg4DOhfcVVF5JACk
+qru21tdTxgb4+51mDE/mqL5kVh1vW4S7AL4PNzr0kUk3Rpt/eFEGNxIjvXGnS17p173Dhp+LWls
ovAljn3/oPx7uYOsylX9aUrSlANvSo+z8P4klP8rOy06cpITk5NggsY+9Arie15wmbRLRtZXZ5Vn
dwlvYNZvbkRyQOypaQ1ZH31bJ74AqfAwSoRKU0Ft3KSLfWqB+P8a3CjahJX/4XeW2rsaLiRVkrOe
h5wizLdJxS3CPD1MqI723Lq0xuKYUDW9pjmBBsLi8Ss9SFj9pIw9jd0IfSp/7BIX0g6LKQBJ3dmi
UG9VB/djYSpJTvDSHjB2G9fhnu/H5/ESa5f/HaF7gdNk6Qop9BD0WLBnPMlkyOo1OTQPxlKbZ+iO
CALIwTpaKqIpzjKfyRD6C3Q2T5bANhg2EIa8cbSOIgQkj4H6RHDfs8lLtDLluG0Gj5SULn+p8vQ6
AxvCjaIdABkp/oMlg9m7lj0IIkxZ3VZQ4XAWMhp1Np0/cCZjG65OfmV3MVMAAErVPBJzabkcyHA5
9OvsG+5voC5MLSsAHhQWCx8voVgVj2Ewkz0S01JnuMU4Fi9d3IY3skyXIyISBV8b5CKynFcZuY9u
m/rb3vF/uamFuzw6K6bdO0ei0mhm+9GnLiI2u1+jTQySonmbezQlAGxWutUEBuOCN7LHsB3iYGHB
8tzAKlgL3NNPtklgDi4kVvmRG79JnJV7UNmUNFNbBQAfQIFZXlDH2tl4Shu7AoJXhMSKXdMlIucI
+8oy/irwO4VQXzRld9cwe8EQA9GxlGerR9gGgqswN3hKj9HgqID41AOKmQpWPP6sncLISLdCtQA6
ZOY6wa5Trk3wxYwcXSw3NTb4lYeS+82s43sqRq/lQU15+UlkLqhv3YvqzF+aHks1v3aKEVVuiG3F
+Xbx55xISwN8zteSUZhxH46PybgM6GBLPHh+05nvsCAN8g4L+7zwKL+h1hpAI1kh4Y993D5wLgBF
JsQv/3Anf/iKvY6+jqGBP7AUyjK5nNoSZjPTW6d/k3g7HgZklfjsMj4EdkxjfCW2Kp1XC1I1Ihm1
7b+Qy9ge4qlaOK4wRf8cTU++9rGF1hiPpbyUkaxIOZ0cp6IaxPQbSVDoazsnGWS1RMWI4Uoljka2
5SWvEMmJ8jG4JNdYxpItHbWz94imW1ZupQW/l+iNtZ+Nw3vqlV+oHY01dJcv2nJyD+oEAoJZi6+c
go+FG8LBaWWkjETa3lSnQXQJJ0XFf0FPvMVlxqVDSWnKd7wZvEt82Wwvhu22n3YuEm/dirDa6n6Q
mAntarsMjntQYeRe2LJO6JtRhsiBnXDjjt1WJ7l87F2HEy32Ih6U2uPT62PXvufJQjlku7EGYeDf
J12kJbb2ABRc9oCqMB16Vprszal5ctFdU2mG4LtSRxrgINP80hnu9MxkLd7WVUFs5uAjpzbqogNz
597hMkSRR4HnTuhNrFB+VuArhg2K4vrYGnnxKjof4hJT2b035fZDTmJCu/ZCNbKKJkjWrl2qSsda
m3YE8qSZki0bxR2qv5JwS/WrjM1oq+owvfHg14Rp+v2hEpV4MIf4l09ENqZoatpVPw4/HY1PsHWi
epM5y63HsxAIXfir3kSXFMZiXrtdsQT1/K4T8nvNemWLCuE1cSWrvrZeIxSaw5w1Oz9Ry1s5xGYw
ReRz9Gk/4uiwYK3lzdEuJV2HtzR7usB429pkiffa5Kzv3Q+i4OMZGBoRTSY8qEuqGH5NjMCenCwk
wjstpfPCsmnZkooUPo7lmGw7hIs/QzSkYCTlOvNDsu6bpngrE+6OKsOu6vl+8ojoz94N0s2LNYAz
+BBsUdxlDVvJR58YDnQdWZq+xL3ZPXmChc9GFElEDrAwkxNsDkqCSBFTHNncyRJDULjY0/M0Z9Y+
kT2Un8mnQQNDwgbxQLgVq9O7vfd+U3s0Hhvv7vjUCAJW2qrNN5ivAFv7dmaagr6VxawVpMk4bCqp
X+jMqFI6p9kp+BUXpEXDtpgByc2Z+GD/Fp4oRNJzTjVJHg4NzZwU7kniZVsPKaJkRKjDBWCU/OER
3lpE5rhNE3vGPtp5+0zr5qQXK9lmfWs+xaMYdiwZGHN2eiT6iqql3nXlGD7Hw+ReGVfyraQsBb26
dE6spq0bP1WH+sCZ9cUKe7lmu0ZuYLV4AhmFVsu5XCYk3nNZ5Du2L/SAbN2mI/7fZA1lmqeHWepL
tDj9g93rmxEtQck0D65M5x6cHJfCynRldYrKiGFcbQI3Clir9FvMjNkaGPufGh4j3GmXlYpX2f3v
HOnAtjPycG9HSMlx92uxI2rGOoGG2OcEzf7KEKFaG38wRugDskze+Hw/MNCnu4khAlcXe3WoPxZt
2xQGbtq+m04aw3dKYCaNVgxvzWFMx3CH/Z0ZOI5t9Fi4e3czZi4rxYb47HnBuarqsv/ZzfZ8S2fu
R1176aqLaQzAqJ688s6R0PjqM8AAI/V/PcfJU1ermnFx2toPpK7gga0AYGT+Nhl5fsHXvVq5zH4v
RpG8tH7j/WYD559lbx0TRGN6Rb9N5IkCyUoSSGLl62YyqneDhexDZdUNrNzS4qmwjMDMbP0xonQj
dZRUHEHop8somJrhixkonYeo7YcIO8gGYRAh5gpXFYv/6VBB7gagOTnmKSrAKuKoYMFk4Dsl6O9n
2EzNhx9Tb6zdajBPTJ+5bYZU4ohlWEmb4Iy4akcr3aPZQSxf9fUPBkM/ATh8jpOfc427zast4vyQ
1DAKV1ynybtF//mjm0nb4BQyZxz71On0Gi3dFGzlTNGzAHhERU48VvmoZsImw1K5D11ReBuh83G/
lNmwrJn0dVurjSpnC24aTcaIXwsI79gZ6zm31381OBljCUTgzSMbLzS1SWUxxYjaaa8M4bPKMBQQ
6Uk8Vo45nIGlQpbhPHpC5GGsFyb9RLxO0y1HRUxqQBe9x11pv5KBlqF1QLXCtgcUlWE4w67t7/Nx
WD3WNRUjcyezKRQLr44c8iYLqgTk2MqLuAkSAsKK1UC+1coao6AjW/xs9jlIzVIg8ikXlxjtClF9
4NZuuVFe+ye1ki7oqrDGp5MiZ2iyfNkI23rxmO2vE9Pydy6n6Yb9bnE2cnGTA+HJLVTPlZCLdyXP
taLfn6bPIbdr4ApqVI+kksCMgRboX83EKp5Y0vrP2PemGwvsu1cvLk/G7LJXIxz7mDYeIvEoyvu1
Ddrw2ZnZMs52994yh77DM4mgR6mdbVHSNDuuUvQuBPc99KJ4QoKXnSdqrn3qt3bgjOoN0FUctMTc
UUqqKX2t0evcRkS/08rsnfQN5wY7AkMtiJuSQa+1vVwaHoh1CeDHJrrbO7RxtouLMT7KAuRUESoF
oFJeMbIXQW8XCsLUXB6YZWCSINaNN2Iaj5ZGOLOkDfPNxvOKdQgx8x0fJKoPrKk/DNd+Uk346k96
vMVNBHgspIsjMBovyyjjoJjSx5g9YYIaau8oj/fH9+fTnEIqIkiivBIu2IBPyQ5Q9cbH0kuYG9BE
nf25mLMVzZN90Z6Py9sav1QLJdycT1HEwkgZ8ljWBUsbU0X9Pg0n8z1uajzocKx20nGKV4uA22TV
sZM+lGl5tCq3PzETQBPiyClILFG/YTJfLoow3BVtcg0bnkU1eG8XYzF6pXpdu2O+xdGd7mGaI+uA
dLkuzFpvR4APSIWB5ZgrHbGXjR0zf+SYHpDKO9m04eaotuwkzRN+g28N13in2wh7UDIy2sMyrq+c
WxJglj0f0RNgHvaj6WXooukKhBr+V6+WJySW+QYhOiMp3yqfaoqLp7GbxSYi6OEnhD5CF+N+Gk5T
QSZ57FvqjzvZ4dvQZjhUFppSJtJhnfHmL6QVJtL/ARZiDnRSMTWIK4PAWUGkdynjQzrK6lDEnni0
Eje52nhNgPnEJIj5o93dmA3EXznWE3Dmmrgpm0EkcgfLPc1u64BGGyfOs6VlajjJExQ4H6AgMF10
Wwn7BOn4X3XoO0cKleiLISE1RHofRdl1+pjQhBc0Aj1pht37fRT0w4RbQKhYZXY/F2Tgb0w3kp/o
05YHZhv2JvJDY7M0fvodG1h0iKVlcxBW+Qso6XjDWoD2/o6xsn3tPUsTSm3c12QcEkL/NESsz2E/
Q2rv4jT7U1n28FxyvbKYmcOH2q8lMEKdF/uiS3GtpWF47Avb3hJ2zVYBwpl5y/MZ+1lTuxdWVvlG
VaonmGJ02gc2Bs5z0dOA41fJnrPK+EzbBgxww/3Z5+GRQDAsR7ZsHqJ6sn7JcmCsmPHOrErSkbgT
EwNhUFMgsVnEAfQuBE7XIAFzYV28EmPfBFjd9XZpGGTo1Cc3whfWH5Gq8IRCR5fgIgjnw4TSxzeX
4mDLMg6yesV7ODZ1wWNLq0/rzLSAbZR4Gqs2fEp9v9rAztIvZZg8c7tS80h6aa5fe98UnscuLc5O
bZZPr+4YYwXrAMs7Rt6xs6asDaiRsx9+qkF51kYYvw/QpdI7HGFk7MB8e0FXwxGVGNnWM23n1Ap3
+VXqxN2pmO1di8B/7dNyrv2UXEq2O/Mz07Buj53tru67z9612bd/ENfMa1VF8nmpreWAl4cwEDG3
K5ou/6iz0WWmwSaGV7XGJ1KMjE9aLJzsVclQQ5aX8FiywS6m65B0j4RDdijjumHb44zcoiaj5owS
Y1eyunluB5LooqGVe9MhZnPdKmuUNJXEty2GS4Zks5SvWczPANOIvU1ytzpUwxhem7RvHsCeZKTx
8e+PMEkxy/dI0mD6+M2BY1yGcCat1s0NZaxknnMG/QtasTRNRT6DgRqlRebJndNShaANw/xnTpg7
KxQkw69uzv5Dor66DWWYfmR+O1ylzdKFOS1iWKInck4kDIb/X+Tyu+/q+qv4bv/b3bz9VcGfQfHR
/Y9//CUu4L95u4Nf3a9/+AUFU9LNj3De5qfvts/5o/xF0Xd1/53/1S/+0/d/SQjvmDbcif9YCb8H
h/8V/8r/r1r4f/vDf7NR+/9qmkraHtkq97iru0x+/G67//7PnsRgjTwe55LtWETQ8ZV/t1Hb/yoY
JRN1hUZcCAzV/8tGjcPaZi4O19C1JBwCvvTvP4bbvyE8/jMftfg/wklMD02hxQvElBhFq3NPhvk7
GbqAIqRHdZehgtUjjLVFQ976oN+0MddfWDPw7ZgxnPdaqp1rjIy3nbALvDEND6wxxG/8bOUe95UI
kHU99AX8PYcD8oP1L7PYxdWU0l1Wf9WdqVd+W7frfJyjK0P66UndcVJVX5K/S23W/AZ+P++muPWe
tCGTcROb2vkKmbRDsXXceDsYxXb2+wu71pwGhglAP7rdoV4i1inom2bAKdtE+4hX0Q5oP+rfWRz6
vzOSY22spGQVN0bYb+3SgvWYp/n0O0qc8ANZan9c4OIFEqjnbkGis+dmmnfc4+WunWoyb0XOyCpR
D+jXx83MgnlfxWBs6rnHg1gDsEz6drmNcPY2fjrFFrwdd2beVZJOsYSJfh1QO3wnQEEunWnYx1r1
L0tr+j/oMNXN9mqIaEIOCT/VKsTUlNCqse1qGm8Dyh8d5FykAyO5eVp3lcjeQXeYR5zc3bHMxBdw
HNSmWZKck5hlXuIpQjToeymgWqZsYPPkKsq8BGEcAnI4XOpUJ61zjqhyPolGYXU9tdL4Q1Bodynw
9r1XWLQufOB8n7IbVmHN4ESazpVAKaTdnpIES+OA28DO+zM5Gao1N2YCnw9DcawzINENBqKxGBEi
LWCRsViLECSX6/CDMspnpxDpNmfIgCClN99ZUDCMdPN67zOZC3SfWXf/ebvXIqmD0fb51qO7Ninq
5GoY5ACIFpgeoJ7wTeE1DSTFN2UgDLehxc7VLbH9c8KMvO+FQtXteMVdAs7EsVGE0LPmZkAroBF7
YUuf6kHYxVy4KWT8LfiRYGEstbxa1pAeegpAPnTzrEljPI/V4v9GYRK9ToC++tVoF28ziPajipH8
jYh0WXGTwoD1G+7rqE3x2Na2WVLHEbHsVg7DcqfpNVG57QMBJMba6iO97XUqrouNECgd3ekaTzn0
blfw1Cagn15zzxd1gFdi2RoFPzM/tczAaErSY4G/ngyl9BOiOu9Eja628whw2Z7S37Vz1ye1zU6T
HvSWaUpMHI7DqjGik2zmNBgluFtGxOWrhavjGvPdgTUk+31jhrT2UGPT6ErPHd3sxXLAFNhsRWZr
oVEtR3horU2aAjx7wPd00ZDaZPmllqz117406j3OAWdLy61YONwBXtVXa00IhcJ0bZhjAOPP2DbV
eCkG1uiqRtHom+5LDCmawHuB5Dl1gbnErvH/sN/Y/3veFacetTPntCWxAjmKo/fvTz3kstDsW44D
XLUiXg2yWijYkVhD81SlPuN1FesROqrdlu85A8aY4JymuTqMhxiGEIR66pZh/BMWcU+Wa5mf/OEu
MU1g2p+ryC7fqzpvtq03JvaGBZxTbLquQa+DVTJ7IvqZ9zn76922mZrC++S9cA/t/VwYIVginBps
p9wwA84+/u6a+tsN8E9lX9yza7uWW+bO7fgHuIxlC6htvoODh8g2KB7/+L3PRgdRI4tI7ZDRs5+T
4Fpk9rOhpg/zPuklXLhfS4wpZ6/psSMYfMbocSfN09Bo1jZGJBtrI5eYWh3I/oSX845wTvPhm6Xb
nXI1zQevHvcOFsjaXuppLfrmQ7XdtqIV2xF/fRS5UISoJl91PVXYVqwCRYpi+WCSdJHPeX/XFMdH
QVlKDZgNjF4bzDnl0NguiTxmxwI6I1V0RHE6uIgWpD8VLNZG/6NSWfkxD+ZwR8SXn6Kw+6uM5vqa
R0gq4tEqdlU3eu8V7N6DW9jhbS6S4Ylfettm6RNI6DZa3oEIGN/v1GYpSEsYySPdVe5onwUT5kNE
6I+xGrGObCNSgZ/n3CAgdlyids0/e4TEkcXbjJizXTNCkcq4ZDe5nfUdd1CP77kNm7dOYCCKaETe
8Lr6xPOUzh8XOmeQdFl2ojslMV3L9IR7OXLXPQHPb0YnxYO/KOPZbkfBwMiPuFuUWX2j3J7eiPBw
36RXlTccOM1NseM4mkth7W3Lic9hbTYQtJ1Dwe6oG2IV4LTomBsQ7sCM2YIUMY7j4zQW2ZXtSV8T
PESKTewg5chnwhegYTTPvcj9Ne57HJ/4rj4dbYcvVeiQgxvmr3GXIr3vFskKhGST4qMw9XhZbMHS
u+lQBcbtdCoj5Z4L9rNbHKTJ2ZN4npgiKHvbEASGXKlQ8dpsBn0mwCt8aI1RP7oem4LdZEUzwQEu
kCfHLjdNM/aMLZfs1o9xdXGnpQtieoNVEdn6yOySBev9FMnrkHLFO6DqYF9DvrrAcoW7th5z6NTR
fJlaF/6n8oBRc02siXJBlsyZFbmcXuH9HLMjK6YlMIw/6n7CAT2jCG/wjo2NWDn0C6uSnOrd8tfB
2P91SHJSOOhXODmb+xmqmphzJk/EwkEQmx0tJ+ctIe/l63Q/gxvhTMdyrDhztWCTQBI1Erxx5kTH
jPg0EDNzWkyr/5C02kGVe5AKjUZsi78uhvR+RzCrtYH5Wezd6Hamax1libH3ICUk9Iz3K8j0Ne2G
b8wdEA2r9l5ms5IPhMs5YcC+y/8NPAL7i6qsTO5aU8FhHbTetvd7smcfHaR/3aCljtTnqFPJVcEz
bXNPJfpEYww1TaNY21ew03ch6+wkaP660hez5YNl0R4HrOMGxK61x66s5SPy/qoa5nsBYVBJLPeS
Qv1VXGTuiOym9yQIcOoOk/Ix9ON6jSEILUOYK0ViTD+ditxC/Oob0yEEdUUOVFHsNKVPMKgiPaR9
L7pVr2Kcb4PvrMupAv2J5RmMs2jTg91V3SWNCvGD+HHn2rVSPYFaDgty4OMW1mnjf9eLFrcJuMXX
kPfDLWnn5JVEiu4ZZOnUBhEcyEMXYYZjKWaA3DWdBNe1PyKdQNl2dQ273zfIFC/UdGSIjI6g5eWG
krdi1jGYXl1cu56UkJUeveZzaoZ309VYBJVxJzywzkPDpaydwk7+4kV84yldw6ExiLVfxeRCvkS+
YmOiWwj8duYYN7lU9sFj8fZcpJV7m3wl14nH1YUBu3rRNMFwgk38PLaRIDUl8bpkfzco9PuWBpzn
T2l7cQls2biI+pB7JuYnrrX+y65K0rI74q5YovKibcdxQbTogn1gEYs28scMymVHKg5vcc745YjG
B/BCo4yjXw/jHtncdEw9SBQrBy99oGs3ekzQhP+0JnVbom56geNMJmNlMB9k6HBkXsXScwQZ+BjP
IvtIbQRKi8kMbGU3RfcZAVX40H3XbkzPgWVXZeGO3/JpJsDZ+RfJTVeU7klon4ff8Lr8noGXPBoQ
y4iHIS1nhRKArDqMGc7tbuMjZ6sE6AlcHs0eGqvl2xQGEBDSdxjRUQAYgTbJ+VRJV2+kLcz3qs2c
4zC3PfZWOACRBVaFeI+UP+wtB0/EjN3G+/JOUbBv0ALgkvTdIxDGP8Thfc6EqO24wMia9cOqPKAe
U7zt/5O7M9uNG8uy9qv0Vd/RIA95OKDvIhhzhMawLOmGkCfO88yn74+yM0uSs2Tkj/obXQ0UEpV2
SozgdM7ee61v4VhbZFHp3zAUHje8edhYe7F6F6EZQz6d3mlGIe6NUiO6rk2KTxgFok8gVatvMc+7
6ygRuq9meswc9U430fMDjJLmjhDwkzD7ywhvMpt+3Hwtor0VA8EJuHoS1PlKxaKoA1LBG3uoYALs
bEL1lqqHLQ24hb6dmiJaaUxRHkKF+xSjmDgMvdK6pBF5X0QVGhvftKMe1eO8rZ8ykpb6oZ2WQ2B8
bdvA2zh4kNcmXqwj7OnwUIyCoK82U/IbelrijDKmHpbEfzTfOtJkcLbGtX3Myoy3Tefr0S3DCuTg
0zwiiBgCry3Ut7B/YBrRa8JDqniSuGbitkx+K4rkJOzwZ1lFtSdtCxuBXfPdu2QOD7EJnUIVPWtc
AE8xJU5WBuXIZWzWwRZv4LRCsltvCm8aKJx0nT4WoJPBcQT9a45PMoZ1n7ITDLHbjc4Jt+m4lgXT
dV1rrcegDLUNomiiIDHItPiuRp7aalShS2ZBRAxQXtNfrx/AVJ0mS/0+9y9WneZpT02nWJegy1ge
i3NNmwg2BU2lG4F3MGUwQNBEBFxpoQf2XdpkbKpb1nbIexo406rfECOKRyPQh406e3RQOKh3NJIR
qNNjIteyYpIcAsVAXyWK68LyUoFexuH+TjK7OdOemM5m0YJEJzewxZCJ6CwOAGjlfOcrkgbECc4z
Xo1ZQABLSTBMDhvTRWliZxtilpVbyVJ9pWtZ/92IP3s148q+GBim+VNgonAbjW0VxmyLlOyUIn8y
1BIDVp3gb8uSaIMJouQtQsyTHGrFTeVXzFNJtIaAChRIGRn39I6luQVwrqaHp8KG8NAIml5qe2/H
j/l0Mwa4KvGJL8pMRN8j6V/EcZqt7apQry3plQ/cXyxeEJYu+8nyD0mQFfeoHHsmPQldCIZRCpN7
nuiHSdaQdlNHf/DUWH4yISotG7U2djW8mD0rQXA0E09Z2kE0k0gT1PZKzaYi8ndNFcHZsELko0Mb
XIdRYd7gCxhn5/7EgMZPyao3vOUUETdgZbFMUCzT1WY9tYZ72svEb2Q0pJe5KoItPokUT8xI6hBz
QEwFznBLdFCxAdmPIYvMiPWAxnNrzBEIYcBOdky8cdWF2rBlD6kyYc2JhGTuqnpXMsmKHfb1Yc1U
yljFqHs/ViE7P8QlEklAi03cqJytnySEx+QhMQSISrAKER7hln46rbqiie7LbpxRYoNPfFSYYvLl
JQphW5nW3bzg0mCHSqXFHxNlLPaxUbeb2CvYkMVoFhDqU/MDITzDEq9XU1vk+4h3BiO2EWG6DHNL
LJtE6c0lPmeewJhwQJ5+5FAYPXmy+Cg5gSQpP9E1Ka5yDyQ44HGiZqG+fSn8TN8GMW8IT09rt27M
kUclJNAVESkbhqxaaHaMMyzKeZv1PZnLfoxxo43hpGmed8qYqWdO8FnSmIniObyHnwi8Q5VCXRLx
oK/aPLgHP2UsA6vHOSmncU+HL8Nx7NxQly+FAxo9FkBjF6bipadg1i2mfWe59AmmVThIrIIIdKjN
7Tg5BLa0OAWetuurXPs6tR0obFFn3wMPkrPZ2+HO1kdlSUtdKxa6By4uQ/HzVSR5/EBwZZWgvRTe
DRoi58TcN7miViHZAUUGeHqTzpI0a/0uYua6RANZPKTmLDwrkvwQzWB7fCZwqFHPb3GNJBujq8pj
xuhnW+NtKxggMgO3mDoYzsRgONI2PGH6x4Zy7apRGD5lnVWtwpTeRwAHUFN9HcpcfMiF3A/1drQ5
n4SQPtQlqPgysG9IN3IgxVjRnakmxq6Mk+RohbUNU1qRWI2R6RB32f6Ol/tXpTAzPxtsGqhV1Zk5
yC+an32UCc8zdMbX4GRX0ojML5XfoT4qZWY7TJ6of9F1+Wc8yUiKKzhLpNUFhcIkPB4/z76hapUY
MliNYTQB2Zn7lfR0cAC0jtpi0wkmQyGnY+5wqiZ5BXhKaBCOuWnvQ5mjRq6pEJUfEN1/NfP036kf
r2ogVAwYKv+8Jb8MnrKvof9UBa+Ypn/+5M9+vPnBtlU6IIib5nb8HP39sx8PnEaD76aa9pwtPyNo
/mjHqx8seuQz+9fWSVaZWyo/qaa042eijGODcMEmr4Lq/RvteG2+4V6Ct9UZCYOe0OFT0J8Sb3oz
SOsgzKXRuDEZyX1M0YfelxauNVsQArCInGp4aBT1M/ar6ptd6dljj1IKsylthRU5HfnK6hCWWVJx
7pHd5PsuhXqgERLwlS5C++n/y9jnhJIir/PvzetBz/Np+scU6N/pZpQg3N67E/dPadr+x38+pcV/
/cfhqQ7SsHp1S/74+T/vR4tZqcFmWwO0zgjmz/tR/wAvl1vO4l6QP+7UP25I+UHTwWTbFrMgRzyP
jv64IcUHYZmo8Q3N0FXQH9rfuSEN8zWPWwHgBM6LO3J+db54NWai9bWWiQYYB7huyD17pqTo7NEV
hN1FYcQEvcz2ZyKmFea+i7Y24hV+kPIwErS+y32/XMMfkRdmhoSTIBfLTZAkbJPZjq00Hs3SQvE1
DF2YglyqFnxanl4vyrwZdyk4pUVSB+MnFFD1xqJjsqpLNdjCaysvUS7Hn3xCn8HP4mZJ58173ybx
wfGR6WdTz4543uSnWVDt6e1hXcGB+mTPxYAVIsp1vecaoZ7LBXsuHOK5hOjQ0y/y57qin0uM/Lna
sGzNPk6tDwQUvGfzzX+uTGiRi3MzlyvNWJJYUJZdSCKBLY6FGJS1Z+feZqTWgSg/4b0lBZBIBrJ0
8jk1A1svDtV8LpUQrxFvOpdPZdQVLmqr6QGUIeHYU6Nvtbngiq1ghAcFqvlQ+7XHNPxHidbyooDi
liJIJtVgEeBoXuRK7x1kZBWfjZig9qYuFNf2FW0ZPReEc2mYR1n8iaZb8ckPgYGocwlpUZ9aS1UG
MDXnUnOiPdagyQyrL63eenu9BRq0oSaL1QW9a7nrMZHnC8T4yllRUms4TYbF5G5qE+c704Fpm0BD
njfQSnUwSfh5UoowRkVldM5SSZtmFaqJ6pIix28JC3xXy1avmhUQU4UUFl0Q+m5q7pTgigNwobq6
KZD94H0RN8xEUlSOXAVXVHpxF4dwjRe2Uxb+RzrVNsLUjvAfqDg1XvVETVPkibHtX86w/52TlsGV
FNQ5WlHNYUdF3gtOW0V0b9kG45Xne7jFaWavDH6luKr4iE8tBlY63gq05WzELYXVsBnY3PekSoIj
FtAh0moXELG4TgPN+z4WJp+phicMoFVD/AdjBqPByutLcWOZtffE5iAmq8pT+AfxjjSZQ0nUnTM6
VIUlPhEPO5ur0qG9JsQYchE2UYSp7YRcTgBfvQmNhMjiEmHr4OUF88gQf7fMNdo4SVU17Jv6iRIX
mk+LCorckq80MseniWbKR53DSjdXNP27SpOKRxpFOxLlKa1xUeo2kRZ6WJM4R6Jc0zGcyWzdTdg+
2ws7EYR6DR14B2KvOm8tFMs2rsjvRvrMLtHHnhoNRJOUQRsQokUNc6uHVtwv9EJBYtLIOhOrSCvt
2VLaqt/6scx3CtLMOTxn8vHP+Zk10zI9uddGy6/paDrOTTIMX4RK85q0b/nFIKlnqzLruxl8ybCm
Rf8wwVW54qTQ4tPsYrgblMh/YmuHM9JER1aMXkOTFUUbhLTGubTIl2NAWqd814lgmnkvznUagO4e
qKnY5pHBHXYzCactVj2DgTn6iHmJKABRd1B5KkGb1B0apbmjsAs+EwfUf/Y9FMlm6Y0XZCn3V2FW
K/tmlOkVdiiAj36lkMNjaKPxqGAPoaVk6fj+0knNjwkXCWJWjmHRi9D4BSpK10iD+Wk45E3OCcgZ
FlKUZBmYIvyFIQqjI3Ja+WgbPlLabG7qwYdhUNt4TBkKi3cP/M24I6ZIA3nbUZHsQILle0DIBS5k
tq+h21jCO0aRNWxHE7BBUNG0R1pue0dJ4iDzUkVFm11WVg1OiOCVJ4afzkdTb3FU1bVzk0/J9Uim
59IfBvLxDDtbSwV/9mKQbXE2Zecc0oIMat8wwi+5CIx9S3VEi6lVN/o8IurQYq4kwUXMgfJ4K0JF
ugkilhVOld7lUa9WJOHBtQL94JaNoexN7OIPiV8ntGuwnWwk82FAzEl4ofDeO6WqqV06tVLROPY6
FyNNfSN5z1+VfgcipMpxXXVtTEx5HxhXZmvEZ61Wgm+aRY0H/5wk99YWzmFCprhVHVIkMEv3wJV8
ZU8TEZplL7KcvgTCALfo0+jky7SPV2Cjps++gp0/itPwJqWQ2kGpvUaXjeebtyU0cydyxAPrtnPI
q5jmkZSjeT2pTKxh0vQoCx01RexWjxkyoWag15cH36Mo9m9oAnhnUQBx5+mgaQi+kIZPXeELhUb6
1GM2/0QtXLmgRCHrhEDADKOBeU7+mbLOTAt9QQgz6DoddIsI6MmESDD1x65SDNjsCPwWQPG8ve+j
bp5Uvwf3GoZrP5j0XaN0aMel1jRrS4mSG0km4yoMPVQOUxFU3+jFhkSVWt30hBtWY/weT6oAI5fL
ZaQPwzEA+7b0Rw9SiWobx8lOuwdR+9GakSOUVVaxTeek+fyOtwMiiD0vXmqakaEk0IuLyTaRiE5O
Kb7phKjB/eT1G9cjUyfVJu++bO36izch+tSmTKy7vlT2kz2131Ia6LOLuruFp4YTzTJkvNHpoO8R
b8ZPKMOQrWeO8C/9OFAZ/YC4WSPz05ezAX3XtobBalBY7cHqNe3QpQytHUVtN9Aewg1mBt50Cj+z
CzWfuW/pDVcRqWkbDGvRvjbtkrPZlB+9PgNrwXKC8WrEoD7k9U0vK2b5tmed68iBe9P1tFUBWRA2
3IQHPPYXqEuyXd0pGD2mGmWFFZnW0WFd/fw/u41/peb63yHfEqauUTr981rxqv3afgm+VdX4cmP+
88d+bMxtNtLMyQ3uQMl2k6Xiz405wi321gCVkWCRWTb/zc+NuUYNacy0UoEa2wEvwm7+58ZcIxpD
wP5ydJ1SlhLgb23MZ4HCy0LRNHUWVlO1dAJ/+L8zXfTF9lwWzqi2RVuuWMofPHr4iNEx4vgtqbRz
omP83NBzrGOR6V9enKm/UBCgPXv30G8qAxFpZECodbkiO6Nd+AGm/AA3fBF7n/tSsxfvH03M3+Tl
N7WEaqHGoiZXTSpiMZfML74pSILIbAxa6l3EkMUvvQYpqMVe2Rbxeqxp1vpRtOFKlytiigG9W52F
PROOfWe297wuMJ5P/h1TgquxsU4Siz2QQrloVO9TOceCxCUMZHx2B40G1+r9T6/9xccn8YSBJa9X
Kbih3ihNRJXWFvQrmDNxk28tXWeunzfAIkrg2hRCk0QkNNK1j/Xhymmj8Nbw5KUYStVFr0oIdFve
x5Pp47NTCVjMjhBfNiKPP/tWR+ZpGu6aksJi6PlvRdqzDZjfiMSzbrACZuXSHsudXwr1rBCZWM1O
sy2TNXcEDmFN1yNQxojBRSeDG0PiQRn7zzU79bgPVl2bulhhmqUfxteUCDdFMt4a5VeC16hmhsXj
EA7TBhjQ6DZ6ap3yyoHTqpH/4Nhtu0O2g3Sunqf1Nl9moCNrVJq+Qfrhn81Yvc6UBLmYw5ExUyRH
AiPGJyzUoKHRz6ECbKqDQKGHuShTLWRMTuUaWhteAtNkD5X05VaFE7Bmdje4yMCcvUH1c7RtAu8M
J6rxQXgGr9Q62zd1bj/qKkJdPwvzS5tNKP25AvUWkIfHIfZAtvSB+FzICU1+26j7Tjv0IugvenWa
O3d2Xa8hpeVraYppn7UcQsUjhzRCWyuIrr+GYURrCgYNMRcOO/SyX6O9uVZqzGz5GJDDnTywsu1L
tk40GPGMcWlkPVZbjUiPZQG2YNunXuQmaV2e6FKthjY/WwnX+/0bUvACevU42czKDd4e5GtZAv/W
GwCy4+N7KppRW7VJkiE2YVKM/a5sIFxlmLU3Jq+uM9bH4QiiTHkMPAn/vrCxu3hhmR9tS//IPGaG
52WHvm3tbwPW3ls9VpMNGQT10nRm75yex59o7rYnC8zb9+ev8K/ubv7fazshEebl988XteNTXAdP
X/tv34qXq9osLebnfrabjA+8o9hfWiyRc5+Tt/fP9qdAqKzNbUdb2j+bnH+satoHS5UguHVasGAO
DH7dz1XN/iBMTSOKiTYUWT0IlP5Ou+mNLs90WDktzPu0UU3yUqGEv37ZkzrsBbQ1EUr2YCXTekN9
mhz9tHrEu81Tb6mkv7DQRSRUexh8GFSodwgv1WNed/d6Hz20RQXWfpplxF275d14RbQm8xdTm5N6
yEgui9pYVjK5b+zZX+bE9xhcXKcb9ySbUcq3MzQQxpDoo8sXV+O3C+fzl6N9rEkVLxed5rmb/Wol
U5MA9EVuuEMauRo26dj7jmfqSjV/l6L3eomGc82VlCbGa43/GfQWXx/JVyrN6pDOubVGgwW7BljR
49jkrkY7+P0vpf+yEzHm0oHhnKnPQWFvXygUjX2qsON2gTx+sbzSQgWafWqgQmCb0nZel/vLxOxi
bOxwo60OzicLPbZm0Nckb/RQbNtiY4TWA//VOcvSkyLF5EpZ3ftKf8hN60kEriELE3F2/rka0hEf
Gx3HISuPo+GzgUcqTnqwSlnb1jsd2c6SONhhRQAzYGBvfDK76aEsw0e9tCj/Y1Uu3z8H2ts9Cl8e
PAT7RBOqr9Tetu09UJLdCI0Rw6G9CRh8aulQLosACz2NQCe/L1KTyghkWYBeYA4QMbr0a0LN+f4H
eT7Qy82SaVga+k6d3DZD2Pa8CX55i43BMPipzzwqaagYgJ1Q9SvWve3X1IVa8iVp44OBARUp9KFq
p3MO9xDAl7WhPZNA2hXXelvdzgKTQZYb2gpPU+Q/pqO2nhJ585sPOwd5vvywlsmkhedAsI1l5KG/
uUszOGRKTGrSSlWJUpbMMC21Pxudelsq5on247kmUjxyzC3u4U1YqndEb2GWMpDy01OuJrSfGgAF
Ro/LKQlAhCDALirjNzvQX64un9MBZ8ZEnEcJJ8ebLZz0SwuovqW4XZjcFnZUrim2e/SDw2UvW6Jq
asT+UY9Hi43qIq6mx66cwPni8Mfm/P5Jm8/Jm3P28rPYb8JRVbPQksRKPNcDkjxA/Y8dDWyNvmDI
yW7rd4d7fie9PZ6pcjcZXCm24m9uKEv3CPBBfe5C54fTBbZ5YTfAJtKeu8K4JeoaWC9J726XK5hQ
Uyu8MgPQs2rwaI1M6qMIfb3fp2RdO9n97In3a2eNn/s8QZw4sEkEAUoMCDrL8NohcMttMLkr+nSk
CQJD1qQdCzAbaE8nFoCCtRV8uANDNHofGdw+wyiPSan4a4/afVE4mBMbG05WLukBS4LDsYD7+qrR
p6v3L8TrVywzEW4KUzBgYa2CVcy69/pJ09UEOAsXgu79ajJ8LPgXQ2S7cXp6/0Di18eEARBzHhoj
HIi4iNdHkhMum8zjmdYjCyJD/C2TGgoOu8A85+it69TBp2jo2ZpPu6Ydb/RRPHh2OneUvMfKI8lL
1kRNT4tMjbdVwtyiqU5Dnmze/5zGr7fm68/5pi5UPYdYnKKMUUGZMxYe/qpFclqU3nss0AsLUY2L
eChE7BOAzxqyUzWAVbAL0PETDIi8n5QL/HLKahhKfUuHpTtVdZUC+uvjLQN5b+OXprGf6OfeEYCV
z9vWiy7HgWAULeyABvyYwmiFW40DgypjejCNZLaVBiEGPdEF5DbDAhZNSzMv/zQ00ZMXzP6koh8f
wS7ekS9vumTNdt9Tet90g31i6dvSPxClOK3jILl7/5z9ehOx26GXwNaKaR0ryOtLGzcO2w09c1xf
etgs4Fg23TLUCQcuxPr9Qz1nxr5+kp/3HOSNCOxmhOu+PtYQqSC29dxxQTvp+7adPuEV0Q9FRdAW
qngDGBjxdNl4qv3vvoXMIyfLeiEcFti+gS8zjZrJRZHVleaMv/lw87HffDZdlzy1TDJ5mt5u+5Ko
01KJLcSN0mQ/kvsklcNUfvzNGXi7U5nNdKoz9xM4hkYP5vUZqETst52Z+MwfgpntSccbNpDrSRxf
YQC6Gzh97xfFU1LKj1E/XkuQbcx/UGQZWQuKJC3og4fZyqqHKyYbwTFRiJqvPMv4zYbirz6pSUCO
nG8LhpNvXi4Nrd4E7LLn2mbOWyVkOAklEa1YgMQEvoMZWGtV9Q420ub3T9LcTXl1JTBuCQaSlHms
ynQ6X58jJNPNlPu55yJauvN6i1cMrUsnB98ubjDVLsO0/M0hfxE9WBzTRN9hGg4rrC7fXBcnHQGo
xhJXU+ltUoEdFz35sC8MS3dFyNY+pZcXdx9BTD1FofkkJhEsPeVzg790GSh5fmEP2feI8Z6WW8sw
Or9/SoxfXsC2YDPtsMGdjZc8Ra/PyaCUGrK7RsHi3bp02Dee9NZexOOCfRcCQjxhRuQm6geBwDDY
t5P5WOcV8Qam91AhHl+g6rsRffc9CoJ1CmXV7/IS8Fd4hV1wUyDQW8gcfWCRfzFZb0mO8dcdgwRw
ZPFmKox+TxhZuUjRmo9DW65jWX8bU/XcjsYD7A6XacG6q0ij97Emdjp8tffPgDWv8q/uCluYlC2I
UyTPDs3N12cgC1F12lpguXVnnUUqr+m1b60MMmRRDAlycVILaxmcCvKDlprHn+RggUjHqVeNX980
VX9jYGFeqkTVL8PYwJldscBbJNoSA2chAXdTh+GjpldHv26ahTPy8i57f131pjYblCBGGr3LXOAJ
b0AGAcK+7XSSZEV40nzdjRPk8ETZdhGRlL2KvH5qp6/BPFNvRXlRtaHb8UE1NSVodjgOUXSME/pc
aGGfuqZxFV33gSj1m6YxT8ScbkpqkNUAvm0BvH6Coc1QGvYGvFnyMsDUIRtMB3fU4mEdGPWSjBWF
sYyG6K/4AsfxMk9I9CGmt/n2m0vxy5XQ2S7zaFLazaqRN2+G1sy8zCLBEy7usgRea227fFui64dM
8nykf3Wb5d9Jt/MsBZsL2H/eQzl983F1P41Przoof/7gjyaKIz5YUsVLLWl96C893bbzgRa/afKQ
0An78Tc/myjC/EAhPy/1FmIxi5LizyaKkB9UoeJE5D3DK9+iXv8bIjKqvdc3if3cxKFfTt8HmZs1
t2teVoFEJjS2hNmzrZzK8LfEK5socPWJ4gkhTPCVGSKMC5N57Y6stvaWgbSN0wMI0bSGoAGbh8Tp
XdaYZuwWZsy2Kg3prS5l3wzlhrmm/tEhYeHk9WT/pIoimysd0K++tDCaQLoxjMjZ1jlOvI062iXI
ciUfdmPNJk9Kn2gk22v8c03nVl2AJIAx2GrK2dHa8mC3VntfMBbG+WA7K01NIO9n9o06VTzCunox
jjnplHFRMuOou+oLLg64RRFxCdQIhu8f1ah2CKEl5fEoA7xNbm/MSYhtAlJ8At5htVV6WYpQbD1p
g2CQk74lEDbcCqN0wLuMAyyXhKlsT7jG2c4de9NDMTkVBCMtozHtgIeQB6NX7AaIP8xmf+pSdCjo
77rc7tsb0toKawG68UZzlMKmmcQsll0nYYVHAdfX34Nn667peSND9rPc8I9liHOOhlYHlGfoE5/A
cqJmeLFr3lC45I1l9mLMI2gUvjZi9EnQKmjXE8Om8bLCT5ddawZ50IxtSw9+HNFZM83YhoMBtc2M
9l4H5M3NI09jtN2aclrrXZDcd4ko5bWdVo1Ya5Nt2+RoCQPHLQIrGClTDVnMM+sOAZYafFXzwreW
KeS7TQZJ8k56PS155qr+mjDH744zHFoaQVciQwZF9EoRLwjJ3SoDZnKLpEnkY95VP0CbN8se+3Uz
pM5Jr3qyicsQuAzxCoh/00WeeNGAAlftN7WR1V91qMvbXChBuAm7KdTcJCcpIjYL+yyJiGKkbOXM
INKwsW+JrBmPvRfSm4dq44Z1k9w28ViCMnIYvudZAM8VAYRqZak7h1OvyCfZt9XoYCjVprOXhdq6
K3O5B0dJmwFkYJhp6qWP/YE0ifp2NKJwGWhmfYl4zYP30/uoWvSWTJ+kQqOU5wE9ppIUcn+DGis5
0oW3XX5X5Y5pkh4rbP7xQouM8MzdCngIizLrooBQuhidMNrB8uhhFHsgilFdQaT0253f9THBXF73
0HBtZ6K7BznFFwNQlbEHoruYlB4LLtHPC/hed0MYptflSDhgj5AJScF0Bzsg/CqF0q8qcEuAaHxk
dUEbcd5ntWnklw8WOby7RJlaWi/jt7xtMXrhy0lXNvTBbaxEEbAaS4nvC4T4t33O4oe+ObYei7HR
MF+lprHrk05ZD8PAPkkUOJ8V0a5kRyiXWuL8nRw8ltVAzEaq6TCuqEmWRuUnW9x7ezXFYiT7dDix
FWnv4Vai+QBMf+U7OszHAlQTRDjn0tdL78lguNP82HT/qxe8/3NzBV1lFPTemngb4sROXy6IP3/k
56Dc/uAIG7oJFcMsU53rqh8jBdv+ME8U6BpRbz3/+R9roc0Ugj9wSAHV5Dxe/8daaH1gcyNUWuQG
S+w8XP8ba6H2upJikTV0PhUlFN07Gijyzc4VJKaa9dg8tgYg8j2OkZi0oPBkIMHcWwPEw4D9OWmG
mN6w2w0fwz7299g94K6rTeBqkNYWqejsL1FQa67XFNZNlrZQ/5QCToZFyNeLM3v1Y0/90p7/uv76
9fO+qb/Q6JlNSBLA1glh9I0GsPsC6CCFueeqBRZYweN8olHm/aZ9w97x1a7h10O/6d8UppEWVQEN
M/TrcDHRHcEqVdprDPz5iriS3J2cRFm0GgQL6NmXQ8c73Syd1MXpxXy6kNV2nDKJnBJKTO6UoIGr
4BIuDsPggrNn6sNlonv+yaNNhR01h0ZRZeq2Rs9YoHmtkvBjHKmSF2qpMDgtElYOPMwj/iWS1K7y
IMV23qQtW3/VP8a1ZS/gToWrpBDpPnXU/CQJfz9VSIAfgrZvXE0p8iPYR7ECgFiuq6JZqdmXEQIr
0dr+RmmAaKH5ApUIePqj0bNLsTqqgERPbPLt/XAdWe2XqHJqSpJcsDMJJciwjBRBxqYzjaTEzR9I
3rQi+ihN77Id++syKqpd3bt9otwbdeYcmiRKCWN3PtWTUDaSxI9qNMjACUxxjCb/lKbEIrO46mRA
REAp23Cj9xBUOtt6atJucqE+ZbRior3esd6Jbrwc1ECuaxiKq5buL9FmerMvoCzSrvKEC4X9IofD
uh4qdVv5+TnBXY450XP9qoAeT5CP4i/zqNybsHUXvk4GGeqKwS0Iu1uHE+TTPLKNleihcxIABsMM
q/iKL8ZOKiyanaxM9ZGYDHaNfo/hHGnYuEWMcN23jr7nqSEWoT14o4P4whbdugiG89Ap3fWQDg3z
LwOnuNmuqemKrRooZy0b+hUsDoeZEdckYBm9dFoat52uJ0cnmOUTkbaqbdPb2Zmpbpow8HYGktSl
TaLBChw9QXehKZfINedaT5/OylAiH/NXChEGyy5Id5NeoWMNwoSyjLt5kLqyZtKX4w53EKjG7Xjo
/UAl4KoJN2qXfjas7NyQnVKxcd+UYGCcwD6rquPWJpBxZLmkBveGXLBF3pp60y9j0riWmYWcFL4F
ylUivnqHCM7OIRaMqzmzkzamvCOMMF5W+mgvAskOVU/aCMeqYgNRiFBKACYtLRvuf9LfQDRSD4qP
Ds3sB3DBIDhRLTfWYcyL+DbSQZfCdtkMvQFTDn5hbA/KMh0DJgNtdGHaA21ztH1wL5F0N5FK0aqI
jdKjmsTUvDJMlIViQIacOgdfEnmS2jehzfCoHIdzM4D4LcAHNMFFV2oEnsrJ7cl2Guq7KSkvnwlu
ltre4ImyP1JnhGuqm1VGuFwcgvsx/QreJAHEaXZGj7kiRWZdBukXlG2rZqL3llhatyxFHSyhoFw4
oxlsNITrYVSCAnf2zDEvB8vfR14mTqlZKgLn6mitfc8keSbX8/ozwzjgxkhEbod6BFWQiBulhu0M
UJFIZKcbvnQoSxZqVhG7JwbdeQqSkH/na+3Q1SH1SxwD3krb6jSKi2SNE5SBZTDj40o92xKWmO1E
LGh1MM1xqzRmx+wRDpR0SE3npuqWzMNg1shXc8zaxxTxxJK3X38Y1b49V47NywLV6kLH5L7pA63e
MsEJwVRn1ozKH9SdU7bVTeml7VXfAsIJc0BHeN74DyMCmrpJD3A/VuoRYfFlMY77SujjChroecyi
Zh97mKLN2LhrxylYVQVJPFiM4bQK5Ez0w6sLEJYtSkmo6Y2RYFiskAlFMTIhxiXhzgegvYgUaD6K
H5I6onYeL7ta3qeZsre8ifddZCzTyY62WQ8hAPvJtK16BgrkZH8n8WKr4ljeSJOWhNLF8bZ2wgdd
qYyVEXrXQAcg7wce20JShxdxR7hAr0TaLmVHdzFVv5sq6uLXZcxGl0cfca7NKbZfF7/A67H11ZO2
5Qm2yDwzhILgC0y8PUMzoLwoblhq8W0zFexqM6W88OanKwBAfiAdsDzAvkW0U+f3Jr2+a5RQjhsH
1dx6RV1/Ia1pjhhSQzfqEn8bek22FcNQr9Ac8GLI1H1VYpu0Cv87mluaQoiPlmmVAorlcfObhM7D
n+2Jv9gwzM3Rf7TmnlftV1/3TUMIEBqS/FhqsJbANeKg0JfjiDkC6ev0Y4P8g6H3F4d6Pa34eShL
BVjHP8AtzH//Qomn9RhXm3iA691a3xsLfMIojUcd4aFbyeL+/e/1ixSEK4is9x9Hm5scL46mhBDN
BiBkW4AhoKOk/kkHtgSO1P+qhdXMYI0bYOxJgFxaTNtGGegWxwVBtqbfnJwI2wNX0q25NROzHNZR
3Tb71pu1vcSRuSFZNy45SaoLtUa6YgSbo0YUUEVcDWi7NX5bjmkbDjtZzSzU5bxkG6zd73/Pv7p+
tNylhv8LGaf1ZgSkkQKoga7XtrmTX+dhakLIwE0VBvI3B9Jet7F/XL6XR3qzFWbSDvRe+Pq281s0
7J7zTaPCXxDTk8MDNj+bFO6I9pGJO/NOoYCQ9RutyOu+1PMnYMdPmDA1r82lnR/dF5c0TmHXKKwj
W7OU/jI2PZW0IxGzdTOVq7BTZt5+ScPn/TP8V1/81WHf7KkFGOpKzdFXK4bkNVDN+UIgY/oK83ZY
qco+G4cLDyn9VTLvcqweVvH/w0fgItOQ02z8o2+NxomqDXWRhtoWNzVxMCyJoCNOSK28pddIhTLf
vJS2yn5TN/+bvfNYjmPJ0vSrlPU+ykKLRS86dUIkARIkQW7CCJII4aHcQ8fT9+d5a7qIJA2w24ux
WcyizKqKZIZyP37EL74S9eUbA7Y/bN3o1+tfRIkej0G4Qehvd0X/Fdeu6dRVsXNVSp9NbCRvgAx1
pXARk3hS0+MbWzawmIsQjNuVobo6NA+e0+Y3Fk2SVYa26fb1l/qHnfPiKhfP1DqmMxRwqJHjnazV
yAOuWu0AUwIz+vtX0o9i2qFHtfpb4GuivloW3zwsdDxXY2h9LvzoyL5944n+uFJ/vdBFzKP+6DsQ
ui67swl+ZmP3LocVvUfzGR2HuXc+iKSDnZ7o9FjqRNluuuYNvMEfSmbX1Pp4Z5p0RO3+cpfG6TTK
IMNwGlmG5rCManhobNc6ZtnkHBpn+lg3kTb2wlcjgzO5lgmiTIEsGPGXxjcjwG4FV05OB7KL6lok
5WdfOZiCZ/anXPn1GwWz8/tic00r8iLap/qOvYtlYFiDiMtFcWu006oZir2VmtkeWpK5Rnj6dor8
adv05qFv0wlgdEbbFgbcDpV10nevgqIHI2ajhupImhpv89pi+ElNg+PXDM5ZPjfNmBxNqaliCBSD
rJOrrET9YJhDZDkM1FqaBf8rhI/laih+MrK0aMvJEpzb4N60bfv+vBz/f6PqYW5+/ud/fPtRZijN
toxvv3e/dp30zIt5+C97Vwv//kvQVysL/+d//Ff141v5rfoHSgD/OEEne/qm/nFsC/5n+8df+tc8
x/kn2AvGJSjugsw0/w2KZdIDxscB4RgBlvYg+/6b6uH8k//HBrLAPCMwKTP+p4cFCQRVCfgfAZh/
ZAP8v0X1sF4em0yLTOQpuDMmfvDByfZebsgWzVy/zia1T8cSRJVXPlVNKLZMqxEMj/GqZq0/Exca
hvXiCboTJzjszrVEj23Oaof6tmo38TR6CCZmTCnYtL+85D9khheB63yLIWT1yANRjkwC3JYXJztt
Cc+0RIJGdglgy4DQjBS9dCg9o5tBym+uM538tt/gu96uhI8o1P/qBsDQ2LyqgDH1yxuwOdDDkRb8
/kzgZdQ1rEHKaSJ4vMXfzgZkhqhrH5ECpvg/5Bb38fotvDyO/noF4BlNy4WoYoZazfnX5KZ1M1sV
ZSH3+D7MK6Z8D33qnTL5FoL/ok/3fy7kcxmGe4g2XzwqDnJtxxRM7qua2W+XdNEu6BoER8toB4EY
HXM/rkmP6VwO4xhhimRWN8Zk33v0NW8QkjO2Du7A39rcYxow2eZ7R1CF632xj7xJHXssH/aqhM9v
NFRGQriovKNHhz3F0G2pbBa6TPadNACzpjEvcpb+F1CQR1O14QbXZkiEFcxmas8ZUsCS3s7xx2VE
izYtgZxaobdzp3E6Ta14tpxFbNuheKqMMtwUKobsF/2kW/PeWYLPr3+hl71V/eLYEmYINppeMAWM
/oK/pJ/BUplFkklkkpw4RHJn/oKE/wZxIxwEbRsT05T+UyCH6I3k6xKVy4URdgBSw0gYlAth5OWF
yyYKGhTk833Ypqgb0g48BuHSHWy7sZEAbVt0t5dhXSvbuy5nNnTV5s06CCs+KOpX2yJNdlAcI9Du
7CkkJMQmiml+1nKc90XOJES35wWZHOTq19/ZJV9E37tP7x6BQEgD1GMXy9rsI3eYg7TYR5ZdbaTh
eddJiuGnM8DKHvt6K1DU2yMuVJ6aKTwODpJFtNBRAmhXcekf/wpA7rSrvRsfRcJV2NJpiQweOph5
Gr9wMsx2l++v3/fv3xooOlAJZgs2Q4BLRFkHi9hUzDj3o6EAx7pEJbBhyOTrF638JoLu3yFG4Bb2
30p+9Srjyi6aHCbwAFgTFx+7t8uYJqjC6g4hanjGEW1DTeZ//fleZj1/XUUjw0h5eDgCzsslVRUN
RnGyKPbpHFT7QElxhZ7B0+sXCS+hT+eHgT6ABH1gUbXYF18fuY0gAEVT0N8unuMgRlfKbyOIhpXT
wqZlk0fGyNkChgZr8YVSziuerQR3mGbJ8Q/pU84dvMAtrfxQUumg7JCYh6JlkYt8tDGXMrI14+0H
w4eqC4DixFRTHTNk+TZi6vPVAP9/h6ASmhFUqjhqeHsTyYO1Z2Exl8kI5/eMv9amnnXDYAlqSI9g
BFp6RCLJRHteoKqB6wxXckJdIk8SpO0h/u4qVMhXadS4O9tuP02wQcimaYzFXf5ULtmTlzv3Jd65
VzFmGivXyZ+RD6gPbZ9iwhVVzLVxrOshxOyKOntWSRyu+pqYSwsYaMIQseAs1neVtFhmNMWTP7AG
XZF8ZOCEKFoRPUBQYQV2gvt27qssMg5jOiA5bXePVsVuR443opkj2s/N5LUr10Dcb5oqey1cLlZE
ufsN+wvCsh3QSR2zpzaZwo0j8SVLkF1FjNr7WikcOhMsYd8DlCV5yBYO4sXHZ73In62Uhx6SLtxg
3E5u3HXvAUn+9AWn50jfPRkRWBtCAvfYN+1WcIBscpRJ6GcZjwGk9Y0bo4IbpQ7O9Li/YprapmjP
L9iretkTIyjtJouzBjw4m6YkfcrSLW+8ovmQW9GDbMuSbahwTY1D1IGxkuVgGdx14fBpqhbnQBx6
V2WDG9oQ7+OgelJmy2ilB+NrBIDLInz0cDEiWCqZYzBW+Dspi+cqUjaTqeEay0BY/OK5gNm/pz+M
VqvLg7Zj6a1G8CsOKzDEW3cDZvQkYjS/LckZIBwXK/Ue1iLO2dA19ZE51+RXwuJS8yCejQTlE58v
OwfIcFi1VkiU3qdBQMVE4JhhjYvQHPjh51pPECu0U1awUUKcvjHERKRhlQpO6mIpn9DDKd71yE8h
42SEH+hg75Y8ffIxAD2kOHxd+3DEzQ5/VUSSrRtco8mt9IchMzi1PrIpgpY52m2s3Xlk2Zj4vqxa
pBpWTZo9hZhnrrzEuXfAr+wxOX4KTcTkBCvcome2Oi9ctXDfcTXtggnVcav0MT4IH/BPmJmP4vh9
3gIlKwzyyT2JOzZjA8kn85cFrx8+Vp/pbEOLpNZlg3lBygrClxgFQLwj6JzXTJzsIb0ZTZqgFgCN
dROyaOsuezrfOLdLFkOVvcsBau/RyIL86fXt5z4a8VftTOJ1w/CgCNLmto4iifoF3w5/bLFdZHC0
fLCRqAAaq6yDGpBPw009QjzKkZrfTV0MLoIAZrQ6YAUe/4bnYOkC/tUfGF/7e7uQj3XDvsLT91n6
3HUs86dzuMAv6rlDonUVDkSCKk+4QOsjclBwgjT+jGuv1WE0M/ISKQbIhxbyKbLkAGF560BPDktC
wFAbSNkhmhSW2PpL8+jhjXo+nSKTVWwmvAEIVvGV7efPaEPGd3hM7MB8Yk3mwzFQbdXsvMneEE9/
VAXBxGEuvalIula08T+2LfvYNfjdgViLPBMvZPL2KiieMFI8h7MZ8CCq3v7pHJR6j/CCnOhjPnFv
We+f7JrOvsTzk3qn2mcWWwUV16cZjeB16GDbUwx83HM1kepz1M8cjLM5dvw6OJ2fcJzFs94SMvPu
9VGAUtV913Bj52/Q2NEpgyzGNAbklxhvwiT3tDYOy6YKEZ+1YXTUlno0c9e68VT+LJqkoLPOUlEm
i/Ec6UIki9Yek7h69oio/mIA6I7Gd204d9vJYP/m7EyGDAv/KnSNQyHa+KrTX2cyWHkwXm8W/BOx
ymMfTs0yXZ0jMQKeJGJ+AmIsCzkzXNKseQlh4TZwSfgXPncSTrt24k/xiJhY9X2zyzAfxne+ZOIa
mWITeg3HT0tEYA3z8/pccQQ31erkWfjevYUs8ZyKee/E0FPEzIvUK2xa+JuwEe6BAje7YeFTjTWL
Dm/IZk1/kGU6EH3CgU/jRCQU+uu2uXpE6spZBSlRnyqo2suEH5QDVcE5/hY6OsYS89pKWM7KiGrw
ojkOQ/qMUxEXSFJWtdezgQIc1nyfu7Yl4SZv0Lc5p8PIihTbHgO+WyMu5o8YhoP+ReYW4VmSK3MS
T+e1UnXlE/IXz5hcPsRmPnNgKDoiA69anzZxRFwUHVsgVp24nQLQhb4BM8QFh7ZyO2DLnp31K4xs
5Q4pkYRvq7LTmPFWmfWQn3vBDtR1eiiamgNv7uSJKCmvMzftju5YARdCHX41OSlm20ix4+M5htu6
juAVoBvDTGcEZRWnHjPxZkm0FUqPT4blZrvBQtW2CzMIp0FKqjFlz7WsH7Gp7nYTldV3IxLLB6fI
m2uzwss7aboPeSUT7NrDbGPHlvXIJAPURDlXZMROtkl7K944Dh7VSSF33kKZBBNSpwbNUB+VlwZ3
Vo9U6YjF6NodGesDU6uPqMJna5GSJ8tFnRwrdXeBO1lXGAM89UaBCn9gt2taXg4E1aXdCRjq14ti
OzUVwV6XeXXQiE0Kng4rC3jrHtT2Q2SU8pR5BYJFFQC2sS465C5Lc91i+buaisQlR4HjnZaCk3fm
jQ22+pkvJGzd4GHhLSsUl2LwE/Qjj10kH4uoRFoGW4TVgDLnLWbCA7aTDjrJ2D0DwkdSHgF4fqzj
x1wLZdZ0qfCIs6x+pzB0K+rhK46kI1rVKj2UMoxxto5TuPP+d0YP2zyZv/fASRkyMpRJDXzs6nAQ
UHhw32Y14HgvqgxZABNmOq6yJjUcstp2Rps/R8EUhwTM4xN3Q/J8ZwD7oSVNmohwbYKw0xbF3e+M
bW8ZhF9nEB5YhONHyxyvEKwPMd8B3BlFxs/GZ/EFI154tpbpEr3xDYpOyHqyUMVZ3PtE5DZsZPMG
0U+xqRJCppn37UZllnHAl9HctFPJrtWVD4bi+cpcCEtZnz1bUx3h1kv+ZMVEGqCJ80enc6X+wst6
LDiB3MqPn8fcqNfo/RWfKtm71+6CWY4WhjCsFpcAWhylkOp7skTYoxvQVBY/6PaiJglOsX8EoUjG
ZFLD4eFt2AQuHcexFblxTM65hOBgWl63NYY62sOd5l/pih6MCuHAYZuGDYlMZVr3zhSqVVFlABdK
1m2tlygF894dxydM18O9qIZ7dGuNbRyhuWZUA0GTo0Df5xCa9xbdh33rW5SFnNariDS7t9In4dWP
pui1rZx53y4TlrBmwApN2+nKslLoy2aArniQ3FXFeNPM1lcKSLkzB09dt6atPvaG+JJzpiUoR0h7
jq5QzHVWsLcF/sDcDfq6IY5WHdm1DqcLMmO3oufEG8IOw0YvfHAy8dRg+UmCMd0twaTIAp3bRpHX
GFZ0g421T90YAoOwRxQrphIVMHgWNsrFnV3wrJnyT+6Yp3emspovZ227ijQZ+77gWLissAZc6qE3
wpoEi3daFnrs6Abhp9qp1HViZONDKQ0k0BTLzdbNqywBkyBEup5D4lrckucImU4nw3DsfuVHOkhr
tY9haMi92w4oApp4FDpDs69QRJZ4gh+KxNrHJpxoK8qfKyN9TjjtleIcaivvlDiskfOJjlN0xhmR
P0m9VhOWySl2ta8zOQHFNYJtaA1vDW4YiSjOzArjp3Klq5ZlokEU+J7Y9Il6rEuOnmHsx3dJw5Zi
NMTHrrpqD94rvprpTK4is5hQVu/Ee9kP2bo0ra2RmJi6BynZHRX99nzKMT6qbrLBIY1yEUdJ0F69
SRouU9is4Sl1lq+lE6Q/VDZFa7oWAx0QuKWRNuLsDVZTNEMVKcaWX1Hls7mY5lMZD9VNwal3Xv3U
m9suyLMritVnmhA8VeG/D6ds70f2fcWI5dDGnFx5Y/zUjSrPXeShT6Lh1sNLbzULfQYmrM++Rg6j
JYciKCTNvYrwoHC7qAEljGakbaanOSOM0YwU2zKw/bXwuiujXzIibnONv/SydSWXn4uQfBVDFaBT
9rtCDdBtXZRODMh5GzBq0Y7VzhGHzdN6qNz789mLw2rLSoofXi/8z+qe/57g/dVegAUGchM0h2lq
/YhfW2VDPgRDks9ib1QUnZCP0NjuukeJ7ieMuBLRZ8MSPAVfuVsKXMftsifUNJ88+RnA/4MZZhZ7
mEJXpxl9YBpbPwgexJDcmfa04BIaGAcAVP0mHTEmaXAs9EsDScewIwHuko/nRua5RoLJ9yPryvQZ
Z7YBgqR/b4kFko/RWTe2P09XfjOVN5OBIZY36KQ0oAbqHGKICrAIQu+c3Euzds5FWI/U0Ps+/AGM
Wl1XLYh/N9FZYIq1g0/Nu/GSMD4Ky5r+fouciQDzfcCukIZRgXr5SvMiS8uEnbKPW0qOMBjjq7an
I+HbJF2gij5l58BLH38NEk1XSSSNr3/WPzTFtG9ggCgs8lP0c1/eAiJL0sts0e/zoHVXrb2kh1aR
J6W+hLdu5AoK/WCuhyJz3mhXaRXbX0bC5wVF+c7oG54nssaXMkjsbKR7RNTvQzmh5k9Qx9XdsN5n
o19u3KVpvvaAbzCTW8B1efldPZTDh6ix96gkWo+vvwbdgfttcSMqhZRlAKPPvOgD93ZvNmk9ir2r
g4BuGLgYUiOdOHVb5bm4kRBdX7+kfrMXl6Q/iggU4wnT+gt7+0vr2alQm1I0pfYIuIbbQs7hVib8
N6uoH6ZWIVufGiPeCKoAfTuUh9ev/odmIXMCboAh6XmU9fK7l7xUB7Habi9DkjE86ts1UpLtGyv8
D6+VLrOmMIX0PX8bU3Ga2gCxNZnWytx1v4CiUPn01ZjbUxsVX+auyN64ovWnB9Na3SH9behwgV51
v7xWWcHtn6Cs7pMsb6+BYmEM37nqSEiglTOGDynHJ/6wdM9sP3kqp2LeDxOK+VOC8nwBJWL5m5Ru
3THVc0Q4Chrn8dviQkZDZZHZsMdE/rVuvPnnX8mvyMnxikmeXv+0Z9r2y5XlgbNAFwBAPfTZS/xQ
b2OlE1ei3YdZcFIokG0qw6u2eHJl0C05gK3B/+YW+cfGxDPCDD6qDKrikI23kHx+dOFYrBYvW94A
EVzqRvAaPA9UrMdSZ2ujR/3yy2Bzg+Mv8q37Mhro0xQkz74k1PQmwM3eto99LW+wxWs/O522mKr5
REaKLm9m1I+WmmhMkceBi7FttNmqmSTDOY0WyLwuz7/77cHrgLIuLilIF6D54twDj37uE8Qjy6TP
EVZLtmlApyZAwGvdVcyW9NRRoEa8ss0iX2uPUkCnurY2kaos4op5fWxoS3laWXpsdz7Y8sVUx9c/
2aUkHO9GT5KhSjg+GvRwBV++m8gaJvQozGaPgdsEhk4m66BLQGKNJX2xQOJfkToZrQNsT7thMM+P
SWt17RYS080woFUbc9ItuRJXjdkbW89kSjTovHnRfhptmSy3tCTgpod0QpFPeiuenUEgL5ddAB4J
yraDzqEJN/jlM9DLIM4rkk2S0hZh+tBAgdcZV1WgHnsbEEbqlzfQidXWyrFUQuoNKi/0hddf5e8z
VzgkEcvLZnKPu9PFmwQp5zQDQkL4W2LsM/JibFZCVg3+Gxeyf480jA7BbgHRAxsTXEYapiCxtAuB
g0hFVzAn77Fmsexk0FXPxdLS4QjoSmW6uyyRbltVoAhXdh/Na2CMyWZs0iekFJ6ykXlTUFLvCUpA
3q/Y1rpmrCje6W/fgAmncVrQhsPA6E14kX4dFx+NAR4DUA85L2QgLkZTFZWrbS1ps0/b0trYhZut
VDU167Il6wSZL7fO2P/Q9dIsaD/1Mn2ey/CNiPUSiqYzgQBYBPNEZIrc34+Jwu7boLGsZm+69U8n
miXsN8zA+kLhuDm/dTX7Jerxr8uBrIyY+zoAV8PLnKe20IPx7Yb5JXRy0dTzRo8ll9bGbNRKPBq4
JNQAtDki0FF+Vy71Yz3V4habOboCZvIEj3K+LVBXOQwU3ivhCirzksoeC+PhNnfGN2TCfj9HAy3S
waAYkrCGkbzcWsqbgrLFkXcfGDM4praBno5sPEQP6ida2QhDmsUbQ8s/JPxcjRUBYBoMFSDPlxct
SB3GWtr1Ps5pbMracSnEJ+gptTtB7OjopyZI6luix3o+9a8jh0al7hnSbze22O+Ym6yihRAzKNp0
2EHTCHWsK1or1k6SzTYYzZFdUnY7XveIJyHddN0TqSwKJ5vx864LdDTLPPq1evzi2n12L6io1mXt
pAdsfPAUQ/9uDTLtYyHtBd8BhnqN5YerhaHDLg10Mg8nde/pCSUcM7ws6ZOcZxt1AeOEmdt3XQn7
MEV33WQyoYi/OsY0rZumHXcg/Kr/TdjwHQBqvFwXWbOLVLMJERZRLmEjmbv0DgAsTQHKl53tuZhu
0sfkDKTIzSL7ibY53WyPD12NMtyMOG1uK1+NV8FMj+gc60t7ZDQ6Z/B33LbxNl1nfzmPNt3Gwq2G
ae1Vybj7lOZ8hNcj7e8JbEh8JXkFcaK56hfxXiUuI1g0wPeos8+rfgLzXQZ6S7jpcJ2oqFxH4VJ+
cRE03jjBIN44My9Na4kaoY0eCpR6EnYL5/OX6zPCNieCO1zvzYIpWm2r6c4S9PvDgk64IyP3U9V4
+O86qTj2cGagYnBCTgZ97Ez/N09UkIDNoNwkC8uUs4uJUsAACAuyr6bVX4m5foQQnK3P8wdaG5ZB
ny+e8m2KJOGj1+hpgEeTPacpuTdL3eObdDsXDfV7JUf3k1l4m8aMbtRgZyvPXzx8mIkqZRI98x+G
HoVh/nTbvNhXIQAbETBufP0j/SGzQKoEiLH2NOZU9vUp9ks+PDCrq3LMUPeSIcV5QFC6eiRsMRGC
hW5sl67AnlAsxwkT3dWCJeQ6zj4xPGiO5zHMYvYApxTmf5zW94WOb9J/wMUiYy7efKmY6G8S/KNW
gVnO+9fv/ve4F9o+GQX73qRMvSwR+85Ajp/Gy94I3b0VM1/UoULMtCPP3agiLt+Ier8lzyhWEgcc
ijL0CznYL1YVXJwYt1cqQVrbzWqGVgWkleP4PItpz5+3Zyg0EF9AcgAa6fUYcOiggjlgdbdKKrH1
ALNoh5G3gsflQXm+OfRWHPabRg3pP//lY/pzmOcGwv/7LJXYZ6E3sMYtlCkA47JCv5XXX/8fLqe3
OEglx6KY+O3YgToBb6oW+9HTqzYob2aDhMptWTvUjm9lkGeF6l+TkYAYR0QB0QmQDemLi7WaqoFp
o8rSfZqm3k2ETQuxUAWbyY12jJpQ4h8FGUlWYe4ATdg7ZN4YHyzLqE5u7QafR7eM7nI0PrEieIfW
+rSVfuevYIbL7cge3dBdaa+LsMGJEGvPVdNVGR5mWC3HQ8l0c+mqXZvx49mgfD27vs9ohx/zHk1f
9AzkxqhttMdwVj9Qw7jp2qiRk3QTD7q+kw7HKR53dCTlViXSRbYoca7AchhMVMS7FkWjNWWbs4cL
yDu0VAZ5y8gxnhHJu4o6ebfAhtQ2i+GmT/mD1DaeLI22s0bZ388karsSHYRNkFKpxZrBKMjo6Agq
2uoZc+pNJUrnCoCqBw5MRPnGL2W1qxo3u+pzNYwgLSpBlyx2ELyXIXxi7sFoYmT4jQ9N575L0szG
crdvr0Ng0rR/FusrPAFn36HF9MZGcy4TdQgfJGFQfakLgeFp061f13KUSBUZBac8CIpQG1czvS5A
jVStyWSbXCq3S/NdI2WF9Nno4gQxwz5t9AeshbsJVeczv0C9C0pxgJNlkX4v7BwLaaCHSCCOPi2l
wd3OBvw0ZDEZhFeq2jFEcNe6K7FD/MR4mOvRvYn0z+d1965L7QcvAG0yTj5IEq/HxE+VkLnyNnyj
4XRZPAD7Y0Oxg8ljCDTmxVInclqeI0W4S9WyV+m8okX0xu69DJ7nSwQgDLEOg/1mXrxgqjCPRkAS
AhjIm02N1eN6UIiuimYBDNKhXDQbxltV0WVSwEWJnagS0mHXYeMiQiVGiAdmim86PmVyy/BLrRsk
SBi7CQvAACM9w/HaY43x/drtRPtGW8u6zO21mg4JMkrBdFa13s3LVTXLskAXrQ52aPYazOXzlq/t
YFOd6wvGXnRsoi7cE+0eaDuIfeH6w8fXo+YZAfcijOl7oEWO/EEI6FcDxH9d2WwbFdjK8He5L1AI
nWV7KF1HUYib7bJSQxYhmWa233DliE+8SPdUT6BOq84OPxgiWDbpEMAIGt1818OxfDRbm1cpW7K7
tNmVMA/fj5gTwrgOeJwuDW6kdH3tjS4/4aKa4LNSYdY5Rt0dxhYNPEajeCP58mye4cUzksCiGe47
DoRKBKAvkr8Z9S9XcoTuenbVzeggbWY2ibWOhnq4Oj9EBBHvzhyT4KZN+QMGj/E6Wsxlg11yvl5I
wTYOvYi1k8bJIUpSbT6f43UBngsWrv2M0X17MAboUH0I3z1LnHvMMp1to7LhallSqLDSVyAAFnTt
p2Bgqg231UNSTMtjbrH0WUD41HrGXhm7skFAWGliO7zznVCyPU38y13jD0As0uT9bOC56MdjcTcv
zadF5Q5BqL/yxp6bdRHYS2Q63NpZ0D0adfXj9SXj/HbS8jppwoOpDGgFI8b4csk0UYRADXXTLhGK
3klvqDUGqDdZMn5AszmGreqit9shyZj5c7y26Xitc68JDwIK68rI6F4J5ssQl9lmeTWk19DczW9y
zgPGy9Fyza/4NwO+q0yE3epAI6lf8dL9vTCH70veRNdUeeba7IDsecis7qSNaVCpbLU2/PpTX8z9
bpiMh5KG9EYs6q3M5lIqNCRmUHOzYxF9ZAOfFXd/SW3yrJsRNS28nTVweIdwFL7a08gQjBuPOUHR
v+/rsNt3I2ZqjlHCcV9kijFTF6KJkTWbPI21k3JdfswQrGKUwLYTsLlxAvNyY2ePDQvTT4yNAhy3
MRVrBPnrfG1lYb7uzdDaziiIT3OKRaftfhgH59E1rGI1R8GHOM1+UOtgocV86rrsjOCQANq4xTsg
vOvIJ7dpgZV3NBSU41XabEpMfvY+vYG9y8hvx2CShT5wSczrnO3ri+dPa4fJhUvTm7jzW1I4T1nK
jJK1A/XtGbZBeKf3iurxBUOUbnijjRv8dnJhLuI5INTo5NrIeFwkyGVPr8rsOyIscKoNWr7RI8Cy
9LpZKmuNX/i0w0I4P6V+l17boSLgKdIva+SlT4Mkgw+RDWOa+HmI4psx8W/jxWt3FiifyUfoM683
cmZfDzmQV/7uuiEn3BgR61LlHB/2yG4mbX+uW7nc2zVgPkvi0WDVdXvoHfZAQ1F4k7cm/uWJk+xS
IPEfx6FQ7xn4xxvLTof7Bp/stWuD0xCuRYvLX+Q2MShtAHNFRyay9x38mEMkZiLHEvUIDVTBjYJd
cTuahOW2EWLX6tthYlroRHz46M2srXbgmDFSNDPXnh3ku1rijiXxvz3ZZm1ir1yZX504KIDIWIyz
07Q2dpEqaTsj7riTvMhVGlj+NqUXRAbKhljeyAr+sFq00alzxqPrU/JlpGl9vxBlAio2VIByco/3
p5BpWS+1W28Cjw3xd1cnU0UQ6aRYFOreZZXuiwpk8FJ7u6IsSUAadgOwOTwZ8yw8pIsn39gN1u+J
JWXbmVZLwcswL7pIQULgbdJOEncHjsnZZgiO0GAJ/ZusZBBVLWZ6PUVutk1aHyn2Xh1US7jw0enY
1lj1rYMR13R3DOL1ROWMeAgHlTnwqVF9VYASrG7fSB4l82v1vmwJ116lD3cvVpw8WXHnVfW3WYeR
pPJiENcsOt8qvoFflFt8awjvdWYgkuZYDxBi2+Pih7fFkIodU4ZnCed7s4zeswgKRO65d8Pspt0c
xss1fS17a/UTjZVaPSCRQ6QyiPzno7URpFoqTNJHEGXONioB3FuAfMGIsJuiiFMyZQle12lhXo+d
2+1rX5+mpQAM3pCX4JrIUVv2+JjovTrbxA9V9vNTtRDfxMA6XyRLXCjVHkAWc/YIwm6L7t6nLBPo
plScmYXihpogwFeg4qyPjJQpwAzX/q8/LVjvsFaNHZoLVPM1yJBNb2NyNgEtWM361M1Tuz26mQjY
LISLzBrJB7pp4SVO7THtzPDWkgzwe8zWjlGXhIc2YIdWKX8F3x9MB+IIjn8N+BvMd7dXSatOmQWK
qOrimnOBxzQ8Kz8NxrJgE49OWY/5MmLycXS0y4x3V3jhvlj8j/4cfC/B665F4dpHdudwA6fG2RLB
WMXeHO4HWZCyZKTR5+0e+bw+kKZcweAUaFBvW6eYDa7TyOko2vkc5931f433qS/0P4a7/28YdVno
g1n+67Ym/6X66tt3VDn/cae+/fjZpr8yOf/9A/+icgb/RFHMpt3voKmAWj/J1V9iZJGFaxdRAtvc
SzWy6J+cp0h20nSH+8l453+YnIh2MskNNbsYIAzDc/vvqJFRWFxk0kAgwJfDGIUIhuraJbdaJmUz
ZxxKR5VlSX7ol1a8C1qv7zZO3HfzCuW8Ij+UOD32q6BReD5nYdXLTR2k9pG+WL5FSFkdl7Ty/FvL
hCGzGrBh6ldgSrIvCHojuJSEMGi2RqmSq6X2Ibp4yja39POc5FR7XpmhgzA3X/zCTKtNbWUYdXCa
J9TRiD+FW/idwad2JKRaXYCGTtgMW3MebWBuofvULLNA4Z0ShHltXXXFprKTcFkvYzTeo+CZZ4ep
pkextidztg9yQi5ZAQsDeTxAtLhzbIm8jNs0UD9mD2frCpXbe/I87EaFHAIXbcSx8dbSkIiQOcgD
P6eZWS/AJUJ2uusa7vsqjV34aHGZPEr4W2BKwnj+7vhGd9fkKPKDuKz6dZg3SCU5yh2+pXk7HT0k
UelrNX72BdxHe1Cxy8E91qbJnMBXWG/a/tGyOlDNFTnrCvCq7a8cyAoPnW/Pj4yPwm5VLXbcMUGu
0QsNA8oFZ1GCrtOcl9620aKodmmNt+O0GNdOWQBJXNxsOTkZao4fbM4odHncWSY7lESc6PPQVfI4
S7TltkWEltB6qRJb7ufJMupiVSRwpI+ybT3zXajfi9jKxcE/IYcHET600EN0PsJ0N4ae+cjsEy7l
POiXlR77LsUItGrGLT/jXuMjJw+hCMv5nQWJCI1TPEusd0kQMnk2AsSr8jGXGyvWfmm9Ob3vMvM5
n+W8rQQwqpE4h+gd3WF6SPZKScuGq4P3+DDHy4mjOV1hKupBfXC7XSasGfQgAHW0CvwRDG7UBx9o
rB7HxrBgNmq3LqPAQdTN4w+kVsnJKYbPKEZS2fhMQVkfAPq8H1aJDO2gcNFMqr2Bma+e7dhrjWHe
OjTwbhPbqa58ls370mmMoz8NAi1YfDYRsw/3kI00Fbq56n3ABonhrhHMFaslDm8pUNDfcNGMqIYS
C4kUKUDbdNMf7tAW+9Ctys9Z51WnwRHeoR80iSqqkQOI0n7lYdX5ToRNsEW4q34fKLc+MUdlPi+8
ZYvIpakBZWb8MSmmD6JDQm3uRHKce3S+ZRCoq8ZPgRhEqKwHk2Os3DqHtZ07HySOsiRMCWTcxI53
flygoVSN6IW6uHwMMa0Eq+tvJfNhCY6dTkuOa8FDkTZ3Q6NAtpjLuMJPG4hunnbv4rRoyVLm7r+Z
O6/d6LUzTd/LnLPBtBiAmT5gFSuqgqRSPCEUfjFnLqarn4fqgdvbBtzdZwMYNra3t1V/iVzr+97I
rIKiS+T0Twuda6yhirN/YEul/8hWHoui+iNlfE3RV9BJjD0l67puVSStfek63rLQURDq8XfgttPi
FTS34jAyqGrh+Z/IRRB58J1pZHfJwr1y06p/miTmSS+rY2XZElDT6jDNEbXWpOOPXXRHCYG6qgeF
33xl5JRCp7OCMJgI20zSkxsInNwGaYNGzPJBaVJ7l0SKjSksJzxUL8fVYNtocScxvyp87g09IzN7
mVlvadgbTk6Uogh3lOERffGj1QXJISMRGU9G1rMdNrbvmKPp07lX3Ddt3PqanYUeVPB8RrckTRLL
RrGjy9nAyqf0kgRXwqZWpkll2kTfSE/nij49x0lXepMRDGeXSGLfSu3UdyMhvrq6+alqw1irkhLQ
0QqMTaQNrs9SH6+Ii8uvRPdaOO5a/TCiDP0sq6LYqOyu/OEJ+7uanRoiziVJiieBk7BDyuOLqXZe
BupKvyn1RYr8XwzvvyTe3+M86DjgKFnL4YCXteEfcMqybOqI3uFo7+ht360pZ8qtdReX06XFY/I0
lJ3JGVfiLBgM2hC8gtCMW1ErE+hJpn3LkEySO1BWTfPTTqBh0In4wRzFbx/xvsY1NagDmVyRHbBA
Q/DmRLSRK78XMneGy4h/n+StdB6eW8tIHyZcSEYGvGv14ljFs3OaZ5leIyfiiKqrgHLExDBItdO7
9hNd9DKYRdZLSjEsCtl0QtJn41f2iO5w8H3Y2BTcIG33w2BPW8n5fpxDZdxkEfaT2ejHHcy7eyB6
fvAcndnOyHCQAS90z0StVGuL2DIs8ADpjLKk+HTMIZDQIkHUzb3VOSVIPFLGlTUQoLRzLMqekRNp
rKNbRKzktoxY73aNSh/0nW3StUwhfejBuCl/UHhNh7bVCeANy3peNcQ5P6RkHPtj2YlLPrXGtTWi
8BHHtz+T8L+JY6KutGJeLLKJVl5yNxf0QivOBYmseCmUyiAv26lJjqshx7uipToCwrRSaaUyiM+P
hFOsWhyiyXTs3e6j7LStjHAo6GDy5yr57Hu2aEVz7kqN/UYAdK5hpNqHSE3xjZV8ccwbq0Kq6KpA
1mluV2X8wbiOhpu8SU/a/aFTigd9kPE5CvII8bdhXfs42tmAs3uulRQMysqeG5uaLI8svno/25Ld
Y6ra3q9CTDFYCYrXZEJooOrV5zhEYtU0Jn6lGQuuxrN5qe1ae4xD8WUjVXgoI948VCzy3HaiDTeK
E7XKymFhm/eO1EzCXfvQLb6zyaxewYPByJzUdsnYMXtxruaq1zmUhRhf3HnUKNehDftjQqfz1gVs
WY9UtusFn8+up5UFrfGmGWF0dqrOOMdRYX0OSWAvFh/YhJB8yU9WvRaZu9UPq0LrxJb24BhSx8aw
mSfWo2Eo3ZeB+sJLdTd/1ItRRr4NQbsVhJ+uslqKEyGzzUmW0u3haovwXeRO+KCanXnKEs4bSrK5
5+UQri0yr33LUpxbDdLhmbFBVwYuKxrZwjHUdoNaZ4eYqjbsc7hqVK/NlPRhKOphWEFz0cKtNmms
sgAt2jiTgaP1OewqCieIil+HnFgoJ5tZ1it40/Ccd6HL16knXPt0jfswyPUDMeX5y4In/5GlJXeM
Xh0JlAYlKkZV0yyNXybnRZDFrpooMz6MDmY7f4Czf7YEno10So1zaeb9Q5i47iuVNdotzk3wkiYI
H2aFoknPUJvikY+R3rR55rdbx1xNs5mpB8sZ+mNUmwKDuNPad1Ga9cWqcWvhE4rR+nqjv004pQ4A
L7gn1ClN3rIutl+nYPjpK6moK03r+52mFht9irm6BpGIbZpO4zvarCYiFRZZFEFTTv6Bt7V/1KrM
fA1Gm/xRPe+Dygtb3aFPFgPbDmTIeJ9TfMRcSsobyb7JQ6wF7kfV1uNNMxfoCtA9BcLXadFlCieX
LVH7jOo6WlIpdUjlJjZm60taZrKrFNmBX4GXj76QqeReLQGNiTrvpnfVaRTqSokF8IogMVyPzqj0
qJhJfTKlPaxVQl2/1bzBd6B2rfPCxt50CPd0xTiWqR6yaehq+KrLYSLbshrjfFUpDcxox2XxBn6U
P4rBSfdDgPXMDNEs4sMxAcHMoCCYwmUS84bebQ8cegS9qBN9G+syqPPJE+Ogv3d2NaW70Ryizykp
WZrzIOtPVTJ3Xq0HmGiy1G7no8OMrdIhGx6nkeNlg+rE/g4jtP5BbMlDlOhNuoWXmp+xjemVr3Xk
aYpwVJ4KCkiunVU4n+WodY84+gAZl0eS5Sml+6NxQ15CGsEAH52aZ2TVgE3dYZgh2gqvMvvPmA/E
0nchbWXA1uEV68B869RYuUzJyGFvqxGSuXHOlJ9OmgV2slwnVr5tVXGe3RgQD1KzP9UY3d7myDAo
g8dzTtCBXv8hVTTdazX9LqsSovm1GEGuqZSyQ/JWTPNHj5d6LMC62s87MufXdWyPfkCgZu81SVo/
a6gdB0rPxtxHSELXOZfo4LupM0VMB+0I1xfN3bFtEvcCWOk+8P0U56HTmDqttnnL60GjeMEoSGtk
eKmIua2rt7wrO5plnE42VOrEwtfCYdw3VOlujZwTYJ0I4JNVgliFgpRqLC+YvuOLjPVwVytG63iD
GRq7piDPbkUxXQ+xm6SdvopiE1yoaDr3GdMYMdaitJ80IrU+2WOM0qNj0DS9upgoQciDuDk30zgB
tHV4sKZmeNVV9bFXuvqW91Q3+hLtz4VkB7W8Uu0Y7fpZFx9Yf23+1pR155g0/H0tBrLHRr19lbXR
/oyh6pDyP5TOY6ni2prNJHyehoybKO3taE8qZ4SK1naiY4g5Ld0wCCunsETXvJGVUuwjECYoAyN6
anpLP0yF0TWHlByKhEg2ggy9sHGGMwHSzcV2sDVkhImTWZCPHk6Adm9bvfNGrM742DBujWsN+/Ge
VckKN9poZHs0+Hmz6eopX8+SpxPv41Tal1qDf1ljI1BXs9NPW7UejI+ePs09iQTlWaVzxhtce8Jm
1JgDiclmxQQWAU6Gnlsr41VpyN+OMzF82UbYfYdVpiDZSpy8wXjYLxMr58QH62yPeanoKEcVVr3u
C0UHgBCDzViUTM8h3QGax1fs0kzkVgm7NE1FBIv2KeNvzYtNe0U/G2vFdup9MsvuZoos0ciEoN8e
tZNBwjYNnpOHBKQ+OYo5biHxFv+4HF+rkmZBukNyi2e4Wc7NKlYngzY9zqO6g7K6EsTJFNCzCcfb
sTYn5gu7nMm9YCpCCKOXPuptWg/UzJ29qu7Cr7mZjWPrOKnqYzOZMRnmYUq1EMzjEd1VrXrGQH7w
YaClINwTetNEPt7R6b1yGdtUmeRPY+3Wf0Q6OHtVcYsXIdLo2S16OXm9TiHFoCravtQAVC1rlPup
iJzVjOvyJ9WGiY0Y2STm17zIxlXdOj0FQUGL1FAoW66keg3HwB6nsozlus2aHwKmIBCzxZeJVn7x
9VXiNrsayj+dJTJ0rYONrmEzZRBJRILMj/04qecMdGatK2npuUE7EqU+JuVDa7nBVzlTZxeLpn7M
1HHizm5buZFlp7Avdkb8MANKQZRH2YvpKv05I/P7VlZ2gR5sxgbFd61eYhuFnVtUwanNVHHoeeFv
U8fo3yjZtAvtkYSpmMKt0rGLi9AbceOxZxJOzIMGqr0ftaB7DbvePOaWNh/tWUNBKgy5R51PDkNn
FFs9rb3WFo/M5M09su36SNAC+h9plLvUiq03ld/cZ2AkJDH3qtj0sdmsg1lL7ypZxNfWnlbAVKaH
jjkPvUEHZ2gDPfxxzOgpQPS3M0Xl501moLJzabJjz/QnQzR3ZBG8uT35JHXaDls3chsfygjXvoXe
CNj8xeXAAl6uhr1o4y+qioMFrSBsrUkqej6IDRG6POgRfd3EzGbHwEnI1i6ieBVqY/aOGrg4zWZN
14jBisDt0O4QsHQ7OFzChzuyoPnztBs7NuljIW+r5PL812vcP6kiKGFApA4db2omgXnWP7D1Csdv
MXCQ7PU+1hk7lynNMcrwXA2FOawEj9C0QomgeRVp05t0kvaeYLngv3S8/RPRjc7cQt61YKv8h/GP
ZaWNDDCUknC9nxprm/Rt9wk0PpAN1Jtue3GcQrOuqYpd3icIZXjop5L9j8SJDnq25/2OzP6ZUjUB
TjZR40ltqAt+ZkQirz8osbHNtdkq4qXGhXuFVOebt4zs1alJPjZ+Abl86LVPuxgLWnrYGl+AP8ih
7jrjUe8H5auJAgZv6YRPtmrIpQsijF+72FjMcL15ctUYUIDAhRenCXlQ4mi8J2iekk+QWJfCGJUy
3Yg2VGMqDQYJI7wM2G5XHXKlB9vOpyPaYuMks5DrsBDZxhizV90o1ftODw/2oDkrfQEt7QW+rH6R
TJwhnJAKeu/IB3IVD9Uv7Bn+QqCIvdSf6hcY1c3a/kb87lxHkTYPczhrLwgJ69qrCaIB/loG9rET
knyx0IlJbM7GJ3J6eE6z3+le+5303d+pn8B5NgCaRacvUTScnTBgl+R3T9C60tgFWAO8Dq+kjpRs
WSdAk6wPJAyZJ1LX2SuB/gRBIvfV2ISo4kFC03kSnpK45aJXYGdBi8D64iybTL7sNJjs+ctlzyFu
tIt8Z+Z+TsqJ7A5tYCNadiNn2ZIiwmTXTZWLrV43YJQLIrriNFE+s98la1z2LWKbrU932cH0ZRub
FODtmpSKaQWWw7pWuZE+P1qiTd+EnlUfZHhTNFuQRzSS5FrzJYkyE+duZr/cDkTioxZ06+q1CSqr
+FYiS8Z+JGT40xnYlq7/+n3V/8lLA9xCYiH2QB1+QqNo+K8srSyspCezQu5jZq1TpYwh4TVxvW4b
I90Xuersa6fJh1Ugy8Afm/LiZGVwF40lnlXFGnDAdmENmjYr4RoEoKi8gv6hB7aeslib4KSvUNZV
74WxUT+aAzEPlU6iezjFA67c8YLQ8DLglSZKYND6Ow1DXQehMAZf6D6NDcGS1t6K6vSepLURSJ9C
KcPSHinhRsoYXImow5wdhAgyjGCjqeEj77hxxiV8YjHDnq2Yas+Jp5JzDF4nubJrx9pFcS3I3LAY
ULk71F1f2dmV1iX1apQaWr7SFOEN6VmxDYnd8QntpuCKyP8B7I1MrDOHS311mpZAFiaZjiaGimQZ
zlW398WYpYe5VukEkxqJDizgVfFtyxbZRupIBknRXXW3p8UgHIJ1aST9oi3KaKAc8V1rmR28RbAK
b6MgE3Y15CU9sF0abWm/VCjnCkwbziLpqAeZwl3hCF4500KFOIkGU8NE29J3Hri0omTUc2zZhAsa
tVt3WoSeiAw9W/buzlKb4D7o3egzJ/cH3WUY+0FQKA8jyAhIQUwcdyz6Q5agjNDVWDsDLc48lQyd
WULdFiJZ5d0lC87n/66DH3aKhzROHB2ct6qf1CngDcBm6vV0dJB8XfXRxpKSK20W/WbCafbW61p8
o49Xf64TxI/4b9VoVfY1R9M4JPdz2y2dB6ZxFJxSK9O2O5+qjQo3CAEmdqQlT4XaYohJIxfVO/ZS
8xAbqpmxxFjBHRYpdWvZkcp77SbGXZWXj647EG+TAVBYvzcR4i7z3lKa8DTMY5YD76gy8BIss861
SAPCAquFRNJ++SStG+W8Cn55JnWhnBpQ3RlOe2GigjaDlXLjKSFgqdA/tV/WyoW/0n+ZrBapywYC
2n7OfpmugkR+2mriYYlw4PQu1pxu1VsIuhfvDGRL4Rljsqb6yz32bcphbNi+dadmEIBtSxZC26ua
kX9nMzCsE6l1zb7JSL4bBqHtUVV1zNW1yXIt3RmoiWyqNNkljkWH2wSAIdZNrJVHQxrME/Uvpjsu
8C55/q+1UyHtpSePoLBXYsp5QfQEZsiOD3Uwo+DvXXtTaaVcPjUxLzClxzGCImqVUuyqdGo//vVB
Jf6RuyQC0MGYZJok4iJcW7jNvxNtqSDzKZCovXdDwiPcS502d1V///tD/kcc93+vYetW5vzrf/+F
1P73v/7l/z8cN9JnlCl/63X4p9ziUzyXzcdfOrYWZvs//rG/hRSbOJxx+6L9svnl/D9am4TiRV3N
q4c3UUdI8reEYt38N9qvsPupKiIZiqa5WNoS3u///C9d+zdUq5RNkpnNr9Im0vx/0rLFz/iLQFSQ
pooyFPcGlLbgg//10Ri1diZdKu93RW+WDAVFtR1EnW+bRDsbSG72Md11BGuzGIfyjx5YwSkUIFV/
95Vd/4Oo+PvuLPfXzPf3BMbyOeDwsddiiDaBzv76OQw3VEqtDGjjSdts19naxqRnrpxXlkR+dYQB
ra1rQFSXjJe0PABiTw+DU8IM4tWNcZM1kXr6buZeiM+GWhyNBHtk7HSC9QlPlmUfK61i40BHSuPv
/SQnnCp0iwiCguB6ngby7ididceg8JO8vY7peBlSIi0M0ChEwkELOJqHFyWpcpKc05uMDapzjfDD
tNNyrYJ+rwXnYkUeXAP4zw9aSwcxPMfUa9tWN2NC0BpM5FgaV0L9l2jTNPL4YluYkNfIgiwMy1nd
QCB65Wjd9UWubUQUriadXttyY9UGiY4vSjqDryaPpAQfSI3c6YZ9KOCLsSdACdaP4yjeyKm1vWlM
z2iwKfUMe7EazdLZGSJ+wWt2bpz5YI3iTxnFO0d9p3XnCeQaTss+NaJ5sAJtS/WCD+qxHnS99nSb
j0G4ymqSqb8EEZZZ/x3XhoUMwtDwM1g/ujsH+1boYDOzkXMiIn0Y7fnIjHBSHCxXJK5k3qDpzPfW
Y56F+0Z9aAubsneD4nZzeKQ184o2DdwQtOpmuCmRRZNPgE9nDYc6MZ5yQjA8VTHBxB7rYvzpc2c/
turbTCLGhH3Li4bqlZT4Dd3gR702BIp6IISg9DvbfeLx8lJBTik7Arr4nBm79ye1P4dK8BpU87G3
jAeU2qiybfmkGSijtO8yz8+t2h9lPwKry3BdjvC0sAGojvVilQbMHWPH7titdBMhs8qaYPNo1pH1
BEWmegQ4f5fg38Rp5+uypQpcJ1AlT7ovtaOXJlApsgDWAPz0gbXZ8KKXJNduZv5iN818SXA4vfRz
fmxT8z4Y+37rTAtuRHXX3tStNXa9IwGZa6sudl2Uvloy+JMq5WmaL5V4as0cr2WtxMSjqvfcpAyd
w7yvwuTF1IoBcrxc90l0nQP7rh/rNRknm14YF3O6b5zqhON01TYR96w5lXfsfTvKXsO1tABrxyDz
w6TjrkXr3AGT4CEV6c6Jrn2o3RUlw4C7bwsKhIif9jgOrvGS9RoG40tFfPJMaUkwx34yFLCEitac
aldreHPSDMGe4U9UjbUOSa6Zs6nTK5T/aqi0e9rW1lppbjJqMQEIdz21I00XDR4G0BdqZ1amkm15
NOy1SqzN3iilCYunylXQW+dSaodItxl856e418W6lvYbyK+9SgFPMf0R2MqQkY8XW2+3hBWtitmx
j5TK+WjKv6zevGoBWJoZ6hdXlYNXQ+/FbrjH3/hepPU+luK7TLV9guAVFxEheHqZb9Ks2IlCHe7g
nhGa2pj6iFl7ABhvV3NAPyl5N36hXRtrXqmtyjcPKReqyt6p4hNx+8MaChp5bdNvzAkCU7HEVTB9
5lmCOqGobsiMtj26mlUsIno02uqzpJDdnKznHOzW4r9Y6wmVnUis6SAvURY2T/bcXIKie5NTXsGV
ywgtoPM8D9OjPUBHjS4Zf92xDAOvz5sbeNplNuq3LhPvOoWzLDN36iTf6il9SSc733YVfw6yKSal
9JsemtOO9YfJVB5ch68nR1AJ4HQAeI9XktREryb1DQFtk+xsZ9gPUOW6bmznpvox0nxbyOTDCfEt
wmeAtEb6qYZ09oq6Glda7fxBnf88CoSCwDM+rOqGUm2YaZNUWYQsqddqxc6Z3Q9dEjhVty7PX6fS
JIRsQU+UJ52NfwmU9XnDzt2kvdRugYUXG4yZy2Kl5u1Hktq8GChQom54Q/98JSvwpgzOndp351lX
e69lfdi2xCrqZbifQ/MPkkvoahpR1yBpdzNfqxIEJ+bCDSKjGKEIWP60KIgVxXRWUYN9vRkD3wCI
4NXbd+gvfEiZa1MhuJqiMCV9QTmZqigIFIu/0WNs2zl7IE2WkFIlvG8zuaXroyEngm8y9RvLPknX
2JezeRhalEPNwYq6VUr42a5EmsBGcbDEmzTSpyBvqdFrtsBHHiraVV1yCKllsOmiYFs11roq36O2
OOeu/dI32n7M3HWXmceh7XZDXwGVFmsNDT3Mo7VX4xH5V9J5qf1YB8OatEY6mc912b1MoPXDkO1I
vCTfV3uVWXfRhx61vxt6truNu4B4yDbYzUq0iM6bmxV0H03KDhGZY3qwmheHmmKRga4SgFy4+m7I
JL1rdyPYNQqhmKi65l6ZjdM0cnJVo+W5Ca+8IuyrGKM/1XQMe9svbfUSjT+0MZ6xuKE3QeuuGj+o
TKHkqO+TmXZkfiP+LP6J9eI7Cs2LYXVnw2p2cRrekND5qoxCTzTuq5MQ5Ch/OtSmdNpeZ3bMVjRn
UY+8hOUrr8hzPYmDnb33Dul2ffEe4hFs0+ROqvJio3Y1CEzZ6kF0wv/yQtwsKpYSSGk8S+Jvp4qG
a5G/56GSUfdnfrp2fe6lvivH6cSWma+7xFglrrbLjRbfgPyQs3wlBtTPUG1g0QNJLz5zYzpGCgGA
gVfQIuiIkqZD4ndbkoPyjALiBPInfqR60+BQiPBGcixLDE1djttL+t2YbwfjNCfOftCzi+rGf3qn
RzMVxnAE3J8lKPqIyIWqmChVT6Rjwjy69V1opvdNYRGNaT3IHAwIhVqcd2/Rqcju9PYpIR7AqJVN
1SboFNodouHSM3p8zLEN6jTrfhHxx0quuKsKaW+zcdhBSn4TznGMYkjImi+w0e/MXGcJHTP69xaF
eHY0R2yUtvXcjM0nnXyB35lmTuhtRKyZgpQq7ebVuJAEFAzcD+D0KytqiXZTVQabEpqi7I0Vkb6H
NMlWkGDEgJjiWkXWG4TKlx7IF5oOtgQi5Z5tNs9NSqHikDwnduOT0rmyqN0MR4aZ+dZDmksOXoKx
V4bIH+qKeJqg3U6a8O1eWenhqR8EEeHReAfySQ1DuXKHnyzKV8QmdDUpiLhjgy6+JDCy8bS2Mns1
PoxztClb8r6KSw0dvlbw0UMbRtwfMdpz+SC5itYTmyp15LP7FNr6SzioD7FUOQ+cbcw2GqdbcPCd
jM3rjKWxauTdqOb3vXbNDR4gwknn+F1RI2+sabouJeKA5HMYup016Hdx1YREeI6H0W0JiKutH7d4
jng3p5JadORfCbGFgcsigeog7uhupeI6c24W2R2O2X3EpBKqqivXIlCBG5gfpGK/pB2E4lQ/13NI
GrSyl/qRQBpCSDmyTEbSMbAOdW49avmtF35YTsDgsk1rMp5ti8DsPH8KEcKtip48QBfns6TQltGy
nek/LFKq3y3SQkVEsyXpAXsY8IYZsnG7VwjH8rnuqKycYyFJTuumn6IDuXATpOtNavTf/VCmPpkh
6laIhN1htgKEHBKAxRGjjyBX/bKKLLp3jNw6qnUoQkRyVr5z9Sp9LnGU+pmWuw/Ay3yTShe950zD
uwwPMMAn2na/I2vxQAKPLldIcyIf4o0XNov32gJOoU5U//AjnS+MKPMnhJu6y8XUEQyZaI8l1Uwb
zQ67ixMRoaMWSX5UFbt5ZN9jPmYwG72+Kdp7Gs2Nm8MnXiluzd2SRMNe1drqWPYmDLYC+WU3IXfc
rIzrYNKcfYjOBHKL0A3wr6o+FWUS+tw1EM/Q6nuFhNGTXtjBAZdVe3BRCxEJrbB6jY3L9w7KdOqw
j68KfTqVjk5meTipySO2MPtZbVQQ87KANwJm2oTWHF7McS7fKJJwz2BH9ROLDu+P04b5p5NY8lXJ
DDEg3YySi9l34ibcJHpwDXW6bwe3OmsDYHtvJuOlKd3oOJnPPWpWKLxm687d+BBA+j0ppjn1XhFP
+ptAW7gZa7pmTVCr+6a3JUnFs31HhWn3HonY3uWldLCsjeNn0szFVWZDdxUEhV8yqSX7PCa5H1n6
4syLIxpvHblBNQtlylzvWUaFHqGfURQEurYqzSSHrQqrbb4s2Gjb6A+NQoS4aTZgDIESeTGg11Yj
x9N7IjL9XI3SQExia0f0mGiVEBZjmIuv5fg+RpKuXJRUfZdNF0hnbtIqn/rHlidz0uJ1O+Xbkr64
taznLzhdgNehlaRbBP0tUKwnp5gvVp2+WfHCtOX7iCQLc6Yx1ewQl1vjsY4TH27W8oUtVogVwrWp
uMgXuX9V+3VQ6n0/0f2OHuvbyrjM9OTDJEkB7dAK7/CmI2mGbN+Bi8EUI/g9RXlnJzTVbRE0L6Ne
3vTC3Meqc85MuTa1eRUlBp9YbvsU71XzrGmd61dK+4p1NPKmMGaizK1bb/ZPgaJdqgmNGYijF0fp
3TQq+9CZcCGG/b7SanMtKCLc5cXinp71y+SgF9HNjLrkwnfrCFB7aEkIYChv49iTurnpm25TtIq+
rvxWviCi87qyPbqRg8jX2YRZ8VMV7dO/BjuMX/PWf4IdGMkFjA6STYukLfxW7j+ALvBkTEzCGnZW
9sKaHx/nUY6XcYABxso4HVSrqM9jGc73nE/Rw0A78k0jvvXSBLU1eK1V9K8OUtRP+/dVSZe3Zlre
H7G8SdHyTqXL2wWLUB+13zdueffKOUwfB4OWVa/k1ZTLO+osbysxNfMhW97g4PdlHkOjpQcmVQ5h
wLs+LW+9s7z/pI6Hfk4h9yl3W3dLXiwSKHqbnH0SpNO60Bqy7wEiN/CEIZJ8ThkaEYZ9GHDyqB1E
ZW0Oxs0WE+eS1jKfh1HUPapJ2T6qZZsfyRlBZD033SWc2cbc5aTTAwxhJD+pfF2cg2I5EZWw1P7o
yynZTF28jyoI9aqOfEgtDlO5nKsKwhI//z1sqbShkT11oveiYs6o1Ml9MJPU9SNDT59hcFgYwH0B
UKLBOtbTEN2bbql9Ba4y+jnhREaVcMn/XgKlTLXtsNwM7XJHBMttUS73RhK704+63CXNcquA55TP
2nLTEOTApcNvs9yHtBP4UCj5l7PcTu1yT2EzjPbjWN6Vyx0WLbcZ4vmnOECo4zlzO38DEh6RPLh0
S+ta+zw0ufrqTLIj9yTO9JdJ2IBaudSnt4FaDd4aA7K6CgGgUp5NX1p9Sbw5A5xOWpGHcPpst1lx
Jr0jJqlBj84VADUCqHpTsbTtLCVyUcQ3dvBh5oLiFOxvM8sNMtMNfgYbLUr3+xONhj3fzlHrcU8r
dsHDVET0QZdldi2LxPpwal0/5gmHxNYaHPZVOGcmBYy5xeCRdZp+Gmp13xsZzr5K1UW9iZBbVw3b
wkpC1wB45YREJSjQPFVUo4+g6CFi29wNivnWFEA5Uu3ZJGbmypnHd8KZwGUz+q4S3JKkvmVdlPvK
kDRrtB45KruC4CEW9j8sMS+Ko4qTIV3XbyvzCXUrE5CiG76KUIYTFoEIcq/swRks5c6hdNDnoqcx
R03jm61SM2h1bXKILOsWa8kNKWN0TGo33RU2Y7bM1UNoaHTr9NEIdzP2DD0dKe5krr/H+H92jhb/
TJNC5XM9R0zFqfR1bbqjRV31hpz/+cCDgXyrfxVSKw8FluxNYY0mDvJS39ZT1qy13s29dja3TlQS
ilkM9K9TZrIBTAVWUZsPOKx75kLdU60R7kMbnqpyfCYdpXgclIp1zMmirSll75AYnRJpZVfROktJ
8qGnDKpI0bStkVjVxkElirKubze9zrtWOuCaAXpyTwkn2wvH9n0oens/aSmMx1y8C4226lxgbchs
3OC5a+AKgIbgsYpbr87zcdVoizi+wl6AD4UoObpPaDkXSENCN2e0qFTW+asgcJWiLSamKWLlj5yg
fC6Djt/wxNZK8rW1at3+xj8n9qEhMq5dwuueWscqjuivg71euerCqcSnMrC/NYKKblSCzzwFHChK
jp64z37obr1hACT+QItxk1Dafq5KjJWlxXf3f9k7k+a4jTWL/pfeQwFkApnAontRc5FFsjhT3CBI
kcI8z/j1fSD7hWW9qb3riO6dbYlmkVXI/IZ7z0298AO8lLNKyQ5ZJVWTbagKsKdM0fs0iZch/Yr8
/wpYHZ8Iwg6mXJ9nqyA7Pcm/q2a+m6xCUQp3QMnTFuy74WpBuEEUXDe16Dcy5nC0TBqPPne5rPCv
ooEU5iPk1Ibu1fo2FqbcOlX8qKHMsv/3tgaWazrjEtFFYIWnQMvLSQ+oWyXP11hzSRAjGG0YSF8T
8EfmeaeL6hC1BBiEwggPwRDML7G7NJmBnHbzCN95NTZwwdZx28+vfpRkeH9g5+guNdYsdMWNbuPy
LQ4neQwMZV6Ggxcf09ZubvxCt+ce5vYZjfX47nP+XFqi0odxqaj6pbbCH9Zdy6XeGn5UXksNJgz4
n2j8jI3/ozrjxLUf3aVkq5fireM3/uPi/Usbqn+8e/rZXvlf/7Ml1v6zWIIrmz/vrf43r7HwRv7z
NdZDHZVdzV7xM29hOBw//vM/fl9j8WW/r7HEFykFgiAcmgsO+qdNlvWF3REgKJzNarFosq7KCyav
rKvsL46zrKsArNguQfI/bbLEFw+7p+060hVLuJ/7VzZZLHFZEf1RVWmXckqhEUA+pZA9euby5z9t
Ocs8MYzJtjoieO2JQSONODO7Q9YjCiYQ5wWlWLDqUdCtkZNM+7loP0chnuFEvWQ6Ne/8CmuLUw0f
LfJx4k6yZRCiuo1hWAZI1yq/T0qzuVzw6ssBmG9mTMmYreNbVRoYa0hJOlBLcpQG5TVJHtB7oimk
NHZeCooT9vfTXUFLl5VE6k4gntIA5W1OGBj5EsYHYly8dEBfncKoXtG2MXBin3TgJMbSSPAh3zXo
XyPWYxj1Txi4e+TDA1kemQrObDG8DbFhxtasaLwtGecngprkZRvb80VplOoU5j5UsFLb2YDGc3ry
PWZbUfI2AMlLGCwSi9tO0GdBWGzpffxNi+1+HXaMCWNhd3ekde2TOrFPpbLGo0icbjf7U7HBO4Sy
orIQAKOOmEb2N47Vfbc677qZArW1aqlv0byZa68Mt2HVJPupgfiHwDu/0nFBktrY+O+SEepBUXZc
oGkoN4A/BPI/Tx+T2iovzDRQ762aXuvRC9eSEnRBzzeLTo9/ymX53inPuPJVbx6RKahVhMpjM6eO
fTUndbdzsuIzttphTxOsb2ozBlUWgC3pYgsBpFm4jEo1trKQpJPBq2qmDqO4c6m+ypLkoQKgGUqb
LnmRxfRiu2VIxsOEdnG5rbPGPNnL/V0WdoiNnjs94VKJcjc56MJ79ZZ7X/X8dSB+U7gbLLQYPQVC
sVQK/C0CWnAMX0Y6fWAh8aCXusJdKowsGKOHxie1K9HgJRtoMWD9qElQhbiUidQpc+LJ7bDULi1F
jJag2DWz6Ksurp75vHqf41LzmEv1M4ui3mRLRdSXDe2gD2R73KpiJBGC4ileqqh+qadY3CyRJPbX
NB/NQ9w2d9ZSfSVLHaZi2ewyhKlPZtATEqdc1H/eA/Ef51zSbtLx0J6G2HCbnrHSyusJJx3HZlnW
YiGu9xnE1mPusw+iUqvLs61GzACOYWzCOklvPGLUUBCx4CJ0vdxh86lvMNv1F35gR+BcYHClYchx
5jX7uS2vFvh8yHy5RujCoOKuiW13T1WL49NpnqygGe8xWDGiYt1+sNoAx42tyIuJxT6J+uwpjZNo
zVvVbwdn6pljxy3q487wvzJz77d+IqpT1DY4sqdBocXFscpt7dRi0/n1Z1HW+Sag7GUaSf+lMnu8
ZRDobcqRvAX0JXLdNuqCgFF5g2YItqrvIOr3huh2sFJK9RJNkxnPYH4MNX9rJ49LGouoGnTBajZu
k1U5W7d+0hKMREezVEHFjlA1RM+Nz8xaBeEmaQc0eapk1C/CJRY7SxEqTYapNt5gdM9T46nHLuj0
oXIn/xmUOOADE+yJ06OHj2wE9TGuqMtKO9EjmVXMcYtF7h06s7hLZ8u4xss1U8Sl8TPqnGczpGsu
1IRhJsAM1Iznsu3FJ3aM/o5UgGFjRA2kCkA6QBnHYr5wQ4OBP5spuqPhs5dNdqNLOWDYowemd2L8
4OMcN3Sa7Kw5eHbttLw2avcSqjemLpwsAbtI4jnMdYYhCXdodTn2PoBxJP7xJhsT+oc+1Jd2msXn
YfbLk2+18Q3qJSYwZnfqVNTjKW6rZ5xu3Yq9HKufamLsNpGb00UwzrNm4tcZz/Fj7/Ey0mGa7/xw
vh2dPNsIBK+bYhqiI2r6W+4hJpU4ZHaO6QTvdEHzwUqNh2CsTCx+OZloIm9visR1QNrN0YaUTESL
IjqNuFvvqsAubp0YlXgWsZ6vLTo+ZBFLZwa+hAQ6KmrD8awjqKtugwDc2fiRm+2xeNWkZeACMLJK
E9FKCEyvJadw5HwSuJNvPEXjBEfhNqvVt0i4IKxjNiesbtlqmyWQkZ4+VnbNvO07n+PFh9BX5P4T
QGduxeU1gHbC/xaRL1e0nnh2e57m1BFqC7fcuyLWBj+16B2bLGgZDO9G0OFNjqFNPYjS/e408VU2
dJy+hOcNIa4V4d70cMlW2LulAZMxHHAVht2O7QjmYyO+06O1rJpV/FRCXN9WAg2GN4dPWa72jjGk
G8WdkCNF9L6y5YXb7ZUfxcgHSjXpQ1+haY3HiQCG1Lye+5m5BNpRbrv4sWlrwXjT8Nb18k67yeTv
ZE8972YcPS1OQjbB79TFr70WPr/UWTKBReqw1VBJFilMdEEM5BmGZ33lmgH0VcjJEart9cQIYl3g
n0O0ifiAbiAnXkfLQ9Mn9UOAdWMzN7DNFR7sgxyLN9PgFCIqZOMLf6ta533KWWbZzgcbR6K9W4st
n3R+o5X9f7n78K/D5n/UrVKjIPrn5e7m7aN++y1r/i0gaf7w1n+m0d9Vvz/+L79Vv1p+EYskCz28
thWSKQrZ33RcmjrWsoEYURHDTxI/Jc0Lk5IZzj3lmWM5lKV/yLjMLybFNGJ/EwnYD/HXX5Bx/UKL
YthMvi4LD3LcAQpo85eBYhy3YpR+6m8HXMBxPO6VHe6YrxHEa+9/+j39A6nWr5n2/OwU1wuJaWHg
IUX75XsFmUFrzNqWjOBi1+v+bsqqQ5PoXQ49avaqr5nprNvh2ZM7Q883QTab61C+IKVfiWi8HFMu
dT79/+ZV/SJx/O1VSbHIHHl5P7g0Pxf/fhkVHhxVf1uG07ZFjZGqgYg+oXcWBoAZj6c2srWqAWqR
k4dlazP5bAh9BvNOu7ZFefuvXxCmtj+3I8srcoV04YMy1fL+juuZMUsxyAf1t83chXtk20dAU/Yd
PAj/Zgzx8JaOkd6Uad/VINVmgOssCtvZodpOensBxbwade7ccjqk6Exd/9K2uX90vmNBgHMhH171
+C2lD+kRfasiv1IsW5MBi26PMMQhwwBXGTE5skH4QCYdghp2/fOmYn8AyPbKrIwN7rBdaeebOMU0
gWW1C6MLZdwNoribfe493Ep2BYPbnZYl42boSFE1xUWgkEZXxalR4oBnCgXeCzCJoxFW67l/N/JL
xdhgxaj3oqRcE/Yh8Z76rn/uu4TQ4wkWfDnqo90+EbhNcCJ26b7YS+KEsybFsBDcomKIdHydcvvA
oly7zkQCl3/hhCQO2z4y7nQR691nfX4hpd6NjUQ4GLBCzdpdFbvTzsBIh1BkI9gSksO14Hev+lDt
YHeNeGoZZWGnGKjY+52sChzsz8r1LkDBrHWO2zN1AFfh0o36HV4h+GvFoW6GdZA2/Hr4Np69Kavh
rqgd0Dlong156FqVreah32iyTQUTR6t6D/WNyKtTjlU2itz1sAgxTO+itHkye3drxvAzovtkKA5G
fY01fYeZ6a2nhLft92osXpvmG6QGuEAViB/vpgH96E3nqGZeTU5t5uodlsV14Dfdtek55T2SitdA
Z8YVnBp7o+EZG0yu78QMi2Ad8NESrc9yObOLb4Gs/GhVlvzSsr6MWfrm6WeDLe5WzEHx5smIuks6
y0PjL/e5Hx71YN9rqxOPKhH9EdBQ93Xol1AY6QWMxDWGWtBEwVNWJjmZ0dJfwaShmCXcFPOtDyri
nluYZZlq9Kat8Quu8gHiEa9CjW9OPaWH3MkQcIxVH1yFfRmd0FffOHWjbuu513etyKrdj+f0/y/J
f39J8vFfAKb/6pLM3vIflyTu0l/uxt+/+Pe7cbkBBfcuowGOPXtZeP1+N5pfGDL8dG0CJvnbZMj8
wp8ggOawBrJMDuDPl6NEAgzwi7sGFgc4k79wOXqLvP2nwZAN3leihgTUwXrBReT8y2CoNoD855aN
pCr63ml1rWtnXyrvIfZLlE8xBKeJyUhPQ8zO6Lac1Vc24vvOew0HjjHLCC7pBJ6STu1JudhZBGHH
J2IdLtoBYa1GCen3V6ThPVWo2JI22JWzs4/nmq5+XYQ8zGnJFm6tOnenBr6WhKI0rg94DY+Jkreq
dq5ZGO6Hyr61fQtG+koQecUmZzeVHjkJ1b1rlPczcjGf4tMOi3UCfiVt3+f0fgpACWVAJ0a10/Zw
pUsXt2Z2skr7OrfHp1LC0W7zM6y0bTlN+zRTKDVauIH+w0xwIQ2p/dAo9mhDfJP5NgaXcFkqOPVh
9jHsxEF62wb6IJHsoDDsX9vae4BY8BLb/MoC0yYLWR3Z1WzxHn3DdLSpyuxkkzr80yfvH5Udy5v0
d2/iYrfCjAiP3P2FcDNltWhC1L9EsKFUzdUPzn0wVDfONN3oGpB/GDJ3mfXWIE4Sic2/MWfazD3/
/AKosUytTJa3emGr/sKrjCrPxV8e+VvCReeSs8nt6t1o4rTuJwffXChubD9R+86fz0hAn/o8kieq
QuOYKTKh9OpzwoS+m6lBSAGW0U5bfrb1i/k0pvUBJEayVm5gHE16/oxcIobuabbZYwjFo8OyZEXg
13YgdofQX7UqCt9BbiMvqxGIGFgevC6N+Dbhkl4N43zbmdF+bkBP8uw9y0pcMvu7cuPuMgegcFFU
ZXD51w/S/9nk/J/+rT8ZQv6XOEA4MpAImP9ydo6V8a1to4ZGIvzTMfnHF/92TrrYOpaKfzmQtMvn
iZPqt3PSNb/gDyFiXpuImZdW4Y9z0v5imRyuS3FvLrZcXsvvXhBLf9G2uySR2VAusJHIv3JO6uXE
/dNHXOEhJ+LRE67wOH1/RdHDAyaeOu5HTpIiFDvMITX4uFjQ8Xrg81ayxGq+BcycY0wL/CkG07To
Bu1RjMZiCATJ7ylxyocf+jHIWKvOh9HGZCG9T6LBeHCWOiIYiyU0NA8v60ybwa520BCDwfC2WnIg
N3kTfjA0mEOKndQNwakTI+SP4IaApuMz8wlfuAys3Aa7IRRzUD70t2osMuh2833QyQln/wGQbUes
bo+ntYvq+jJ0vXw9cj2IHTK5Lln7YwArTacTxIxcDKRsFxODki6dzXvfidIXOY7BfSGwYipTELHr
TsEVVB3WCZPRz+9B4TkocmyNAJ7VygCcjFyq5OjEwiOeiywwhCcWBD7Ihvl5bBqq/TmJtzkBrKtc
jJcBHoCtlYWkj8la4L9MA0wGwFqBP1rvC10HUFfRoRUi3zw5YSpI3gcF3YhiMPU+gsIIHgXz2GVL
jH0Pco0hrE0g+nzTOiZjFJnYK1NGIy1hIC5i3gDWIvB8Wmyrl8Aen6Yoh2ivxQgYbG7ycZ3GuVms
57HKsXDPiVwyuBEWqyF+i3I7+zSFzzi37qfSgADSM+UzvQm9s8f5RFNIRYc6BBi517fBuFZ5ABTN
kAARBTpAVqSDh34wL7+Gjd+06wxeOUvTMSqqFQYqpJ1GEb4wvUQ8T7ZKeJAN38eaZN7Dsx1cb50E
7GEWryaaqIJcTtTsINkPaWh2H4xih3AnRTEicTS8ve705KC3VBMqhw6gl5YuqDc8r81ja0txxnBp
n3zVNQ9hHhZvAeEgMSvcvPIuufIkLSNZiN8qNHdfGy8srA3aMPTlXlyXr1YHoHE1W0ssbBzn9T2Z
pd7ZBiPub+Zy8E5xUjTnLKwwdrt5iO/FI4X7lrX0+NTYID6Z35nGJ/RvhyGhZdUv2IiydwW9du+O
3HbMEL3hoclziaKhzVxiFVuWrwdaWoZfvRHmrHYYxxNLx1KjZb0fhMPw5KmhvHPaYj5KK1+e26RC
ZB8auGRLhTjCtDxzg1RxrNa+KZL3gIdr+VKfe8yu07Q6mFET11u7V+6xdyJ1ThlD0kvZ6Wg+B9Vk
vuD0lRNrpmJeSJ68gS4uWdq3yXVWrqyIaWzMerBWunIDDFkh+DJfffqpmL8Owbi1ELzKbJDfit6j
IzWTuH539AgdEC/J+HXs4xxrRkhbYzTDAyP08hS60j8kpNNe5ARws3QIWv5YR+m2gi/2PDeavUvQ
ALoQZKEBqGlRVJsz0gLMRoDO4EYBS5BYTJmwHoA+Iyea5m1RkTHVDyikMUSzcK7A5c9C+0+eoDHL
W8kcX8GwWxsWdysoyLqs1kOQVZtwzklZs+fItNbZMGbFVjBKzWizq+gz7srwcdZheGkmVhJsq1bi
UzFsMbwYPCikqgkJoz6pqu5rJuOw5hFpDdxJ0cyjPWdOdQY1m007jBAMIrO5BECDWmPVaoeDpetU
d11VyYQRNS+KY5s1zUuzzPTpxD8SQriZNdec032aqsvQS5YxbGcAQWI482i2IgafLmaGIOHYP9t+
UJ+kH4ZfrV7H6YoGbN52gt0JH1gfKW6mM5O5QTXrbw3yhENAmWdWkQ3mM++LC64SJ1kHIFo+bCPQ
A+I8pIf88obhKuq6oF17TjA5m8YCQLc2CAgI1wSuA9zj51T60HkpYrsmDiy5SUyv+Zzshl51GPUK
Igq3jN1nhzqrqwtfRTnYGXCKpOhA8N5kQ5q0ewE/N0Qkji/FjlSLRHbOkS/hsgsi7ODKoXXuoH3y
05t2s+GjWX0fSSu8MFskGlYDZgWV1cjh5KX5fW7wuIHsjlC3D1X1NdIg9VZMpt3btqzF06QLgDco
KMXJRDv5CACneiEQw71w4zRgZaJbWIZuGcibEjb9jQLN/1hNepk5oaOp1hoduaSut9BXNFF/NekW
4w9Ey+DJszoTWxqCj+9mRaLlJa8wlCwOEYUifJncry0YQtrtVDRXPLdOdvBtwbChHhz1wNlUn/rM
i68HvxA7BlMEMvnsg4hSqxHvpEZkhOt0Tq2dURXRKZ58/TzF5rBKWQDeJLFnrlNRYZYZiuhM/Z2v
w9myKGVVsbaA8z11gZk8lp4sNxbmn9LU8qFF53dOiLTadEksD5WTmQ+QjoxPEZOVshKB6DYgo+SR
bQdbDshS/kNmBvjPi+ihKEzj7BcTucZIZiqClOPkbMSIZgO7RM80MMRisOWhBN1GZk54HWk8Sbie
dLxM7lJ3XD4JqSzfsED5u5EEeVwgOunWzVwM2JrYHeOhhziVDvO3NEQPY7CtrwEfFuFNodLmlJX4
Q1C7Rq8YYr5mZTDvx84b936EE0irLHrzu4kViTskdy5emT3LmPmAFDnfVWgLFBYYYfyW+jd1IW43
AQmyvtJOlr2mYT9DI7PEyKAnTax0B6FjoUSWHC6NdO0jw7b2oZqZ/uRGHTJ/M+ttu6yhMuJvo1VS
kEllNrbc2xxAa1Rb/YPD1XKLy00GBM9gT8V+wdKkMIfmbYb5deU26ATYZTXhsS/88Dowe3Fv2l15
Zh0fA20IHH1icQu/0AkJ8EztRc3YSLGP3dG9BowStISrLxJ9zwzTKxXDtwf352MVS5K7Vlve97pK
peZWppSgvS3ZF1kVK0j+S22Ua2zCeXqORjKsVg7EFO7vjPSvumkjnIIgm57FDBYeRVZ5TkowFeSU
6QpgdGPJN9VTNGNxCcInZTdhvRtougwiYNiO20E8bxqSxPy9DDW+G3Bw03D0iJsrEEnE6rkn9+sR
OW1/R7BstW+TzLoZRCggaTpNiwbK4HggISLYqyxtv4JwKm7rKTA85pwd4VuVWV2qMOFZnZFyn/Qk
keOpaoCcLI3ulgJ2gNLi9eFLaLVokNOhZ1eMi1c+mPFYPaNzLM9eA8NgVPV87XYK+wvXlj1unAqs
7qquozmDMaE/CtvGRkyQ1XRt9H5+4ZW5uSfQfezX9dAarKC0+jbPbmuRtGNPby2qx2lNyJ6xtaey
f48FaImdJ2FEDQAcDnE3D7d9go3st5+yspFjloxuYSbpB8l+YDUQV/DMw8lqv4ry8uwu0pGwyh6d
JL3DfgLmIg2ak5eFzDYlIdSEbvTGPs8cYBhwWdpNLjEbr3xfec+lxdJrReBXQNdqg+Nf0bLLp1j5
1ckj4+POKwp1h3qzvKJ5SU9NMKUvBsvveK1AlX/DBRjuUb04RDUQv3U9uqrHVZe246sbTeZ0UYyy
nxgbW31yEebCYrQYBNMB/4rzzU8D1IS5iRQ8Rz9G5k8JhnQlate7zquAZSw316dhNeozCPy62/Zx
MiP1mJlbbBQh04Q89jISe1F4EeveRuxgdscvs2HMd6aXoUEFaORxt4X9kwWq405PIr2GJTaf50i2
n/LH5Vv78ZIBNIOsHQL/bgqn5n0s3OZKQ6N7qMFZWlUQqFWYkeMdgg4Elmm7IfpSn7yWtVAIa4Dh
yRswpsOGCCaku2E0sb9s0sVdYOZ2kuC5jRdiBKrDdVMVLFvTTjgvZmBVcFqrtsE1G9WYUU2z/GYb
FRa9okbrSKjGbZQN1TPSbuSLleMdUoz+T9hhJ6xQ0xgcvb5r2p01QKNZZ7CmMHbYs3EkbtM8CM2q
JoGbaa2cabFFLDp6hIVtd4pCmZX7RLktiboWrnlaApBa9SAO5WhWCUG32NEsJ6QOnXo0SmGXl+VG
lotmJ0b+QPyMRp+ak6JykWUx0+UeNEa6Eb5VnAGbzoculUt1gzlv75hNfHCdHIAvalRxhxTUPgyW
yt/dYs5ely675TsAbN90tjTuza7uznjc6mcUO9MxsWRGqcqFv0ZBNa9Li0l/MvYmJYYhisvGnMpT
4QVIMYAFFv66SIv4LSvSOjyINgpukArwIyQJsimehzi+7bzsew0yRPK44JJDhnU2lkiAFdrjYl3P
jnMZhKMFUhABBrpUcI6jiOet7c7CZireqQSZcE9BguUMC3/EFmmjZtte5BSqPDQtQKDeySOD1jTE
apGKKHMOddvw1lDGm5kH9dcZmD5yI71FiRrVOo/8xl+hZiOsIweIbWPla/1+JRxCSeahjUk7bVS4
8Cihm67MRG2R94SXjUACVeNW+chcSyEDHbN2KSOzcqu7sHbXqUqio5dQl41BUlwF9Q9VHSmAyPe1
+Zg5S0/Ruk7Kap9bfE0+U31jd5Y8ZaC7D1hl80MPHvSYd1NYQUjPxidGtcLcw4kqjgaRAkwU3Yi9
kZrTqxzUvThKrO/Bs+5GFO69HiCu/PVR1f9JHejv8yg21/986P/Y4rF9S8K3JRztJzHoH1/7+yzL
+mLawkXUScSRWkZWf5tlaf3F0QRosCpHCrqoRH+f+Evri83An0BqW7I6VjYv5G9UE/cLf7Ck8GmJ
gHP5qr8w8Vf610mWRd4dPBN0I8uAjInbn0f+oT+VNYtZsQ9iJwPizTYYez3KSlpW7bw1ky9urYli
uioTcw3NjNmHmUyKwtnmUBwcPZxgdEQI+aiQsf1X67B87OZ8k/dEZGiCNjehYoCvKYHfw6hrj2Yc
SWbrbUBctkdKNnRv18EtRw57snaBaN3RYyPhb6v5RjBOJ+gAumAMhbtYsRoIV3jdxq2ZDAc4YPVn
wJBl3VLNsu3MIm+TepZ7bbZddAoY6W4nEVPO6q7aZQLdit1m0bZpY/cyBoi79sK5Xlc4yPfYq7yP
GGk7GFead0QBvr0vps6813Q5N0mpqj3vjN5kciTLx26H+QLluNjQizU7MescYgdk82gF/uotJaAT
U3eQxvvMrajCg35KhnVo90ixnM69HdIYmnVVwnp17fLdJOfs2k6QR87qtfXMq7mIYs7R9MDugZw7
gKXOdBsapHE4dndm9XpFpVFvRluDOq8ZYauADAlM1wjODJWmDAWyElfnOLSbMPHVQ8vEFL1V2vvm
hi0jSWPxJUkFxIu7mb3x6SCYvywOvTCb2Gu0Xo17P+9E8UZNN+F8qv1XLx4dMKhueZ4bi0N8FoZ6
SOEvX9Tx1KBiN8wrNvYITc1WYrJ1WxKYxTLqU9moD32D1D0Nuv6xZ2sAmzFwEkDZM6YcaVgnU7vG
sRCV8a2RLdFNiUMUPZ+0ZtXlg34eUiUuc+DNiD1DuRyD7LqRJkQfkRrqrcmn8sDwibzqwgnzvVk4
+WuPIOtGY8tZpQgZ3+uy+Nq6k/5KfJTeUxondxm125lWQj0ByUohtIbmKY8qfYpTKCaVpcIN/LWT
X0Cs680x39WVNA6eSaAyOktxywVNCwBKusDqmPCJdhKsz5bfXTPMSq7S0WZSmiZAMkCpWKdpronY
cKxYP7WaihtPxhAeiyqa7oElj8dsaKwzRVxnw1Yv+zfCBYcLliU2ISxNjPdvbl+HzB9OPr37AYGL
fGhM1wjZeRTDjTTi+jWltKzXSTw31ZqEQ6e69swEsYA/EJyOk5CbTyeJQTDEgIzbHwj/JdR3JEnM
4NsQujOce6WyJ7sAsrtqDN6KKhlRezUBe1KyRGQBPRfsnES3eqFjhFoGPsUbjgsQJ0kkous4pHFx
oZWfh3ZuTz0a9DM3PaM5gaPtHk6YdWEnbUNLU1nFNwTzwY3ZTnBvhBULvIYV4IVRmzXZNNq4RH1H
bMxgDYXFN83jG4F28Mrv5+Tc1APic3/Mt21qgZRw7fGg9QB4tjWG8tYtB/+GqEYmYxnzlL6ExwKV
1SVVF2ddjeojjU4i9nH2FpM6WWEzXprI9fdIktpTbpbDVciU9dUp6Yyp1xbzu5geS4i6AMEp/h+s
OoPCJuZi7w/435Kpqu+dnEFUZDNdjsgG3evI4tmahiy59oN0uIXRP96yCRtaHri6XZfwkuns0X/r
9mBUZo0Wug9PCf5vEvuA47XaqM6W8rJzhNn0qQKICNXFLD4HSSO+QrMgDv7sGvd66sRN3wjnyfIr
w1lbxJpdIu8mdazV8SXOBD7SuZTfgc6RMG8N5ZNTmNbGgGr5FIUgIBOZdO0KyPW8ldYEAwIVDpKc
JNyZTTjgew8anIk1DbLRiODe1pm/C0O3JcXEHaZjkeTyFGTRvJ8y5exdomnZJdfzJrBieC8kS7zQ
wROm24jurvIwQfKv/rFsB/0SDVa2z4I63LVIQa6FQqtBSNuCHGlBulgieyVOA5G4m2XnTvXRnl0K
vdjM4iCJVbvN+loyaDC0OFKpEZKHe4qI6jQJLxJqzgtGMBXCHLc+2rOVnUt0I8Cgom+iHl0m8M1F
Gdac8dxqoJBeSzlXIxwnfRdUkG+zcTpC6wweqjjtP/PGBDdTy3Hf1guZR3eisrZqmukUTbJqQojV
w7AzJqmCdVvL8lRqo11yV5d4DSI3UrfmiTQFyBtyA9G3OitbvtT40x1G8ldW0R+ywGXHHAVXjKXq
A0f11ppo5rMYFZlXZkxAanblEHnzclvXLW5piwTj9CKRbWMyBmuzVRh3OSb8sAOo1cbpMUTrvlB8
g3xbj5gbwrp+ZZ3GydyRbrx2BwmVazbRC9XNPNEniHkrqsHZ5V7W30kDEuG2Y5tzQIqKzgisCdX8
6K0G1KkzA4o065ozg5jyvYSfwtaVPAuWQdnFWPLryfnMM9SCiTaPpX0VNsR3TEwJmS3m06U1iH0r
5/mAlWNmmSvSF7rTD6p2/rf+Wzjq5jBkSAjc3DjgPWZEEqwrpwA3btkF2C5D3kHu6S7suDDvMbFD
ragNzO6hhoK6gkQAZtEJTXvDZsFCmE9G2cKY+j76tbqwUPw/8XxUJ+2W3UGSkMM10xUfWQvyzRWl
vmhFObPXJH+VULGzn4BhSlOG40Gf+fe8ARm/U+Fm0Glr980V5JDYTRVeWwHEDf6iZO4+WvvSnIsz
+ALzhLM6exmwEWx7XO9E1Ro9zJiBbO6DUC0jOw9x5ffMkBJqvYELI0nsim1ZjcgocIdoa7m5svdg
N8NjboPUhEwGXTMcbdAS49iZDJFzBYvDy4s76osov0oDYvw2RoYvAJyjXIdHs7FmdyOqKh5uvHGs
LwavTlHSyegz48TBgW+rYZ2OFaNnqaJHSR+6jSl3kQlb1kOj+3Q3CmRb/Duy3oxg2Z2MBbrsIjK3
eJCYiLsiOphZRN6tZuXCNO5mCY3JS0kUXN0c62IsNh2y55VrjjTFlBY08EmwRkc2fgzROH7H7/1B
/1e/At9/U2VvMjGzg+LGM4KFrNbBydJRtM4LOZy0rFOKVVhksy1q4hkYE+oGaMiQcj01ZicvZOU+
iHkAFiaA6QsCZTY+AIhN2ACMTssmwDDo5Luw6aLLOM+Hm9byjb0PYvueUVm7HxxLoYTMFVO/yf9g
lYOCs0YIk4ez5G3osofIKWBlSjc4m/9N3XksR45t5/pVOs5AI4EBbPi4IUUofdImk2TRTBBJB+89
nv5+SBb7kGx2qU+zQipx1F2sQiI3gI21/vWb2OtwJGqqhYRREm4qkXHhmuMsIeHVOQ3EEMx0rYoy
JrC2e9hLJD+XJiBD0Zn5vcKQeQ6pxdnEPviM3KbmtGCLmmCRpp/W5BRNpciBiJ5jjOtEau1PWyvB
4Q1gXp8PkYpQi3SndCr81px7juwtgsp0XKqrFr6FnWpHplU0SI86bRV3WN46le3N0ZQijJGEs9J7
LcQAqVUIo3DTScYUAfvypl37kZNuzDYC+KgNJpmjFZd/o/tFtcrbMNvKmPXNOgEyoPmJOUEXq33j
RUfHbRQW3YFviLlG2sYhwQnWynRw06nxOH22ktA6MUo9umqIWoUZnsjzHBdJrNBQrkJa1xYmyc5k
pmX48IeOzaumh1ZONaDOQL+741KuzkFDFtSp8jHx4wHMoOJaIisTdpN32vTSbdIgAVXdVL9SEzgi
hlWg1U5pWjLDHAPW5e4wg0I5LxzSXiedhotwPU5baOIJ+OLGAFGLq6jdyiETBVkbdOShlcM3YByD
esU5fNNZfkLqEX8g1Xzs0z6QaiTkEUErkyvEnI8Z2WhHJOGOypDY8hdCJ2UYbYF0hYF1d2kpin3T
W012JrzBPbJ6kd86uEEyq6TARzIh3KVX99llp9rDQtbJDyHVizlRYUsbsuiEx0Pr42yicQUgUmqU
Ehhg+zcayjGJoibB3UVUyZKhwJjeFh5ZRIY+uEbqzlSJ/AwpwBMeacW3Oi9RZ1SZTpyirdyIujYx
OoRHjP6bdN5xrJmEun6qReQPI6go9FmcW8O68EzzjkrdXeoCVxQA+13a6Ju6qi9wu8RKJ0QVaNui
n+mD1583dUJ2SjgcY/CNdTcZ4h7zW9JQ6Eo9uKxRVwxs226hP4oqB4KS8Kvl5R5TFM4bSUmvBxFH
eFv4Fq79hWc0x45p9muPyb3KKEAY56QxN2clvrejubrinPReKJ50yEOPmTM0s0yTzDlaM7FNhxAe
EgRfMvgMVZ6nfWMc4RUlrXSB+qYMhjTHF6f2BwSPcvfUlN1N6Q05Q0zdX2hFHC30Lo8WmIQw8Wdo
MFEJtDlxWp2shTwuKpP4O8ZUddqUc3xB/LMhTHhDg/0eOvSvGx/5FAkl6Oi3POj2urO7di1SrVnj
ewxJz+/L58yrKAXjtu1Qc7cExdfUCyQk5XhJTS0iEvCgos5u9iV3tC+/xViJ8xamKA8yUpNYSLGQ
6eUJ2GuxV1LHSl7dF/XWWN8r+0of+SDo61j/t5JVHdtjTxCO3UE09gl11AhUIS6JXmVAwl2W2iVh
KDQYxb7XMKjM2IzGFkTddyP12JiApbWbeN+tYFjdAS16vKyNVkwx+CFgWMURYe56EN3sfctj7dsf
xSySbFXlZje1CkM57Aodf3stw2yhCLlxCbcjABGL2R0TBoETI1CgSJpqo8EbW/ZWD4XDGvutIR8u
skIzZpGUbSXh+6tMYsFU2P5bEjA1sm+olHHAgumTUgofmpjPHzUeTZpWOJWBkrLGhc+iDJtYXAe8
v2TlWuS6Pq0tVd3YFu7NOdegx6aUlpEMsW6KPIE+EgZAeOKFFUgBTSbpPCSi7ztPY9+F2mNDmilq
uMzHJrUe29VaMdzjnA42G1tZf2xq47G95STHRpeWtxibX1IympFpxPRubI11ybVuEy2/7RjS3Btj
A12PrTS518ldMrbXGCnQaRMP0K+8sf22x0a83/fk0diex2Oj3owtO0kN5nU3tvHVvqMvxuY+Gdv8
YWz4Azbp2Kn4LdnDMRTpERkIR5CgHuECfQQORFXbsx/vqHsr57c0SUUTBOESzAv8hhDa+pgbbkP6
wSVDWvaVpR0moLeVcCwMfHDxEWMyCcwvfSNrI+FAsX3yxLCtXDbCVG5Ly8NHtkhN97Fv6vaQKDhy
ECyl3GBEbN9QGKTfVCs7rv2ELGaZ4BWKp3ZbEHqEgbyUhVzTQEV7YPbhCvVqSStQBYyhDVcyD0vL
TXBi7Tkr1RYNlZUzJDsiybAKwnEce71h3MjC/Z6GtJn9bdjvddp+3/PGLdAeN8MfL5gyGgu/W7A9
UkgxLUaYCwXPe6TQJnun17qeyNGJeTHcqDf5TrrJt+1peY68NzmTotMff6I2XoIPn6jIqHRGzRBb
pfnhE1sAFsBx31lCsXHuo7T0K1IDg/407PxBTKmks6OizytjqiB3vVf0gew/qKXPg6J3GHj1vrNI
ghb2nTCpqOeDo/IOF4TByEvS8qTrEleNS8O0edUZCZmO01AzLYx7w77AQS/Nj9W4wF4xGbo1lQz7
E3DKxDCtbd0N1rKh/ARsiIMFTu/5oi/b/MhK9eEOEhgWv60TrZtct5b4AEtXsd8Wx1ChwnOmXO6R
wCALJ10K4gvPNoad1voBOve2I42q84tvaNzH/SsW0fV+Uf/HaPy/IPUUcj4cN5ohZGf8h0DH8uZG
+4MP+fHuEdT+LWT/6QG+g/fo0kDbUSYZtqaqus09+LuYTVcVedw5yH1RRsXaK3pvHsgYlWMzA5hm
7yH6V/ReHZ0hTAvmKqR9JrCUef8Cem+N7uZvnhBIikjsoHrvq8U3Dg5aVOGfG1beKmrNeNzjiXbj
rezaUyuLCb9QYaEemVJiLWu1KGHw6OZhypSWOapRQXzJxm49sUjpnJldROcrAViWttV/g3NhgwJC
FMkwZI3DaEKaor2NMaE8N0NZ66ZmEPM6UE0Q6hwI15WKadYoqLdUGXFoGeTCvccEU8ogVqTaCWiU
egiVsN01Tp/cZ16ol3Oe4myZxkmBEEjHdwdZU4nLTNsbxl3RY6szUVO765e9XOENLaKoyddlKjnS
FC9RDSfSTAF0DizDP+8yU3eniAjyS91EOFNbxJAZYd04DG8L41b0YbzpOqWXpl0jQmgDwRBFC0Ei
9Sjb8eTbPCCPkTAjppNTO6zMbZf4GEHpbNEPgS51h3YQa4dK7bpbXdITbKl8cUHJXV/LTqFvYsmL
t2YMoV2qNHuFhmFYjkgxwXaG6Rw3KBaAOXTqEhcrUOidkrVo6gIhO6Qf78FuCYdZSVGJ4VUkjIY3
RNgOR5lkqM+t03QX+CUOT34bx80owstvBxFqZ3bdo8bwysAppjGZb1emNubS1XVcbTyMfE57xI3t
xO5QWExqopCXYQS+jEqhaa9MxZC+5bZPNYh8Xr4CkMQswDawKZ77VBIby/DEfaC0OUwLK58qgmxn
dNEuPM3EoAGCrxyb8zhzbKYoYXUcJCBnk1xFbmWCMJVrDS+wgqF3Ut3FoOJ402p1+eTGTnepN2kL
rKxV5FmCG1pTE6PIE+wBcHjAHyCKZpWtYTmQB6V9xnSfsEA4K0yddLvR8AGQotQnRoOIrknc56k2
D0h1UxcEl5pPScDQe8b8QXemWZBkw9zIBUpvyY6J5ax06KgUoN6NPFozQVrq4Mnpnd7AQ4v7cqSI
xu1KT8yaBsUpunrqU9Wwfg0QwZQAlQRYlyn/VleQOrP6hnsTwyN69oOMbNsiEpiKO0a1wsGrVh5Q
LMpgcBSbDUGDzsAt1UE4xUSSAfqmiYRyXNt4jcDQiqw1nNTyAcvwbi4VJIDNZD/m/0tRSseK5OOi
1tTobLR0GIJN5TUG/tqdwzSm7eMrguG0R3Jn/FuGzw64F7O7jBYbqiiOHfoikKVQgzWatOvMMz06
2MAw4YRJSMZngK2RNZXTsFKmIBD1oreZ9U+8obee7KYwUOCVNsxIM9KZ1HWVeU54SblujKZkdh/X
3YUU2eW9XejldRB48ikulcNChzKRzsA+sCXLCrs5x865vG4LXZ8UessEYeCV2UTMJeedFYw2JI3T
zMmarLDKSj0IqhkJc3MpTmEnDkGTXfdxGR4lSqh7cyMwiAUIQOHX0DGgpRJiPRBQkIBpRmAkUCn0
Rp80gWnMjTJtHuwBCIs2EtPTadUP1UkEF28LY86zFqmTZg6uwH23HL2pl6SdymtcaaDPCi7jbWGH
wyPpkxi0iEruT2Rc2U5qjP5PbPBGMMRUM7dtnPkXTSMx5I8aQ1nLrTGsNAxJtr7V0jjSQoJBtomE
B0ad3KSpZ86bARZ26TjOZVWz5cD1dYcFRvYRAyI78+eQsCDXDZoV3FGop2dBVOjzMnfHoJmuW+Oq
MTzWuDxY096DdL0MwxTWkdH0XHvkox5+Bq2b3SJCDolodAU2Eip2/VMioAviMOXqiqvTjVFDrnIG
0RhTtwivh0NJ79py0sKQs5epBbLg+BIqAJkaNuNeDdJ7OnUGilrNTZjLNVZ5yIuCOyXVshtsgfDd
z/NipLLXWqUvNNAh8nbCALpYZdLLLkUmZ9/KQAnCrbAgpHJJVDYdVwafVyW6ryMv6AHYG5Z/wE+1
kjo64R6LHxG1qoZrbV9CG82z4gT3c8SZbWL34Yw8CPu0yM3ovvNc79mTinSWlbJ/6YqiJK0uUnnd
4JxhLYPcCaB4uqk5x8c1y6ZuYvorLZHpjqQU616tyTsAot6JDuu2gXeqN1FM+GdaEU4ZCAwD8Utx
Z43ldJuWEPRhJmFms2xIfF8rlVNjN1FH2hRHd73DdV0NjtVCAUURaaUidlO9ZYMLK1Wkiytqyeiw
KJvhuA9IHarjOBnzvDU5nOZGHNybeZjAi1SP2o7wnQlzSf4V7Xx+nqVmea1GTAhpUmSVtKtKx9ks
lIFMUsCimUuSwSGPjZ5ex0ymIGJX5co0KElBMkhyUqJbBhGQ+I1R7IZZMJ5yiR0dempLc8rghthA
v3R0GYrxkLAPEfJYKFvV6s6FkjLikyHERLwNeFHD0IySCLnJkI7IimNNtaSstolTN88aL58lZg9A
r7axM4uWIAv4zKuhVV2au7K8UjtdXVmhbvLoRhgsVRbpyrlv49bKyNre1AqMAIxg624MM80OyV+M
mbf4NUMGBeWs6qNcmVFEd8eDmjO6c1N5ZjcOE1idjXzMT4Cxq3Ru2k81AA58LQyFnFoP9GdZBr0d
4G6ch+vBL9MtEvSIyPpWPbasKjgi9lY7qr0abTHWYOWNzX0GvzKxHgzYEQmtg5afaXFkbUHLTFyA
qgRzkcyB1ttJ4hFrTkFuk5Kc5wFZHTmR4to8Dl1tJetVdiUnCNDamsuf4rx6E3uhGU9aEQ4M7QxX
nihmYJ4mkOsf8I1Cm1hAO54aRZWNAkNE31UONRY27QPx19nGqIzuJGEaj4Y6DPDN00tzrqYmmW86
egV89TK1ouYS5l08qEE/TcfUPEPztWKit7H75Hi5h7xRUo9BKcx4GpFNi9FTVim8QFED3TZab87N
JrcuJE3FzziXHffWxJQZcYTfdHeSQWBXiIrch+IRoKuEzr30rMwkC8JQDwGjwmfOt9iQBtrf20NN
wtuQ9SSY0/eAgjeFVV3aTEvzSVCSTD2Dnm6JiYF68dxyC2uBVqX9NtDSL8w8iXe2MCg1sjIcc41L
h6GqU1QJuZS56i65VO2x4roVu4PvFOc+E8Kc8sUIAwYNETsVIpgqmmdwuHxm2VKdLusKqsM6KyrZ
nVk2YqpFRDj8aZll2rUwW+z/RAnsscATqVFg+lmw2X0olUe+aw4xPsZdWc0a5iiYLSHJV6fMBtHW
O31b3LaVXwSzAuwlnfpD5JyAghOgotPWr7lD7AHysl/tCB7jpQbip2zDxmT9S6vWsFWJg3olEIB8
0zQv32Z5RKJ2QT+0DXrNnjVKA/9UyOaRX+rWmcII6MlXcov0Zr1MxJz3bsIGKHBpnoRWoV8wFPVh
jPeUBJO2KL0EP5sBu2dFooXZWDpZ34sWC5uVGYk0nTF/yixeb4lFrieviuZE+CXO+VwF1512BCEu
DaWytlEksnw22K01TFI70p6DWLL1WWJLypWtSz0sdEl+tKyorvGGH3iTh4zPMInuGLZM8jonjygK
AgRIZeVBmYncZwGvZlsNIHS9nSn+ghoTfrBm+fPBTIvz2mJ6UwDwHSsJhpaLnqotmGkdbkU4FFvs
U3VoTQyjdHZ2m4utnFBizKl6bWlaxLYezbvMYPbEeF56xhl1oEYj5gwkDEHB0OTpQnKSbl6YKo+J
xnsZ5nVXK/M8kNOdSoyi2ASNG81JTyFIIxPdJpUjaMhJlrZYimYFFkLcVWKKxs/bOIBtazW08B6W
Y8YLvcHciQ5I5OQtQMpopiaHdK8CX+OcFKbH37LWtMpZjpvDcwpyukUz1xP7Az1xFjk5znuBNOBi
0HGRi47xKA4RhMHDDkC7RAWIPTTuTS6u7fN6wCAKE5BQn+iym+28SCqOQvLWKfBJmocKAnG910yn
X+IpZXYnSMGly0ZqOIrllXiHgpDQktFzjvPa2jlMuacf+simaB4wrd3y5sYCXsVC9wgP0oThvoyX
Bb696lJG1jJtcgy1UJh1c7cQ+dwQHmHPSWAOay1AVobfVj23U4ng5r6sTzhp7RANmnxDHTBGG9oo
lDCzknhoIgLCW2eA9wV0iLSP0IUuCOttqtWAJzFBbiXGp8BmEHX9c3RO0VzJsBif6JatH8mxoJzS
Q2cuDOeeOtVeyjyTc9LFANZt270jxrC672Wm6iR8Ks7M7UV455apeU4WKaAd3UFw2KZE6QxSHE+Z
AHWX2AFu4AErt4gUvXPGYTyXogMqdQy9O7Typl1pWeQeGUYWsu6Gj+cXvqmo4319mYayuM6LAY0H
wZfGWKHH6sKTZUYW5gsR3g2oZkNfvtfZYlY+ZSlWzl1QnkBDwNm2weWrLhqcRoTkB9XMVYdojWs4
RTQj2PQydal4KeEMYig77UIbUnVtGqW0SUvkCS1MY9i1gdFc5lKGkRM7r1gbrmXNza7xLnn0CI00
BIJTy6kztkcX+L+sG9RWUSLHpwjIvENEUsam0TConuSWhZmfasjhiS6pNYGYnnrqiwHamQN6fVZE
ucsMR47xtJPJ6HVit8c4uA6qC4jk/hXWIs0GmE1/4NlVNopX2E85QrkF5r8OmT2iR+IntRr4OSHv
J5ESBmvUUgE+WTKKA7kBy4gr9isUVoKEQivGiTWpvVmdxPGSsBziJ7CuXovMyBifat2RFPFlQ5OD
TBwpQUJZuSke70xWrwtedR6fxnCG5PJx2FhFF44guqHyaowd+5rp6IQAcYMopgCIXxXdSYq9LLgi
lYs+xT8uuVRiJVgYWhNsUk08mzSDvJWJai5nHbKLYyBWEwMFrZg3YUjWJQSy9hvJpPi5uEOeWguy
qKrHECB2+u8051HmJGq0UnssS6qo6LqZbARkWwy9p58xSU9q+JCBXL5o/H82ivh/yPoVQw7qD0RG
Qht9NHRcOn4EIn5ui/XbfyWPv812f2IG8ulHvMCMo2cWsDpkKo0wDJPT+B1mHH1B8IyFKPxC+AUC
fOMLAj8YYdyIemoAoP9kCctwjnEKxWwELSiH/JccYxV1ZAG/ReJfjEG4qUl9ETpz2ffYP+1SG7hw
76ELXtV9emJfKgt3wZiHKo80MWt0vFjI5Va9wtPPrqcDrnK5j+fOtUNAmQ9uZzUavOH4joqeNJaV
F8PqlBZwD5YNRYVTkrBg3fcd6A2pa5Pav67bO0qhuQSGh+nmhYq+uRX9mYrWSZUOsdArEGGvILY2
4tR99CBhJfpxD20naU/SgiQz4xmwCg9wJIEStjwGcnMoUbjhnrI9znok3pHXL+OxFDSAejoNm0dp
yeNTLPA/dcfK+LTDCN/GhjJp72U7uSor+TweTcgp9ayJruL8XZrk3SUPVXRmkNALVBRWNE4QWtk9
I2riApcJU2wQdV64EVpjtVjIvVhJWnwYostB5HOsdkowpbw8K+uC/sAtZjXGKWNKMJTGSZcFvBTV
lGEzSsMk125l2MpcpnlDxACKDHCQdqGV4aLHzLfA/jIwCqzJyxPVrzaVoZ4CjjyEprHpUs617Xt8
/RXxrfP7q1QaFiImeFhDpBsAW088g+4DcZmL0tnfuDGRjjn85rHUOs3xdQq6kzePzeblHnobaEmf
9vHe4rkjHlo2YcFrpHR+uLfgjZfo2pm6dUN8VVRwVTSt3HSNvmInnZMHns8i0ziswmQZZWfMA5e6
oh0h9K5nvcwULS5xV3Ucez1GdYSSvPBrssQCJH+1o27UJl2Q9HihajqD64AiSvWP8uRIrrVlkSVH
So9NjQU3LYP7O5zrkbdCLTIvFPu04hKiL37WCn2rh7cSy+ywi/tFvHDJicNOfErdCqmEcjgojy0b
Ey2oTG4hrbJB3hR6sWhUbdPL9rGhQeNDxWR3UBy96jLIECErBvlDh5pyZ4BABkN9mBsEb6XgTlLq
5hPTBIKwuSuRiyyyBhsVTIBz+FwOrVps3cdVv4oiGYdychQpeORpWA/HQ4dvv+Xs+kxfpFj0xhwQ
7/+x9VN6aG70MMI9DZJLURQnBRKhUmkvk+5uCPTuKBM9lEh0Mbe5o0IU8ZCiBercy5SlEXCLtIaG
J5W9Aul9lDvOsYn7M7eHeU+lp89s6sGjHOlfZgx3P75NxDjre7cDjd0hnjYyQlGZwS0jnre2dUMq
WxgbJJhCpuGTi1erw/I5hXKX02cNTQHfoNjmTng61M2ZWxYAo92pj5JSCct8wdgfPq0dzIIyW6Me
PPMEwYt+tS3xukACFG4Cr3nO9OS/ubsZEX04b1yewDBlNnBeMBiCfzABLGnSmI5gVJabBWFGQoXN
zQnrMBZrVK8F/mkOwu4lIqRZBptNgnA4yYkrw5CvA1jJPeBAUwLFL3KUGZlpcs+S10GfuDLrAKtA
Izrt/eaCjXWpRt3GD+qLjE5rgICPFdCjq+OoiQupo1rVjEhD+mOfqU5hkFvaWRZbYyOeSW1jHFFV
EhNPOuhgQEQfZe3Wa5pNa9VHmeGQJGMkeI05VC+GfZebgzJhgn5pKNEZUdcQUvTsGfWZN9fV7BJp
5rPtqUTf+cYz7ISL0ghuYrC/oikhuCjPGYiQ17l41XIGbr4usAcd8K1Arf2tjQlTwAFjYhb3rSet
exiyadzOSwWSWTuVG29K/3KdZPTIMKI0p5vHenUC/2xDlncwyWSByspeSQrSWq+ur4OiusohdYDU
3AxhfuX63VkNa3HWjE2LRDpnkE9zV17peJfrXruSoVUnVfDgyNlF5FWHtUBeDopZBPrMCKyNm8jr
NGs3rQZ5MrIuYkXQr8TGjGn/3EZX4qOwdj15waU/lhXsiJqWt4x/DQy9AhucVyYCYLDk9LhyhnnZ
6wtU9dPIRIlf3gTDxehfFfrWzKuP7CxcB4lzjbkbPBSaHGYTWCPAjbPCYe6NPT2UimcizqZdZWxq
GK5oaG9z7KMnaGyTlRCRPB1UyKOg/tV1EJvnqasSkIk/VFIwjLGzBmZ58JBHGrxu8YyH7tqR7GsN
1NSR0kfMlha41yCsIM8y4TGk4Uo3VR6uxMBwIc0u4tbYhm5wpAkcZuE9TXLEGTATFf59NbPTegG/
Z+a4ZcKb6SYQLWav3SquMVvEPRaNehVfES5z45b6cVeo36LKYlpi3OhDftnFdTXnrl7njvk8CPXI
qT1j3sLBm0SKe9Qji53UeL/PCteK5ro2HMMemSDGP4NKVizNQt5pJELOcZ3Zpmq/C3MPJk1d3YCp
EisMWWNKIM2m0KqrZrAOG5I98FQBfg/XIUx6JFU4YSsdNOrgEqXsTS3qI5nEq7gb4HkliA4idSW1
3ayT5Q0O8zOI+99iZN5WEUJXsLdGLZ244S28oQn0u6mN2rxs/HOs2edU6d8YhT4PPq4ZrFjX2Rdd
r8IGImivggen5FtHum9C69ke5LuOCZ4ruoVS2w+QcGd+bDZwlvStYz/FNI2mPdckQotPM+WUeNqk
3gaNvymkeFarmDGo26bHIiewruKunJKBOE0h7iaGOmkQLIjgKfR7mNf0P+WNaV+2gMnI08m7eWZW
OFPEbe1emC6cTKsg4uRcArtwS7wda8HtIp0EMgJOf5wcHcsOnPh+DLztV74BYm8udC2eE6w3ujvw
fjhT2gd8GBHwqzcV7kNGz3Mdihvyb+OuRdB5Lo/qY/bK69wRIYl/+sz171ukVnH93AXpNM7s+05V
o4XdlPf4GK/8wl2FvvLYtEE1ZbBGa5fasx4mMeOUdsbAF1FTSgATCOsE7iQW4278zScjdN6JXnuU
CqISLbjATFGsRZsOR5jnXHpubs6GQLm0Q+k27fvrNBz2Hu6DU2GDnTEzVjGBXwMxRnPwb+KJDZqu
pk0e0npYWoO5YnY0DhuLqQy1nLqKgZlGZkEhkxuDZ0YMubHCcaVWirXROgT6VBCrDPM+bppD1EFP
JBhdYgWUTfNArIKgJ1y5pDTBUiacO+bIVMJKJ2jA3xmCZQq4+KAdp5n6HMqgIsrSrYxDTSOmOS1O
wjZj94V8n+unPQl5cJcFSZUq3lJaD0Gt1UmyZjQ8Y1gqTUvNruakW/WTf/cGOl2zpkzLdHsTitHN
36ovfTm+QYOaTOIUEp5bOlvVUw5ZG3/u2ATJiQybtdQ0sY9K8BOXJVRxkHou9tXBT2hHv0BX+f7p
I39kvo/6OK+fin77VBK/iucaSSjuUzr+dpP6SXWZ/r2/9OMDfdeV/jcWlaYto9CksngnVt2f1v6c
f3SUaEeKSf34RIqJfgB/RsApwyht//OP36I0cb//2tQOZCh+tiHEy2/pEfm8N6v0Z+vw46/4sqA/
/jvvvgDPTVKNF4JIu+QtjWffWvyVJfhwhH8ugYCeowvY+0iy9z9gAG+XwB5XyNDGRn7/Awn7f2UJ
do/kWTN5qwr/oXq7BCMh6Iu3gTBYAw2neeXT28AWBxYiPRtf75c1oOD9tdYA4Fn56iIo2oEJ9VBo
kEQ/uxGMAwVaII7Vv+oi8BQDIf2Vh+HDvfTmYdAP+I4WxpvqZ2tg8WsZ/3DNfvmg//mN4MOZP/2e
xyR4Pl9uyw+b9L+wG2JIr0Mr1DQ4fy8/77YCSzvQkIxpKlaT+5//rd3wTxdhfCkI9cs3gTgwmKCC
zHz+ICgHOiJjAweBl0X65XZERQbSxYb2qw+DdUBkFno1HBz2Px/eDOYBSwA5WFd+1XX4bksBRvy1
XUE9wNcX0Nn6vvUB1715RbIr6AZ8XMG4bP8DjvOrvR60kcT7pUVQ5AMo6RY+shzpzbc3DWxrsflA
VvByl/xyW6OmcHpf/fb2gQbsSoDE973vw7PAy1G2bCImXu4A+5fbGqli5a++H1TmMjgA67ag1nh7
C+gHXH2L1wI5s+PPL1cfjXOmr357ikQdbxpNoEH+bDtUWRy+uwU5ff/zyy0CG5Txcl/+/RJBwdiH
VkEGkn5/C1jsAqYsQH5/vc1PIUOHsvWrW4B5YMkyYZXKh69uHwDOc+317w8/v/61tn+UHMpXL7zg
9tYZE6PyeHfhLfPANtlcyNZ8+fnldj6VmfDLJfn7tz3PPkobagDu/P3P++0fg3bdMGijXwuEf+HZ
/ws9xO/ICx6o0eMec/Gfys+gmT/7C69Qwx9//x1m2Ee6MqZ89xdHCObls1/6jPH///Nd8b2HQt78
8hUa2X/O93/+/Qv+8aPffdbrt3r9w5X/VOyKB/KY9i3O99McQ3X/4x8wDjwCujbF7vGp9N5iARiN
Uez984T+4x/vTvfNDvDD45flLn49zLgyLxDDVw878b1d8fawLw3rVw+72hX9Ltm9PTBkBouK58tH
9uPdg7eLPl1pUi5oML76EYc7jPZ/+7ddnP2/3452WFL471aIPnwsJr76KUe7IgG0DN8v0gtm8uVj
c59GHw68r7a/euDjXVh6u8f26Sl7XYH9UzrK617/4FOQ9Pcy/0f3+Mnu0es/f4ZG+d7XP+Ds0ef0
X4+zf4peIIqvrsumfqwfvKei6N8d3FAV5fUP/v6ybOok2N2/Hmd/1i+F81fPersLdlB3d+/Q2+9l
6VePfeGHof9uw4IyMBZiXz3w5S72o99Od4/167HGFfleR3714Hsvyc+2lu8v7K8e//qprH6bPCXu
Lnp39i/F0FePfrJjM2fDqt7Hon/vNb969GUdcPR3MPfv2NaXj52+eyp/H6R89bi8lX9nAZ76D+k9
yZnrMsIqtHy7/kDIpGT+hE39v4o6+fPXExRvfA5+xkbpD2nxvhzg0LJJG/j6tf7+dkMSdUb6y+uB
9vv7y8F/wtP7OV/zD58Fx/L1z/7+FzklKHW81K9H+v5NgCHVn7BMJ7tkXKdPDv4TlunkyaXG2fUf
r8J47j+hmJw9RZ7/xzMf0dmvPnF/yrr9DgD/hPfhdLT69f+QXfUCMP+E++avpGPtG4C/f2v+Bc/i
L37CIa+CP/VE/gm30OUTj5b7scY3foc1vnof/VV3iC8u0+f70d/hj//wRD7rN3+f2f+xC32dxX/2
z9632OPfeIiedsV//n8AAAD//w==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1F295055-CAD7-4E83-84E2-78C8B0B6E9BD}">
          <cx:tx>
            <cx:txData>
              <cx:f>_xlchart.v1.1</cx:f>
              <cx:v>KM</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a:effectLst>
              <a:outerShdw blurRad="50800" dist="50800" dir="5400000" algn="ctr" rotWithShape="0">
                <a:srgbClr val="000000">
                  <a:alpha val="88000"/>
                </a:srgbClr>
              </a:outerShdw>
            </a:effectLst>
          </cx:spPr>
        </cx:plotSurface>
        <cx:series layoutId="regionMap" uniqueId="{2D8709C1-3FC1-4DF0-AC0F-72BEA08080BF}">
          <cx:tx>
            <cx:txData>
              <cx:f>_xlchart.v5.9</cx:f>
              <cx:v>TOTAL SALE</cx:v>
            </cx:txData>
          </cx:tx>
          <cx:spPr>
            <a:effectLst>
              <a:outerShdw blurRad="50800" dist="50800" dir="5400000" algn="ctr" rotWithShape="0">
                <a:srgbClr val="000000">
                  <a:alpha val="76000"/>
                </a:srgbClr>
              </a:outerShdw>
            </a:effectLst>
          </cx:spPr>
          <cx:dataLabels>
            <cx:visibility seriesName="0" categoryName="0" value="1"/>
            <cx:separator>
</cx:separator>
          </cx:dataLabels>
          <cx:dataId val="0"/>
          <cx:layoutPr>
            <cx:regionLabelLayout val="bestFitOnly"/>
            <cx:geography viewedRegionType="countryRegion" cultureLanguage="en-US" cultureRegion="IN" attribution="Powered by Bing">
              <cx:geoCache provider="{E9337A44-BEBE-4D9F-B70C-5C5E7DAFC167}">
                <cx:binary>1H1Zc9y4ku5fcfj5Uo0d4MT0RAyrSpTkTd7a7X5hyLZMgjsBgtuvnywvfSUcyeqD8Y249ktHi0Uw
mYkvM5H5AfzPj8t/fKyvr8yjpalb+x8fl98fF+PY/8dvv9mPxXVzZU8a/dF0tvs8nnzsmt+6z5/1
x+vfPpmrWbf5bwRh9tvH4sqM18vj//pPGC2/7p52H69G3bUv3bVZX11bV4/2B9fuvPTo6lOj2722
o9EfR/z74/+29qp5/Oi6HfW4vln7698f3/rJ40e/+QP9y0Mf1SDX6D7BvUScUM6oirGKv/57/Kju
2vzb5ZicKCJ5jGL69Sr9/ujnVw3c/qA0X2S5+vTJXFsL7/Llv3/fdktw+Ovrx48+dq4dj9rKQXG/
Pz5vP+mrx4+07XZfL+y6o9Tnz7+85m+39fxf/+n9AV7c+8sNU/haeujSv1gi0WDv7+r4CZbgJ0LG
imNO0Zd/+JYlFFxGsRAsJt+f+dUED4pxtwm+3eaZIHn1S5lgf10X+rs6foIJ1IlglMZIiLtMIOUJ
xpxJsNFXMIjvj/5qiQeludsS327zLLF/+ktZIu0Apj/LKWF+QgUlNCZ3OiXJThAnIhaEfLUD//7o
r3Z4QJa7rfDlJs8G6X//UjZ4cmXaq/Gq+pmWYCcSI0YYI3ciQpxgcFrgsu4OD/9IorvtceNWzypP
fi2rpK68Mlfj9yn6E7wUORExEVjeYxN8wmOJBLiqO73UP5Dnbov8faNnj/Ti10LJtbmqfyZE0Alj
sZJSslsBW4oThhQRDH8LJl7cfvKgHHeb4ft9nhWe/Frx4gJyp6q4aj/9RFzQE8EFJrH65ozULXtA
AsXBGJSIb0EFzPU1YH2NGv9IortNcuNWzyoXZ78UNp5dgVmubDGanwmQ+IRxghSFZcQdiS3gBCMV
U8K+uqvYi+b/UKa7LXPrZs82z34t27z4pG3xE81C0AnHFDEGdvn67zZc2AkjCpaG6JvVPLM8LM7d
Fvl+n2eMF7/WwuPSteXVh+8O5H8f0yk6UYxAxCbylhUkP4H4ocAG8quNvPX3w3LcbYXv93lWuEx+
KXf16qq8siNEkZ9nCKiHcMUoI/HdS0AKdgJLKCa/+jLPHv9IortNcuNWzyqvfq0E681Vo+tHz68+
uZ9nFoxPEBYYIXU7qEsFSZZEBHHAzc1o/s+EuNsSN+/1TPEGCk+/UInqzXV91eZX7U8MG1ieKIQE
h4LhbU8VnyAEuIj5tzgOl28Z5J+Ico89/u+tvjnSX8ocby+/6+R/HzHAUcWEQr4LoLgjq1IQ3YWg
nHxPhj1H9XYcodh9aa4+XdviR1LdbRLvds8sx/f8hVDy7tqOj5JrAEr9I038m4V1iBScYY7k7Yiu
5EksoXjFvi1S/HT3Hwpzt1lu3ewZ5d3/37H97vlys6J46xf/bpuDQJuDcAgh3+I29p0XFBwFk+zu
msm3NsT90txtjm+33RL8/3FP4/5+x99doD3UCA9f2kc3Wh4/vvrl9aCj5d36zcF/dWa33vI7js4/
/f4YY/A9fzeljkPcCgy3dPv3768hsfv9cSwh/cWSck6ZgEKjiB8/mgGtvz8W6gTHUIdXCFaViiAK
Bm07Mxa/P6byBEAHEUogEVNY3cBC33bueEmcSIEAeUoSCXl1DL2U76922dVr3rV/6+Hb/z9qXXPZ
6Xa0vz+GcfqvvzqKGREM80VyfkRw//HqFfQB4Uf4/9hsybpKx+KswPuYv7AT5G9/v/+/Me7xeTfG
jYmehK0XeRh5URfJtq3ru4KI5Wsz7Gsv7N8YHqxyc/hSRtU6L608FGYw5tUsNpS/yZet+/xj8aEL
cqdayO3x42arlKsycYgJt9vLHjcxSgpacpwghhqSMDqM2emPH3afDcD8N1/Ggu3LOW/FYbFU0UQh
mpukW4X668fjg7O+82XQ7fFlPKC+jFdxcLhnzzCeWfN6RiUST1c1tksayU2YpFmH/tWPH3jPCymY
6TdfqFeon+TxgVMdy+WiK1zmdsy6Qh9+/IDjQHfM2mMiffMBSm8zGh3lh7mycr4QK83Irq8sKZ7y
qijJM+wqV+0GO7SrTFDN8HCK2mIyZz9+Pj6q7i4Bjqq+Mb172diK25UfXJ5Pw04RlUqKP/cVHeYq
GfJ5ahK3yuhpN+e4OjjSdapNolyRBmqfAQBTx5l7Q4I6X5up5jOoQBG+o6b7LPmsH3i/+wzoeYUO
kDqrdeSHdbXyT9StXZJNrnwRJrrnG2pVamGp4YeKan2NgKjwtI105XZhw3u+oYtm3g8F54d6lNMf
eB5YsmSbDPM8yvMMpp7LvicDP4xdtG0HtEST2Yu+62Sg+J43IEuO1VqX4A065srdKsTCkmEAKO3D
9OO5A1KuUdvZPkrbbpXi0kKpbvyjGcfoAd95z+SRHvqtQg7NC1fp1uHmsOYsMsmiK2seUNBxEt6B
PemBP+4qVjuyZmkXqa05nQ3up0M9r1jvB12wOPAxHsQp6zI195FMx9GR8awVXYsOW4vr5dDrcV7C
oCY9HA/dNGR0aVTak2p7U5m1eNFKEb/5sa3v05UH5LlaFJ4h7UhJtOhDbY2kT3O2dsO7iqtqeUBV
91n8+PcbvqhQeV8p2avU1Gw9j5oNvYhzbGrI4gNcnaS3h+8yvSJQjkidHMiSoHJh78XW9Yew4T1E
u0l2UgGNIp1qsMBY582BuUj2gdJ7eHaatmu9lipldqrABqtaosSiVW+BD/DwXMURH+IFtB/jZmjP
e8zb+WBKuc2XQQo6Jq43zSvJSi2OFpHGttB/SGXt5aLzYX1A/uNMvwPPwsNzE08zL10u06a2Q/ZK
Ns3g/qDDFqOLMSpi+RJyXSrOw97FQ7VcDVBmoAKX9pSN+mzc6BInRdXMKAzPwsPzotdBjMTItLJ5
z85tQyaVlI6Zh2LzUS13qcuD9JqXOWpmmE9DtvZmX+ZUyssm2iZxkY9ZUx2WnKztn3Wj6F+uzef2
Ac3dl/MID+X1kmey22bwu7Wq+4sispmEzL6KIa1T41yyMWnHcpt2uhB9c1otWy73gs20ez2hUbhA
BXveYM1EJFUVZWkjI7enepapkjV9YDLiIyzvUi+5Pdn5NC56IEOcUrSZ7rDhbBoPPNu2+qyPqVxf
5LbpPvcRm5sztqmWP18oJe0zIpUq/1QV4fwBUe7xqsJzHKoted/NmqW9zCzdiS2+7pdlHsKctvDc
Rm2owOtSytRE/ZzmI2Z1klOVfwoCGvechsNGqLLMWZr3i3rPIZQ+tyhqwnw293zGQPO2jCIZp7yG
lczOYdVsidNmtQ/MsntQdizJ3/R5Vg8rJ4tR6bjOGTlXzBj0YekxIK4gBeqSVru+Scgm+vxj32yW
hJmFe/6Dzm0Nk8iIVKiscUk/ENskq2NRYLjgnv/Y2FYNThh5cAPHB7FO+X4TXbQPM7vnJEQWo7Yc
li21Lh/TrZVlIkxfPuCD7oEE97APTZUiWiA0pCXRzY6MuNxna0cCJ5UHfVj1dArrbksJrBsTVOB3
bc4eylrvE91DMxZ9y5Y639JcruMzt7YIcoGhwGXgvPHgXJRu7KlZtzTKmvicTEu1z6hiaZBZmYdm
2k+8HysYfcwI281U2sQ2WIfJzjw0q5ZsapJg1mgkxa6ibkpEJVmYH2UelEsUGTRndksHrOtTG7f5
buJsO/2xZo6wuSNeMA+vbcaLbcPRnM4Rv4ZlZzWdsrHq23ScpQh8Aw+ydJJTW1bZnFIA7qt47MoD
Zl0VthxnHmTHFlKheRNz2jEuzlXM3b5c20B3wzzI4rGpM7WVLs1tzZ7oupHP+qUOFN1DLATqrKow
HdOhKzO8M5zYnSyWqtj/2Lj3gJZ5oOVZbqtogzJP3+rlohrz8anLsjoQVB5koT4aTdiV46lx+Wxf
0xmp+gU3ShRh84Z6qK2wnoZ8IgukhG7bVT1/v8Zr+8DEv0c31AMtL6OKKZVNh6EucEKtI8kQxy5Q
dA+0tC8ZyUo1geaj94ZAftfGSxZmVuphtuo3E0VWfBOdkYEkfBKhovto5SpzqsDTIZ6haEyOo9tw
xRzNcWOtXaGpz2oLoy9lXOycqlwiBCkD1e6htWBcdcBQgNEZuR40q09znQdWtqiH1gq2Kymdw+Dx
5pq0lrGBlZdYwnKDYxPlpmKWkcqsXqvpwMdsThY8kQT32RgWoqiH1aboSdtR5A7ttLXJXOhrV244
TOvEw6ndzNh3xewOTVWwRDD+PposCRzcwynKuKFrEY0HOaB2bxd9Zd1mAwf3YDrYeCkhE3aHUsRF
IkpdJ84QGTi6h1NJyyjXUQyixw4/s9AeucxkXoe1qIiH08Ux0jIYOd0wbJZLtlYJvo/GSNmwOUM8
qJJhiRvX51O6sqY1SUR7nvYzGT8GBSfiYRXrjJhuaSCyZra+iEuL97Yq10PY6OQ2nJzJepqv3KVj
TP/CJXlpGX0ZNrSPVLuWzbpGY6qL6Dm4x/crkYG1QuLhNNa6kbiVY1rOhdq7gr/pqqwLMyj2cNpW
NjKxci6N9Kh3dSmfSjKgsMl+pCTd9F/QFp57u6jo0NbLJ73id4Q3T4IUjj2UKj3nEcTrNYVh7Zhs
xBYiWS3Nw1wv9nA65dwVFTNjCmxD9CcbwQ8kVm84LNPAHlDdUBNUZ51Lm85s+26RHwrdZ4Fq90Ca
KT3ISRuX8tWsu6bpQfTqoc7rcZA7FgdH8sBNm8atYLqPmjGFbn/8TNkcP6ujrH8XZlYPomQko4Gt
tjAdi6xIaDP/KZUONKmH0Y11cZkVlUsNn2iC1fK+HtRlmNweRtnMlllTGDsq7Rvm1mec2WdBQyMP
od2cZflI8/GAsijaRWX2VG8osD6APIRi3Pdyi0h0gM2tL5pVvldmrcNcC/IgGhWQp5sOdFIX7csu
706zpgjz5MhDJ+vnlS5QwD9023RmZvKE8bAIijxg9isfRdfD2k40+VPVLWlrsrA2K/JgqetxKZwD
ofvm7Ta5XSn/CJshHiTruDT9VoERWVF9MEv8Um0izE8hD49umKplncWYrrbEb7Z1JGnpqN2HCe4h
krbZ0pY6HlMbAZWAtNVZnMV/ho3tIbKqteWwdzI6cA3ZbYTEFYtpWGADRu1tJwgTexhqBCG50GJJ
uGXRPo7lFAQc2Lx2e3RlJzkyPkWHQbw23V5BFTtEJyz2EFnkxcCGYh1Tp4DMMVPbJ3gQb8IG9zA5
Q79rXdvMHnDRn8019PYHWo5BMwVYzLdVYpxDVVTD4Krml9T1HzVbTaBWPFzGjK9oULE9mIZechh7
cVPo2B408awlpQuGsjGh6KlTeXkxsEUEasVDZ2HZVEM+CxOFbyLZUPm2FkVQgsViD5tL7NhcxYD8
ha5juUMsE92eQAakg1wLiz2A9nPDMujVjGnO+qtont5B8+Ft0FT0yVoTpcgICnpxLuf7wVU6oXCO
RlAeAQUhby4Wk4R69AKCL8ul69DFMg2BCFUeQstGIiYLalNV0Wc1EA4PsLOVhGnc51e53ADn0k1j
ivr6JYvqXWmKoCSFKR+fPGrXnDY2JYST3dxgs8Os/BxmTg+gK3QUrGpGC2wG8T63y4WW/HXY0B4+
FzNmlSKRSVdcz0ndyeG0bcowGgbziVUdn9t4Aq5QCi2kbd9u3XNJ7UMcg+Pb/2sizpQHUNcTWxV4
NmkHXJs6sc5ET6IJra/CNOPBc44oeEXmwKLT+slCBrdY9SFoaJ9NNULgKXrR2bQS+aul789R04TN
Q59INWWqEmXNTLpNQ3GY5pzso7r9GCa3B069scyapbJpXPS7iq3PG/VQ2nnEyR3G9ClTcwT14KmX
Ji2aibvESFE+G0S/JHNJ3LoLk98DKa/apa06btJa07/qgr2L+upN2NAeRBdgPNZCZgbwP9mzyRqc
4ImFteqYz5bKScG1oQQEZ/hdM0VtwqL+jzDJ/Ri6DH1lUGFTTjSbDxt1K0taVRfVPuwBHk5ZkefK
qRqm5BK91A15o4ewtTjsebwdiWrNB1gww9DZGr8ckX6RURHUhmI+QapWa9YM02pSmjUkjRQZX+J8
1kFMX+bzo4icEJ80zMQMbWuymiGlLJCdxoQH02bJonGxhUnbqUcJmuTpMOdh1WHY9XBb5aNhzrEY
VA7u8cm0kic1X8IwJDx4xnNeu3LITSqzvE3ktj6JjQ7rmzGf6RTDLEELqUyKu+mS4uGpQWOg3F4M
NRq6E2KOhtQK9U5j87KuhqBFHBMeOLOFNVXelyYVoJkkBhJ6MqyNCvOHPhtppOUQlV08QN+mGHaG
VC9dFL8NQr1PRUII1lktR0Oaa9qUyQyFioNDkQhTjE9FKssYWGnlCriJ12annBCvao22MIv6VKSp
5CIDrt2QbrEhO2zZc4ikYd1z5tOQXNSqji8dTJcuZqgCX7tWtkhUPFVBNRzo8N/GKHCBUZwvLeg+
L2a5a6F4lmYZG8L6CMynG62Vc8o0WZ+qyFbDbpr75rOL5Ry4aOTstvy4IYjNcdSnpljtvslFmYCG
+GnQzPQJR1Iui0IT6lNXC7JDAkjscP5goH/kHmLHGhh4lrZ9apnMxwRvpLqq1qXNkzDpvWi6aCPM
vIBuuqLsEj02b5cah8U87odT0s1NJB3ovVX92WqRPZ3rrjgLktznG010omtfz31aZnx7h7osP4Oz
7PoqTDE+4YiCn+RkBbPGbTbYU+kUZQnPOjEEPsALq9CMq7q2n0Dz1M7nxqi3xVCH1eaZTzmSVUOA
Y2z6VLLxtc7ty7kaX4fp3QurebbOtK7zIZVt/FfbzTgp4NCVQKV4UB2gZK4i1/QpNaX6S0JT4cxV
zRQ4ZbzIOqJoWTfKuxSQGicCqC9JtEbyEKYYctvNmDWCHn0No/NpdQnH/UXVPsRi+pKC3rGg8WlG
g16AXqdIl06iyrMEusUlOBupl2qXN3FenTX9Or92ja3PqaWRSMeiGPgb2OImh0uo/1nzOpaNOKug
L9mdlVXLRCJrDcX4fBkUmpONlYN5Ow8kcju0Dm111RVFNOwEJJZkjznU2g+yd4vb1xiqZDsBXerl
3A2RKlMil4KdZ105rzuMoJrwZwTM3vUU09LKPZULjDnXetxO8yEuLOy2I5s7bQhZtr2dGtr+tUjG
ssuRiaj8YDEfhlRtJJ5Ss8D77vtx44cSTVztWklwtROrzN1Zjrs8fipUC/vC0LCR13C+4pxMRJjz
XluzpaiL1Xo6N/XE9pNhOT9McmZQwq6Lie3yum86yGfjeN0po6lMmk4b/GRuszI+rykeWbqBtucd
p9V0vm1R89y0E2J7hqZpS8rMZNvrGpedDMtCmOcwm4U5UTnapYIXHVR9ooTkNA6Dls/0oixbIZGs
+7QQzXXGqteZ1GFy+zyvCToxS01Abu6y1Mb1RcZxWHGQel6ST8BMwVBBSuFszCXJorhK4hp3gTrx
MhuDcioqaNqlOSnLZKmGz6I0YUkf9fxkCdtbp1aiLnWr65/DbjB91tGxCXNl1HOUhdDItUTYNDcV
e8ogfwXmvxvfB7ky6jlK0+TTNPVTl1Yqd38YNWxQzG/VGKh2z1MOrR5hm0jcpTEUlRNOyqfFloft
NGM+yQsBhDlTfZeuXZ81+w7NZboMSAeucnyaF2413iIKM1LkDV8OxLZuS2TEq2EfpHyf6jU2w5xF
xdil0Kj6PPfsgkc2bEcHnHh2O0b1bjbTsMouLVAMPLLRyqXe0bgkn8Nk9+A68WGjkyN9Wg/xphLZ
DRR67IqQMC4GIx5i576tMVpySBDgiPLEybk8aK0DEwSf79XLOSu3HEI49GjMDhhlYtdHM0rDlONh
dkawVZrrtoNdtXV9IejEx0QMRoTx+5nP9rJlmwORqQM33Dp5UbQU/QVr2jWsFEw80MqlGbbGQr4K
pazlPGOZSyUaZeCk99YhhNYu1sfoVOom39l5yBM3Nk2Yw/EpX9jgxS2wTk6jtaXXBbDNr7fGNWHM
T+aTvjihbVmUVZ9yIafovIpbvEPZPPMHeof37KtjPvEL9rZmmahVm241puZNX+mp22WyJf1+tl30
BjacPY+iuC73kMVV8S6PYTF6WkScd2HW9/lhsClYIFdC/jmvQ6F2UVPCARRN0fZ12DLaJ4gJRDdY
sxw9Uzbi7Emjc9h3tg7riMKqUz5FbEPOwPZa0qaUYl0ly1zOLCkrNgUmWNiDt7BbY1oCD1gdAdry
5t4Be/9jkOvwWWL12Kxj7LY27U1rd0tOP28jDxXcQ3Y+bNjaSjYp5LanNakuCLFhJYAvWyhvUNGb
KEL5DCeIpCOb7K6KGLQa5u1VmFK8dHksapPjeWrTzBl1cAXJk4brwFDp88RmCV9saMGiqTZL9KEp
Z/rRRBBugmT3iWK2ZG3HWtykkGs9l9P2pB7yB85yOc63O5aKPk8sX6DPKEzXpnYhxQWujUrg6xNz
WBDzqWJzJbSaKtqktFJdnpRKDReFdG0RBlOfMMbipaOiRU0qeVvuhlidVQyvYXHAp4yZvs3zLNZt
GrNifmpNw3ZyLKeXP7bpMbO/S/Fe1hzP1TrNGOJ7vbEBUn5k8/hQI9x1BwGrujYsx/I5ZGoVmRI0
71Lk6NgnBR/LI7RQ3IXFYuTF4ibSdphiDXOTk9duRK9ynAVOew+ycJLFqJAB2aG6xvfaQCl/c7gN
Mi+cOHc7u21hMkYVsAIPWJrs1bRG/eu24GG7meBUrduj17rFDhFbH32wetk3lKej5ipI6dTnkvVQ
XUBZ09bQDIeqRDeolxHLdaBivKzZrWO7ulXXwBCAI5x2sPlweL/VcTcFju+tdeFAmizrR1Onm5Ef
oHb0rJHFux+D6m5vRo+nm93kR7MJQbcadgjCptUuK5PBuul6pkPY0Rs09jCrYfnWFtlR7b3KoOBo
1XkjuAua7vCBj9vCd6R0y2ZA+CwvoOyESZ/AkSphEYr6lLJYbHLlFupveB7xum818BF2ZduWU1Dx
BU69uC2+muash8y2TnEh1r3KEbrsYD/fqyDL+qyyVWiocM1DtM9xvnQXJcLoOSE9dw9I/6XS8q/+
mPrEMvj2DVmEcDB1hOPNiwHj1p3pahrMKSzEHDmFs/SE3Q+8Xrqn0Qqrgqe9LIfmPcGUnTpBtnPJ
opUn8ZY5OF1hjarqRdPyheyaYVj1bsuLbPvQZat2p20PMXfneLl8pA1jT6a+HC9WXUynNHMzDAFn
YBQJajTb3hQY9re8rI7nVLxptertHhZsbIOrZt4VCJifz8u+iLY9/NrqZ5Rk3RSUSFKfEAe8xoEc
NyQf8gyXz6e4ip8STfKwAEt9SlwXVbyD6miVkgVdCzK8jHF+GTZdPB8Da821icRcpXQDnm1N2Dnp
7EMHaRwd4V1TxfMyzkVNvtmlSocezuo4N3ar5328AuthP8MKIT+Hz/PURVB1Dc7ruw0rPMTw5YaJ
V2nUR+LAqrk+3fo6fxumJ8/nFGvmYI1Iq3TqWLGPsu3dWJKH9HRU9l168lIDjHLtKuOqVNROvwZW
NXuhiny5WkocPVDZvO8RntNBWSxz0g/VwS60EvtiHMygk8lAsf1cz7Cj7YFF9T0m91lzQE/I3STq
/AAfh6uqU8cXDOywqD7oZlNkB4zusKoS9Ul0eQG1k8zUoLSWREB0E+/AEQUGsOPxuzfjYwQHjkAh
oK1SDO24kc6nI8UPOOh7LOGT6CQFLucGe3D3VT7I8TyuLT/tVAx9f5FPNQpiF1B5fPqNJSKHsYXW
MoJjOuAgQdjrnv8ZDzJsays9frTm5uh2jQetV1OmUvLxFDjXKskKHLZYoT6RbtJQiqQOF6lmip32
09rsVayD1nFUekBGosd1Letsjyd9gTKasE4E6tyD8UpRbbsRht42dsji4bTRJGh9SH0O3Qqnrmkb
V9m+0uSJ5NGTQYRV8ajPoQNa4fEgXJ3t+3IeLkprxzTi9HWQ2/QpdBmXxbTSCCY7zu2h7w1L1rhm
p2GjeyhFcWUyjiKdSm37J8B6fTfka9jhsNTn0OVC5tFEnE7rldSnLh7bMzTUYVRU6tPoonWBfkpj
dKrLctj3hXoaSWMPYXrx4LmUaHCWdvF+bJheTgmZ3/amqsKKinDm9W30F108DjVr4307Dc+ruktL
04UFcZ9KtxbLkjc5JFL16HTSuhbttpo/4HmPr39HmPWZdBOw8zfY4QcgslOXAGts1ws4UThM516A
3eCQHjuNvYZdS826a/O+G5LMtHEYIQ0OpL6t9LhZYc9FxWPYaNVtJFF1Zp50S6XD9kFSn03nRJu1
cqDxvpk36Nm+BBbAA5r5Uqq9Q+8+l46JDcPhVHmR4jWi0xOkGw4bjHI4OPQNnJTUpZrHG03kMDX8
IKC6Nu+GseITHMfZi/V0cDEaDluPc3LVSE6mNFNUy6AKPHwK4bZal2jAcO7GeFwumTE/1xQpdyhs
Zdt90LzwaXit1qNQuJD7xRQCHNRaunZXwCcZaNjaw+fhmbFy25T17uC6oj80is37PmZBlWbq0/Ag
ZeO0p4074OO5XzMfYKc2k0H8ajha/7buezkxm40w+OTg7ObasiHpahLG8aPci8ascLAb3rXuQErc
72iFywQqEh/CrOqhvasUfN+EZuNhIkWTqCiCDVwLQ2FxzSfh5cA1RSyi46EDZk3SVSZ/Xks6/hEk
u8/BY3PfUyyG8RDF0PVg1ZYf9MrDFOOf+aXNjDtoxI4HOKOSXLbNUn0QaJNhaZBPwNt4MQ+jm+yh
bUW9g5Or4UQYloWdekKZlzPX8Ug3qrg9aLmYU56NcL54VIX12Kl/2hedCd3qarQHOjcFMK7GN7C9
ennAx94T2vzDvtw8wJFZcrWHVeItqVBldrIKzFWYh1NeORHRAbS+NXBcyzyun5EpwvYSUp+CF219
M2Q1dYccds/s47koduCPw5r31Od+bbANItMTJFayJx9sQ183BQnbXg0fr73tvooGSspdz9xBI4OS
pSfZIcuARvdjlN6zTPTZXzWuBlJ1VJ2KrObTZeEa3ZyugtTmlJkeouCPH3PPxPGZYNlEM4ZLeAn4
CFC0nwjPd+3iwphg1D/vqy8yOY4CRs/zVu8V0MB2cbd+ChPdg2tVgjsAPqM59Eu/7nQzlHvbZGGB
z2eCxT1DY8O5OUyVm06bQpEEDjDewiKfzwRbG1hubGY2h7HY6lNsq7cbLnmgSf+Hsy/rktRG0/4r
c3w99AiEtu+M+wKIyIjcK6sqa7nh1JIGxCaQQIhf/z3h7pmxc9r2nDr2TVVWEgRIr97lWV5t173u
031Er+dgZC3yvtt0Dkjqj8H+MdX//aofRBBOyNIcoj6ac72bIaMm/JhyExjQv796mabdHGtuDo2b
6nxnfZdLyOT/WC72GgO2xAEt57mSR62H/d1OzPasyfBXuvV/sJVeo8BK6n28AKx8YHMMPsol4TBw
a/yxCH+xePxtywUON2hXB6WOaYTW+Rp9G7vh3Q9tpNforzZO4hL+GeIIna+yy9Yd6ERXb/bjj13+
1T6Nu5GOO5nVkZl+AABXb7y+5XE3yB/bq6/lvoyVC7J4o47KxplWyXVHfjATew3+ghDX5EKCS/cp
jr8LHmL4MUAifY38ghlEU9ZiUsf9In3U+jjN01r6H1wur7apJl3t9jCmBVS4TsNsHgn/MTVB+hr2
RRhARbTv04ID/qCH6DYdmjc/tFT+F+QLMkL1TIe0SPjSx1ep6cC7rn2/vP+x678aNg8mnnS3jOKY
jvEGCfXUptcXqt5f6QleNuO/qHRf47maqDWp9CU/9iayJ1eua39vBamqA3iqojxX/e7rO7eX/4fi
+tdS9V996KsSVoSkHFY9dShbNz9sedw1XWIObYtd1x3rcmu7bBp72NVkA51wtm86zIM4j53hdX9E
Ya3bPuv2dg3nugxR+YVSD9jdQABpbTOqw+59hiTHTLctj6W5W23pY37eolRMbTbvXRU1GaGqoVU2
O2GQCI0cry5jahqrL2au+yXO0lY0/ZnuLeSei4CCXlRFmFY/522gensLCTm/NhlrYfEDme/QbHbI
YrVEPM1UgDR8e4pNyyF936Nn6foMvIJuwQ1aMQ7vTdKjkNFCy1960+Ov52VK14ID7kuzBU+ozdfV
J83VHpaNz8iRqR2+jGjaiiXb5pjEPmOSV/WnoUlb9a2vFhj9gMi5j3OfQe1Lh48XkN7J7H3YsgGi
UTb3vrFxWwgQJ8vDjpFNcoiScrN5KbHSVL5yH1hfJOvOyE0sV66ODVv2HrywaQwnuAQMueBm5Xea
LI0sSEM9zWvBJ2RhspeF7CGAm21TxacB+E091lXhFOp9kaNDslUj7mwaZpHBQ16AN7I2V2UqkDYi
lvB+ucbbGusmmyUyu0zFUdcXSz8knyfX88KHfRPflmYP9GjmkbX3+5xI/lxPiRD31JWU3u5lLZeq
6HZwVNKj8ksMRYSdi6W7A0ND4n2ZpjG4uYrsqlqOBKrGyMZ6Mu7tKXC6+a+T7JuxyscVzeCzAANJ
vYs3sdmQd0MKJ7FKRhcZyG7pBh+BxbIDtAUFHbGsyyHgXY7jOWFopCVn3g6yzlreqiNv6yEf+eb7
Gd2UENn1klmu9oYstj34GTHqno/Vot9tW1INEsthTJajpsxu+VjVaQKV2Dp0BeqaWn6Sjg7jjdp2
FH41I8s2Z944NPMzJZlIkEE5RynNFaNUv4lbOfMjBFba7WZIfIyuNnHQVtsxZnZrBe4WCZY7IDk5
RNZIt3xNugicmXkVqXkrWB/Loi4t019R+8gOm6ZPx7Wwmo32vl1Ixd8BnjX1Rx0EaEJqJCO73lmU
tLdx7dv9ezN04wLGzByN6f2ETVsfBlOH5Gz6WE8f6qiXJEF4ayvOMtGnytwT59r4a6rLUoasrFRf
XXm/ruyazE06ftSeB5ZD856AjV55GitIOzPefSudr9oqa6dWfmWUT+YD2OV7nWO6hLMLPI8x3AHV
ZyV+eYzSb6Oe1/3cJyaEd+1O4jg3NXbSN51imZ+qNtnvnSLVkSST1A9yXgQ/ENmY+mlq621/9CB4
JBEm0dANkMVFiZifrXfD8EuLyU19o/lEw9U46q68mhIVzzfLBK/MXF/8mD9JDof477Fvy3tQyKNr
jJH2b6C29Jn2rCoqCARFxdbs0l/DQ2LdTxAPoh871aSqMB2Yjm9EqLvhPq7KJj77sVnCIZpqvZ1U
mAm/EnxryQfCy7Z8qidVmdwEF0ETURNlQaLpOYz81t2y+c6S3ZEzNdx072HcUY4PC1OiPpK6HUXh
Nr0idnom5/oI/HQ8301q5d86aAIMeYmWoX+oNzIjlNTj5g+cjW6uCoJp1XrTaggcH8tqMaDXRGKt
3tXSqvTcG2N45spo5l/rWmmTV4Ntnc7kEJcERkcp3c62660rnE9IVDg7JHE2dLs3n6hTuIOCkSqG
nOGGu2iiys6Z3iI7HIaLJE8GQbu9vZ88iGkHZmb/OSHBc9irVbCKzGEFwe+QLlUvJbawyHVXJ33O
e8/GD2GCPyMEjvoekmcZbfe9OXsHluy7AH+6uczqyYkN8X43fhwz7XBM+wwd79V+88tK2TMsOGYc
CC3UatRTh6tcXqRxy3yAiSMmnYfBJz3LwP0c2FWnYtUe1rWiXciq2Mn9xm+2Qtdig42VOpEyIEcE
k62uzxYua1G2z00TveWsnZOiTvkSFZassSpE2Hf9PJOd6tPqdq+uln6MymLySRluKcxyHklsdfMW
naMktFnTdU4doRpfuWvVooK5D2iJyWPaNjjvXFmyCTjvtN5u+4roNh/3OXZ5amYRgbcw27LxYM/t
Nn5ypO1BxhhS5x6bjYjkNGJkrO9HKN01U7aGFAY60BXPJj+r+BxTZd0Ds1M0fEmaTXa3vKMWa2yo
+67+Tju5YyX0kGyzh7GSzXrEN9v0gfVtat/zdq3La1s1mp5BouXd3TInMPg6IBx1vIAvEy1fdkgl
Q9Pc1pqd7NhUFbDNYGBhjUjoKF3X2gVzMrqnwAwnwBCTgzVwPcxWF4bkLT5TPq9x7bbPHUTjwUlX
ST2m+QT5xSqPEJ/KfCvN9lYn3NGTVAZcFzYMAKv26yyjPJjFwVJuHv0GAskq4hwDBVk/4nYZe9h8
qJpTNCQpJkdN2UbLu77fx+Ea0N16R1Y07Ns3nBp2aKGRSkj85jKpoSSn9ST2u52otLeIxHsoz1Lj
1UNolsPd7NYjIE8PcL+w85m4WrnT5rhil5N7q6EJUOExWps5hV1OoFdX7UuVT40P4Q1VW6cyuKZJ
fhRpj/iWtdTr+YG4WE5f9tmaVGedWzd2Dikl232K1V9/1HaDBQ2+JB3LhxbtMP8kWzzE6z3R81YM
dGHuhPM/MhUebtKvB78L4SskT27c8TLnaj2uvo369yIOrn9c8czW60kDFvqg16Zu8lTXo/24GZGw
T30iguwzKISRweBJ0a76PkAzlTxCtT5VX0Yor7Sfp25qE9RXEESkea8TLU69cDYgf6uJ5GM2RUvA
UdhtOD6Q7UEylkdsFYWFSMMYgNET0Veoyoc0JzjU9XlfpvadWLC+Dy3xHc+bbUfPtRdD+oElwEXk
NMhS56hFUwFHxFEsV0knGF8zupF+ujf1VINyHEO+82iU7sY72hsfdRkHA+uLHie3HVncpOtDPJAZ
+ruYs6p3qRx8fVw7OOU8TklNP0oLl5fCpiVaAbKJHL8PgynFkczaJw+YP9HhqWuF3W9iPUwjAmaK
vQFYPIBq8qqFiOp8V/adMlsu07R6DEC+RPnGm359srufQIgG7zXxOWQMyzYXKm7MQ2vRY8rqvuqm
Aw3g1XZHUNTigyzpMBQzKRO8iabu4rt0MRcnV24vyY8EtLKuciVXlhT9MpF4ydp9Cx+07KCalO09
WIvvDMht9LmyfLydhwUZV15XOspjDVW4kCO6r5nwnLoPyQLZg1PFvcF5LzaCNJ2CwGtcFmgauXOD
WyBvlnFwIk8Yn4o21Mtw1W7Y6p8Ymf16TETbxXAmmSF5FqcNlQXtAA/OLI33o8Jh5F02s1Lb+wXQ
KTXkPe9Fd9vaMjzIcDFA3eed3lgpW3KQcLDZcIwi5SjmPUXY990aVeeWD8y9W7oyXp+GeYlzzEim
5HPoSr/mpa/TE9I1uGa2YNGM6LRn86brU+0MhDVS8Kpx2NJ8350y2QgzJF64mSSnCvnAB98LelNB
SqnPuNKTzes44RU0W02SjWOq+bX0Vfiegv2j7xJsnf5q13ZXd1OUzI/EQ+IVJRB1txWXyY7cKU7n
xzUygO26TeQcNPI7zHNA1oZ5KYUaOWjId2GWyfvRR9WhTTRvs77f3M3aduqh8lDQL1os45xti8+T
umxOaZqq24VX4bqKt+5zqFb9VtFuzhvC33Rs7t8zrQaVVcRYwE6Wrm2nbCON8jarkO2GY4BVXTjx
NameebyZa6eDVAWWM8/7fdm34zBrdh0AX0zf+0iKt1XngVooEjeI6FT2YvVdVmLlStDkQ02+N64M
7j1jnIdsbfpNAsoZrz4UzUUP4NyFbYdsipzjYOCsO002QR3T0FEXFV/j6HqNU7CxQSv15Hqu41Ld
22iz7riC50+ed94lPFchXd3NkhpWfUbm2k8H5pIoOZnGNOmt3tYOZq/VsHaZj80sn+nSGfIw0YWa
A2QawgBJAsvr8xitqvsU1fAS1jkLDWsKYnXtsoU1SEWVW0STzx1yFJ+VNKK0ywILS/Ntk4xOt+s2
rvtXmFJ5pEO1kwyru8PeYibTIAzpA1R0yuRqll2j32wxav/DOKS0PzqBuFOgoqnEebrA7w6T6BP6
AFKNZjfAz9K4iNXG1DkGbWr7pQEYu39YrJOG5EFVa31tJ0sJzyAoIjEe3XXShTcojUWCKhiQzf3G
2s4iLtSD8PGd6bEl37YoVv2nlrXqnI4YkVHbe/EptrSNPvcYsKJM3kYGx0U0oescqwPJUlYuK6K7
nZetWPtqlh84OP3uWXrE9o/WTirRBRNThPOqHFi0vuV+11uVRUkiaOZcOfe5KmmX3NtdbuGXFHT/
7vvcgM12kBq2hU+hqzcFwQE2zo/weGbtdhhWqLteqSZKxkeOXYaISOg8SYSnehNoFtYDaM0nTUnt
T7StW9IX6T4jBcg6znkFGfgR9QcyPj3lYTWXXAQ2Ls6/0W6eK3+l2qqdnzsbjetx1JFTZ2vVwvDG
duXnYkq6bf3cKgYuEq9bZT87307r0VSkj3LVLvFNM1UlzycMwt1t0Dqt8EpEAzKgRZc9n806ISmd
OORknpcdKrkgSE/l7Vgl05UvN/k00SQ4ZAds381D6Loum+ENmoEUVi0U/mJSj8fgJQt5BTvV5bxT
iwKtVovIrPNjZDK3OG/fiNiL+pcV1ibysLeE1AX3l3M1qyw8Jk4l0uzbBtJcWHU07ul1qeHPemOq
MH5QEg+hoM6lcZeRBpCHZ9vtOkKWGkh0te1Y11fIA2Jx7XAE6C/e0+YKJUCsPo2QOBd1zlRFmiez
srqGJHTc82bJsMgYzSWiakA1F4E4t4s6bu6l9mTPZ2z4923M+kNXNnzAViuX65Ggg3GHfgVlj3LY
eHvt11l9RSfmI1IPl3BYqnBAwEd4xCRPQ1KVn6FnoZui6hEUGz23d84RZGY7BEb8uROyzs0eYDgC
Wgc5NWKm3d3kqO3u5nKxN4sxo/4Cg2j3Ek2ttcW2RHiN6Sae2yW9DHdaibN9S/0zRy7himqfkKsD
1+S2rPOiP4KsrHimja+QG2BUucLsTm7o1yISWvR3nL73YJnAgVFeOj0gfs/PLZKxLGFAoJ/RSlf2
lk5yih6pAIgPoCAxVOt55VXlOryUJRALRnepm8NGqNTioCVv3lQTvOEPMdgr0y/bmrRrHtXoXH2G
VgPccGcmbXoY6iQkWJpN8nZuUI9chUHbLNEIoCZblxkudlWy1N8k623yTP1Sr3nobYxqR6TdumV6
lV30qWni8qu8pCYnuYFl/j5w8+LazqVId9UUI5nt03Y5KXiCyFzxuX8ZGbZsJmHZkcMWhKSHTqXy
1+ZfS3c8hCAP0LcsU5QyMFU/bonw4qOpIgX+caNKdAYj1UMZyRpIFBRISnp/zfg4fuu6jcaIc2mt
h2cotSmdJ3Pt6Um7NHxH6VztN3OXlC993e2Kwf87rMltX/t0eh+VhLOXGJYZ7DtKyxqdEV2xWzXO
LWIHqUOeVPHkH2dVCgNeB2ZLacUr8thEnKObjdSD3DAPQdGjWmeeFJvbCT2sfLVr1vXL9haayHH6
wcxqfRNFqf0gSxG/B/bD7VdjCRLQKRpRGG9dv60HnkoI+u56NR/wzNubIW4Ba+MaBtzQOEnH81gr
NeXMDL3PTFS2H8HU3bKJgbxlTOr5zbyZ6FFwv91xtdfyOJaQXjh0LGxXE2wlrmLTkXMKT2bEvIHa
51pVLDyYagR7eF2h95OxaSndW79A4vUzBERQnNng0/ojWsNUZHwNeA6J1xphQdGYjsg4BPjHkrj3
9caRJFK0EqoKWYZmEeRhxR4VM2Dw7MBkhb6Jh706fErEvDdXiSHmGfLrun1K5AgS+AYHhqcGN5LR
Zo3NkiNsB+ezGb0x+mDaWqQ5Nbid9+NY+vGop1LXeZIK479esK7ncej6/mYTYu/wGW1kn9o49d0D
rYRHwhYaepTSROMJEErh36AVPRwQJobhODOmbZHUaxcDLgdj2MPoCYII9DGu8S7QjigNGw3KbQ/Q
8hqCe7JRrdd8YEvcXUfR2u9XkB/bv0cMtklZB2vIm2ofN2yfUuJxtJ4cWpUu+TQ5f03HGAln3Qw3
wdTsCejlCQwB6DuizwGhBpqK8mO0A05+lGDIhPfoM20rDiJL4u9OzlUi4IHT7mgP2G4xw3nAhKL5
XO+T7XO8KRDeZVsjM0fE7NY+r6fSQL8c4kXqDhJpUuTKc7OctzGd5JWABzisUcuVyyaLGGQPj17R
yyaM9FpVcFecUDEh+LSF3q3yZwdShsqScXMdtjHmXS8Lzs7ybGZHqmKFojYBErNP0vh5TJGhFatX
c52LdOXg+jge2ueGQ6amINCbbz52aGikWT8sdf2ebDuiRxVFPL7mIu5Z3qukS4oR3bA1H4cVra0M
JKitKjTIheQhNdMs38AQpFmzABVoc1hCycYsJHuKDEaZ2H2LZrgqZAxUD/UGXjaruKqD8eIbx5fy
HywSVH7LbNyJPO1Emzx2lScQTTYoCurG9v1TAIG/PSbakj5kDGT7FQ3MetgrFOoOLQcs6g1JITza
ywnG2sqWd/VImv0cp2Qb7pRBnzbjhnropZt6fiGMNvV9spcDcEklaYfTItcoeQRvUnDsqZnuHvOf
IZgj/Bv9fATSzfQ5pips+Tr43kYwSNydPEcd2ikfSddf3hBH4VPEszIaZFQUYP39gv5hm4Nf4eyS
QYslTm4ITxiKS+ai4dQAZ7F+9UlQtig5L92VR7z2xcyMaQ8dpXIqEjjSuDab5j7UR1SDnbopU8iv
AXzZXezB4JY2Frpu1HZdOiJkDp5IpVgBJQaCDdWUPebZGIWO1TVfN7ojZ3EmPaFJMGJaPyG3y9CH
jdsMhNFdFxOWQXdMtyWeXkTD2i5C7RCnjsLvFiImv5i278DnajEhczhMe+SJaR51s7riiUnCdm5j
SeUzNKN7d+tR2m8GX7xJdYocZKPjAxNNt32I8G1UlNWxo+NyvKhZoyBd5b6m98ulgr4po7HdkHwB
LwuBqVBW1UPoY4tiZV4oxwZPW/SsRI5ZC0O1Smyvhm9NQHUNbF8QPXmZ3RpNSAYEQ8E0OnAbV7jV
jPO1VeMiHxiCR4VUUer9e1tjGvFZaz+2x7RKh8jj6Ro6wIuZz82bFOk+9nKiRMqOBqnR9FKblHmZ
uVhBrdmLdJHvYvTnGti/oP/vvqo5XdpnEy1j9DhWGPi8WS+FKhQLguySXKwTdI1BmzNzd657zL2w
SFJDj7NA4cMP8FFcphswACvm8x0zpBGVbjOLRhSEcSdvvMEk6RbZteS3SItS+3bodDtfi4r68Rwt
MGb/TAkpSc4vOdtxGftoyTqR+Oh2JFCnehMtdmkQ4yBDnytkxsMhLL2c7xvrQHTpGRHru70DpDGX
xGLI09BugMTMXEXum+TWlO+otwj+A/wN9LpfRzvsu5GyQtewO3tT0YB8ChbXeSw2t5zCOCh6mtFl
91ddy3fyjK4iY9dNi0lgbkgPAMABfGIyywJrc0dv69JRi47TnCRLTnmvowx77o4bG1LMGhnkMY4k
BrR6OjZRjHkPHzDiCVkHizWZhWkzrJhrwdKT2xa1n0y6RWSApFviF4WeXgWvtHFRsb5l8WztM7NQ
VX8RVbr0t0hsG3HsWL2ot95jNFN0ldQV2IkApD02w9Dxm7Lqhvatl3gwNyGRrb0mCyx17lbcawJH
87CzR72Ivrre9Kza9yj0mnLNyYJseSr0KHu0rVNotDUkX7CZTZRD+4MHU2AOKKQ6toADXiSMxSco
GBIb50pBALM/9BgF2eWMBGzGg3VCm/kR5/SAxjPAOBilIXdT4S3FYwe5SrG63d9jelJuxxU7+aj2
XdyiiObRTRKVCokdJ1CvSy5jPJlcEc25uWq1mNjt3o1gXsdJGN0n3ywKohXtAumQo6vMFuos9pwJ
zDgTgK7IZOWaczQ27Od+hWT94wjZBZscL1KvMXoaG4O5u5x3tepc9d63Rejni6Ocs/yezWU6nFMw
ef1pGsxCi2oNZrhNLHRq0CIlmLeOYRbLsUETP84iG8fRETNK1xSdrBTKTjNZgwyJ9g39sgm4yN+U
e6W3J0gypA6997qc9+90YLT6atqRdGdCQXU8E3R9pzuoBszuXQdJauQ2A0u32ziNbPglTEyb2xCq
yKLBtyUy3xXSkQz95QWzlcZagP0ml94tpLc+dwHGoecZt6CLZU+SNgc2nmNmnqYXeO0qjwrI5vtu
hTPwe+Lbyt7Nbo+HawHbu/3ytkUJroNyAc7wVqT6K9p8ES00k5GxEGtFPZPbAau9PyCzbnFAIpBe
ynw/G/+gonmleYiieMZmkdMMuoRhlyeoDNpVyCRmph6sWLsIcgONaL4vl/Pxu1ggnwAuOavO06hC
nBHEu+4tnefEYe9VrJ9cZqQFqxotJhhFiZo0pKAJiwCvodVU3ie1cP6IMAotxLUbmvXF6c1st+Mu
evZh3haeoniZ9HIdgti3D1L0Zn24aDjSk+2XMushdjNlyEarS7PcbCvOXAwwH2UISlzbGkyDewxK
ehDekRvvaG1NLbpWDMaVKXNfQFydZAZiUeIPGzctunbzVD8BJhEjI1phyvykgWzEuQiPDWg3qlWW
6lkYooA0HwjmWevVUM7T6LIGfL80GyVwBDTH7HteXtBIqtC8RcOGuC/oVuxNlHGH9FVnDFHWoYfY
jWB7ZBCpR9153EAPhTnQsKW8/gSGdVjmbPEwsZmu+tWxRud+gn448lDCNxYXM60B5Sj+3c4O8rwR
k1eYVFGXEyCCbBZJN5U5hJLpe4rfjm5WX1fmrOpL77dC+b2ZS8xMy4cxsfMB3YJ9Acg6KqPzv5fL
RrZg0+4Eoe5tKwjX45LtoWYPGFgNS8FLkL9/DMH0WlmIh3Tox8F2B6I+6vQdX38MXP9aUIh1dMW4
BtelzZNE06JhP0iheS0nNEKtUZWNEEcckwRNJLWSO4tobf+Cw/sHglUYGfweA4hWWOKASMNkIsL+
m+qxcTe9j0ZoINrZoOGUrBq2AEJNyeNm0bpFgaUjko/Rhvf05xCqC6roX6GNXgHLKoxotiaaxXGE
m2lXNCC13AE8OOXI1zB+xCxOnv/8k/4ITPUKCzpPFksNmOIjBAEm8daFsVwKUyHPLTxOJqiTQv6h
Q1a6heEvnvAfQDhfqxNp4MNwmiTsyCU8ORxkZw4Tes1/8YX+6Oqv0GcGjn5W1IoBOdJ/bef42UtT
/gVc/I+u/QoeijR96k1VsmOA7UdWz+HcLB39wYu/Qpi5OHbDuHB2RA/6gEFqk5UxOo9//pr/6M5f
wUPLbW0cUw0/ViSyONPXMotrnP4/dvXLp/6GB520hgIdhOeS7D20eZ2Cy+Q+vv3zi//BCiX09xfn
c9x7s2ksl1qo5LtFT8nnhIcEvkIy6U1mFqCxTyA5MfND9nz0tUxRLSsvoNnCjrBDZR/Sabb3OkZ7
9c+/0K/B9V/s7tciRUIHirZQlR57qWp0oNUQPIYr+O8lxI4/p8i88TdDGg/8qjH6nd6bdzFWGjuV
tllq1CpVfYA74/dtpbBuzpxASvaPu/uPb9v/q17Gx3/ch/37f+LP30aDYr+q3as//v3d2OP//7z8
zn//m9//xt+vXsb7L/2Lff2Pfvc7uO4/P7f44r787g8H5OUuvFle5vD0YpfO/Xp93OHlX/5ff/hv
L79e5V0wLz//9OV73wwFip65+eZ++uePzt9//kkoQpOLLfd//PYz/vkPLl/i55+u0Hefv/zr33r5
Yh0ukv4tFRxaPhwgtIT8ejz4l8tPuPxbrADLJUmcpCT5lXs0wPm0/vmnJP2biEHiU1wkksWM4ybs
uPz6I/K3OBZUQvIzSeJY4aT8r7v73Tv6n3f2b8PSP47N4OzPP/1+e4uU4BOkImB6qjgR8WsGu0pg
E2a7TRwcu0yz9z2ED3XCt7/YF78/li4fI3maiIQrwRN8r1eHhuXISXw1cPRf2/XzSiJ5RAcaqoqr
a9erCnni1W/ewj+/52+/168qkf+zVf7xiahMUhD+CLqkr8VZFFJtTLNKfhAxbKczVGYd7OExbMQ2
EXQoMO5u3spFaOCB5dPiCVoVOGX2z0Og8RWZlL7GjJJex9OaHKDgra9V6Pwdyon9Nt5a8xdE11db
+x/3i1eeMsYUEeS1doMWURv8BtwlVE37734NbW4BEkFnCRPkQkelzHyFtnPWyPH7PJL9+7JJ/xwq
iPMyjPB/qZalfT+gXwhkzT7+8uePM/nf60RyuA0SEeNsx5rEevxtwEbuQoxWgR8W5OJ3cPJrt7xh
/5+7M1my29iy7K+k5bj8GXoHpgBuF7eLvuEERjKCjr7vvz7XlTLLnphZT5bTmkgiRUYEcAF3P+es
vXdlhrKb4uOSzpJ6Xa+rY96b80YTmtr3ypg3/Mzu/gaKvBmLKq7LHB+xoD5osXiYFWMoPxoH5qQO
WaEfJlk/uzFiTp9XRvVjUHq2K7DwevzX1/KHTvP3R4PkO1L7TNNy+fdfr8VNVo74g2lv6iGPT4vd
usF0w1HDGWnO3USCcBYUpmZvRNVNn6UzVRGDhhI37rLo7f3seOJhmOf+w7FGU/g4LZ2KTNjvs55t
u84+yxY6tJTJGMhcqCtY0HjoMZjftCr9qO0mhoOy3z27Ny89/EFZ3ogLbH3rxSkOWZs7F70omxOH
+7X20V0z1zYYBm3jomTmJaWk/epSh1Cnndtaiz9dpyVhRWe+fgQGWc89rJfyY1ajY1to0+KnBqnx
YQVX9v6v7+UfL+5v91Jqpm2ZUmcUQR3y13sJO0HjvlvsjR6ZxbWizcpAd9JOrkHP29R/iXSar7ix
AV8DI7DrDm0+/XKavP1BV7k/ozcnTdQAbQbrzPNQigZysSyhyERk1vcVONR+HDs1H1VdLJ/eMOlP
Qx1BBeezeNeJrjjVK1O7IK8TzV+UNp/cbEi3/eBof/Pg/FGD/LeLlbctwYVx4VX47WJdrcbonJeA
5JbxogqDmpZbax1qlvV7QWt8i++WwTEsXx+Yl6sjEfd0uem/1XudNtwLDajlq52U9vNffw7/w/rq
3hZZg0/Ager67bSWK6D43J7sDXIC+Ky2+oXBx8Hqs5mx3/i/MlL5Y6lyLc8wPLTULoPW3w61FfvD
5C43rudmYqPBad7e4vRvZEO3H/m3m/2X7/LbW5q7acJQjqFWZibJFxlx1WkZSgbvFv5+2399+26a
0N+/l+exR7OjEm1i/Hb7eCTTujYae0PryDiaolg/V6dxTlZrao/G3LHsEv7hVT791vKekJQ2/Nc/
wP+wvHqWJFQXSsW2+M+/PlmVmOy6iW0bgw05vupTA1AZrfJvdmHjrydiWteuzsHBtl2WcIMR1G9V
ItaFurvkqbMZ7fax7gyFImDBhXp8mDnXecl1Ls0AccAn1GYwxLm4rnoe+ewnbpiaNOa9YegA/6zq
gfbwtJOq7317fuyAaJCLxLR3EwXMMMQHWrHG4qPNbLGuaL5SlfxN6fD782G7rm2R/CqxoL6dq347
5a/WmjWD08pNw7YTRMz/fWcZVbg6lfibT+e/3TYPGRYbn+5wgNHt3wNK4zWCbyTeayNzR91FSyb2
UlvHo2rLfGt20bDnVnt/8005Cv7+VjuazUmA4xIrq7Q5nv31qZiM3jYKfYo2Yz4920lWbUzltjsv
mqd3GBMqJ33uHpn/H4BqPqRXpls5Lcb3VIGP91p85OzjEzIjmRg7911d3/p5JHMlZOXkKEJ8sOaP
yOg+qlHfJdpU+dB+nY9c1/CbvGf+NM0HOxstMiU7qFMalUAHTKWTJQYxshkcJdqibVs9ss9uFc2h
arVTbYh8K+cp9r0IyYBZFw9DE3t+2aiaF+hxkVnAon/ILPeJru5wXYnXrtfPUlu7a7kWdljatnrv
KjFcRZMa2yntVBitqe4XiFb8tpMpKZT45vLrPP1YVqFDkCS48npzN34audfurNjywKp70/qYE4Oe
rFY81/V437q7getMUqX/jAgR3NiMAH2Q+uKbhIRf/R5ub2s3WbYpE6/ez7ld0ENpi4vVpNm9PjvR
AMuBTQNIHntuOxhfEFzuuShkt010pYdRkk1R4Okj2qPJkUUYsUt9w7pk2iQdrpWMuoI6d57sOqnC
vqFDjaPOYDEqAlg70ia0HqJ4bAKZLJvZ1DZeNe8rBqFAtiZA0TNEmL/MVgjS7/0in+iUTcNzMw5f
KafL18RgwGWuzBCAUd+KuLnrirnbdkM/niMDxqhJU/NhzGBV/KWuCr5WToGPZSOwQfNQeOvrrAb3
PGaSqUrdgtYNCnY3c2cn0BnsXltY0J2O/899j3cPRDIf29C6dEajWP1yx97bqTXqsGVy64cud/X3
sqnztykxd2WKeGebpLN7z7irfhBZTtd0VlrMDNpoFrQ2I4N4tfYPZrQMqMdQazWMlp/hnepdjeXi
RdSN2iMIEo8ZB60L2X5xkGqGFqLMkXxnp75Eqxg22TRrm4Ho2+8i0ttDBRh4MWjHhTGf3n5Ni/4h
HvIfiH+WH+ntCicNmqKNxntNkYVTPSOS0RFPLNcmWs6RkN0u1dLpUOlZ9RNHgfgZbEr3wRoTDuAu
SEOT6XdC5mvY900frt6a+4ysbRCIKb5kTbWGWr3oATOO8hcDt3krRmu5K+q2uJa2+0WE0UdJp9nz
YYHQrrS00N4kKrq9pRjO0SPPOdPNyOa6eD24Uwq91aq3tu7eahRgqd8z5PqRV3r/qkiy3RdeUxA6
slSbOiqNgMqnO7VFy8TMa5192sKjtMJVG5vQmUDXnPLVaktxTvipQnz2+MNZ+cgKO+8bEOgDY1wk
QU6pSECaTlE3fpm2OjK8dejoe/Q6Ss2cgzSJ+QNCxU/jDBI3zqPYZriVXqOOcTeMk/tESOqPzrWr
x7ydnCvzz9rnHVxDCyDlkBf2/Vpr5sMQF3wmBiP2MO6m4c5iMMxL1cfb2JumAPqbuUtVn2Q6oj0z
ncRXSwxGGq3xS2/GFb9Xr0dNQ7RmV+DDCw7bW5jwhQ2igcHR4/R7hw/NaWT+eknWKAdwqKYzvfdi
I6AswjhPd7aVfDRx0W3J0StDYq8b1tU2zEYkOTO5AJcqY/KyiNn4iYCAjryL3QGxT1qYIAq5NwRx
VQT5ZIuzNQvr1Ywa6FRTpe0mjstQl9lV9NrwSM7YUS/GYDBh07L0OcqykiuuswfEB3qQL4nxqa1z
DuqXctJ3p9XapZ0h0c+tZYqHkXNtDRqwqM3WfTObT3o0B3ZpGf4wRFCbEPrlihcRY7ofUHTHWLfD
3Mp+oKkEYi1HazfVDqis0J6qrA67eB7PpT1GiCwqsjNt+OX3fi30sG4IjPqmKM9GPwY/3i4pOga/
Xttjr/cqMAoTIUqmLsOK9Kw3Jj0AE1uZhjPk90XTDgGkWUkOTldaW8ezgAqn6I5jR7Wr0jQ7VqYY
74WeMPDVyvIUY+UBgtZVj5bTPMQZ5uhV7onvidVW6DQ0nCBJdnqNStfa9KBNpyRqbwAULuQdLOul
HPGB9mZ3JQiqjr8jtcTiytUGXzrsnK2xNLwXtbcfGSgHdZ9SDuaLG3aqKg60KBOWfhu6vs20M+l7
w7ZvWLzTpH1o9V+gUmbpO2Lpnt1eogPV4/remPLl0VGZe2TsvxzlKtOjZpnLBogleitXb3kHA6/R
2OT6I0RSs2MSyV7IgG9ntX3yjXzLNagtePGxcW90nqYdktjDMthUbLfxgmQ8i8OZ4fY9nZ1+o3G1
JyBd+9iPnX2KEKFs4mjUng0tTh4IIrs5vE7uyUIHytAmVWeIDv6r88ZLI9NP6Mn0ObYLLUhusCaP
6Aabuh9uYcdb8megXmV7W13QZEGQ5Deef5XOcmAIsDFFe1cPV1tLNkXnlFdyzxqfubHbB3rtRBsx
uPJsNk712K+J/UleQfEujdIO4PReFxiXsIo1tr+mH3f2jTn1e9RQO83ySl9YTnHXZ43DGmbhriKZ
kUK8dYEUbfOEgsXC3QVf73Erazs+NKastxpDWD+nCR6uVsGDH/WtqMO5dKxDqtA/lq725lq9vHf5
+/4wC/FQIlA5r0nz6XSGvsGhBzkpCH/5hJ7hglxjLzvrF9TBncKR6R542wnnZcxCNcXpgVxG7VnB
0ASoHxEqS+vcqXozqgglRBtt24hONA0ChKCj0L3rhG762vedeqHEdG4Sv0TfMnJ3Yl92Y3uxTC96
la3UH4ui185GP9V3plLzeZ7n7pM8HcgXssnj5wku6l5olv2F5Mb76SZxeZclSboxYv6eHmEa0zpl
q/sJh75tZKcmmunZXL4bXidPxdgtAtinKjetJ8vHupTlIW7S8SufZmfwU1PUR0W3n5jV2qx9qScA
lRFnkhQa2w0rm/16pP1T+YWDghHvKoutcmiiZ6vWBz588Cy/mxCzLggMyZePyCNnMoYQI+mM/LWy
vfm9hSBETtLlfevXcRxFm3QwYwdRfOpdwF7QsGRiCk2KIXC0SNgfqmELQseefzjGIHeeLcSC8hBi
dZoK7+zlTc0Pr8EHcJ5JYURr0aBgbsR6naFoODKh7LrWS9yd0zF9LJz1hyXTt6Gwhm2MTveuVQRr
DsP6zmCfF3otwNfjrN0P5lpt0HOVPhI0jK0Nidzda9fm1iJill0gwalzdzgZZquj7R/irWSGfkci
KOGlxL0yMI+nbVQw5keRtGV3hbkwC5Af4If0KJBMvpbzehyiT5C6R3cynhGHf9eb+OAu6pudde+x
YVn7QonioYEu3HdaCUqnFfKUj4jQwrxKbvlfOlqIal29S6HVbSix8NsXuUCZI3ODc5JrQ8rZbf8k
uiwLEUCanW/VxnDJykRZ/k2x9x23AhfV6GQM901kq4fcm5+iuTD3ZHiUH9C4a+W3k2buaS1NX2MK
y7oWstktc4Xas67lHjGZQiPItvcJpzPSfNUjX1lOhEbBJKZTAL0FfVs9uCqd9qOmq4+y6nW/1Qd3
gzwctwTl3ZllVj84GQ0X7AbAacYuqQ8EZUyvaKPZdFx3NBs/UXYdONVKzaoxN4CPcZJf/J1ykyMa
rMNmEQ4bq9PGFkqjTtxlkwvjlKruKhEYxxuLVuumNbziNFqECPmJgxFFnsZyl3paz5JrVSaSLwMu
v/PcJzFLCgZJ0/AF8rv6oGDXjrQoqh3aIY+Xe/B2QgmoxWh9QD8SjF5RwpMm63Y2e+0777CxWcwp
2meDu96LURs2syQU3J+HtjqYpSvOWmzi/q/NcPU5WOmV1KxyA+ODtB7blt0QuUmY4Nl1LJT7Ap14
ZxRd9QN9Y7KDI42frFFUT6sN5DrUjFISuDmKOs958DxD+xbbufc4ZIZxNqQW+XxJ9fO2FH4rVBU/
DVPR2Pxmph/b1DZ8JtXeC9Oi/llmGKiHQ5/8ZGHJL/E4zS/EfCVpmMis2uooLr7BPzRcQ5ztY4XD
fN4n6qKvCjSuxfW+SmvzUEPVXBL9lvsgDPWW1EN0rfEC4AWi9zLBxx4LDmxvBb4VK/4AXr7jzFPX
m2YkzdItZm/fjBLVM12G5EpncHzNLDqDs1iKu8obO8JOK5QZWhdL2ilru+xLzmtHJ++dr0lvjJte
B2sUcobrB9DApYx9MRnGwYYU4dBHNbnPWpqyfplgVt6kbrmPyyl967qi/WhSS9M3psbggNwK1Kkh
h/P0ZdCxADXcRd9Y+C+hHCgKChtXFdqpicf4Ihyt3OjAzfsxakdfmDoipSVu79km0y0oKm4YbMQq
iBd3eRV6Wb6IROCylLtYGNZrRHFY9pdMzg8ygqvxiaUZ9jWXIIB26vIXv7ScYLJyjpbZ4uJP6ImG
WcesXPtRxCoJsXjgFBIZGdJeYMAXvddpmGoa5zv+d/Mzr6N5M66jcdXHAhml4MBziVoxfgfDSz8Q
F5XtJtLt/oYIW1PyaMZxT/SdyWH3T5axgkD1W7U8cqG00Ot2FhRVhbljU192s3SKfWYKzXwtoqj7
NRppTmlN57C8M6zCATsfFns6egvcsr9GulzCfMna6ebILcT1TyhSXxD/bmbbfh+KucD1wzUf89X0
9olImsUvxqp3fU74acXbTojshjpzuvbN1LAUrNhl+FGWePG2KAFqeiJa2LRXt94g9VyM03/ilInN
oMqt0tW3iWw4zA3JYhk67pdktMF6BMqvqZHUacKdf621twIyGtZ0t4qq+GGjF9p2NWLLYGGHBcia
RvNUyGJ9M0qr+wVp4Jy11RafXHrzMUQTxv44d/V3bIUsA/8MasLzL5euclyiNMA6bio87UQ3TLGe
jwWu/aOZJ2GDAuGajJ52AftMv/3JcsqpcX+kSHPorrNwvzW6i/TeNadj2scufk+TKBv/hqh/oCKr
wry2ondGSrxXY55Q6CXVUzlG7ilqbZVthWv+yA0aUDcg1Oothif0M3c3KjTLEHuuKy0wv1yFekwW
mT8TQddvTa1WR8S9+hVZmaDx0Q6t9Iex7LZLufaHpWiMTS2Stt8URtW+makz7lO2r1eEplHPCh8T
X46Crrtr15SQXo5Lm2mq+j2vqjo27qDfg30LBxFzj5nIDOwogn7uozKY5yXqkMbhtWbN43pOdZ3C
gGr4h2E37oHuqjoa4/zV6eNX24kXjRLAz1PsJUxo1tCtSMWwJpbQyi5JBa2VukP67p2QmiVfkCJA
k+iGFmw+PHaGgoM1fqMGpjWNpd8o16QLVpQiX7D8EfilNH91hj11P2/fglwwZ+q9xzm2Yrx1jRFJ
5jomlPYO48wFsd1i+bUO54cvhuNXS0QJvr7abYtdTrYixBB1iXGOC9ozR/J+BLM996zBNpcVhUkP
SeV7mTkcx75ZD+1kQbw1y4fGV3F8NGFWSGGCRX+/zFgvKHcO22X95g704dTOK6wP2brTVWuk+Q7B
xJWzDfv0F/sDM65qQ3fJfGV3CiwRN7ds4MW+CH2eAs4yqT/lmRveMN64LJojwiSkwH1Tfy75TLut
GJCs1NS6YsYIw2ymPgqicpFBBTnBLdTtQ8eRVvk1m9Xk9zNbcp8Z885pV7GrtC4Pi9bBmEYNRn3p
DFFuNavFNkkaSvNZ6fSnGkb4J62M1Aun1J21QKTzgdi3R4IJ4nvASr/wRJdTAw7mOYqGoE95Dhdn
wQ7HdTEA4hPvYbINi6GrO/HExt6xGr33SZjyNV4d5y5b2jrI3FWnNVvMoc3eezekjnl2x8G52eI3
76PupMfCLoqAw0G9MeZxCgjhrnzL86bzPLkZkaSaWDaeGTOtK6mvHiSI39Yap/HYSi/5qVospWss
pQPTZoyWJap8KfDCeFZqWB+FUPKVeT2GRxIJAALgoTE3BNdUOCSkuhlaZe++uiLJ6cHmBqQWQnpj
SSLk8H190FfA1hr9QYDjYRoAYo5lYMHR+p41F8lu4iy5Y5tONWhJbQpIO4nikCBVxXFrQZ6ZeBCj
WAmkOLwh7l79aE36A1Nodw2WrqmLbZfI4RFLBW2fc7yvWE3dZqLsMhIFszyJhyRf0kuD0OjObYp+
F1dtHpIk6Zxmq2z2U6ajzWlQLEBoUQN1OF60UVpju1HdA2mbL/oc+WVrfEsq57uXe7Zv4z2EvsYZ
m40Tk+AZlq0T9Et+dobIRlgea491hTyyKU33rlim/Jx02XMZe2gV8zH+1WC69yRby3oesio6JBxB
NqIZnyIDK2QkLNPjVEzafshxZZrZSSEvyk2n0uExEqt6ctai2MGZOFujoMtMQ9c8T6U1kJVZ99uh
q0qfYcjH4LbaUVM5Is+oAKVt5W6weIzQPv/qqVY+lxX/i1rMwY0qDWYb4SLSdT9L6uKgGVW+aVpC
MGQMMJ5DvFY84abarOYaPwOEb1fmsSaINeYjGCoh7PppdcV6VAhIry4yIhuxq4UYUbCSlvSfdlak
DdsKNXzj173hbgz72iCp8DH8rsegtTssmlClxQiK06KGA8+PGORg3CA2XlpexkQMH4Vnfw6uULtB
zPphKXv+tJs7D4PWBghHT8ba70VNfVf1yjoC7l7p/VbMDm62W+lDJWztR1yvE0sT5bAxFTPt/HE5
0gB7QdRFW0GTAYOHwCAD11fjUB/MNjmqEtlJ3875J85YSQAU/G1d1UnXqSpuUYBYuumGwkWDQHm2
A4G6w6YEWu3kII2FcJ3KA9Hz+5JJFkcPebQFMfMtSlbfyRfpV6aNUppUbpqUlBM2wvBvpes5x2LM
rNCsHIr2Yd4q1txQkyobQxySflRFaT05jcLnWsVGjG2VMJyttaT9Pl+W2qLXUsV3tkgyZ2cWuv3R
jrpQ3yN+g9ezrR3qXk9/RqOGS9g00m0jbm+T8d7WAbX0ZnXdBdMyr6aV0SbLQySs6Ak5C/Lfwau8
nXSNA6ZYoXIb466xjYQB5jhNy36Ua/I9khiVUfnySLWJXqXPIllTRo66GXvfVRKxEOu2KcmZj0V0
dBLqk0DhMTd9eF6aPXhK2uaBcXaaB8vAfIQBbXrCDncN1mye4Z5h1hfccHABYD90NEYIrKee0/ho
4B/TacxI2rNYbVk3iCglhXj1J+TrcCCJIz+IPR6+LxV60T/kEa3lDYWPug1tD3VdgA6MDKG1J7am
WfR+n9ps97nGR00xOFItRsRJPeBe9k6juN2kxoSP0dzLO+nY9PCF9CH1bVar/OJoKN3gEK5mahy6
ov4ea7g3MOe62uzvqiqvplDHLu3Fk6UjQfUtVaoHmwPJmScu/oiatKEibvypU9pJLvpniztEqPCm
3OdjkzBdWhq/SL3dWHjfRjU+2s38bkXd3Pu8uLzxq9kciAvwlav6nVW21cXD0jhwWh70IqHZCJN+
g2z04ZG9u2SHzOiSpZiBbCgDqFR7YQEd5+tYfK0jzHRrmV1ws3Qj6g0DABlRM5ErB2XiMJWqvW56
8vANeVFDTaBAYtKkzu3mkgIwaHl27kwRbfCBwwHBjWlSdFUUvVMvFNoGKq0JJUriw0i2+7dETxFC
osaZj7CEmgpGO0s5+CaMhRuCbEUxKJa8GCk6SsFUeftF04dQo9TBtDcrqouWl/ZTM3k6By36p4km
GI7Y6UenhL4jXZKG8cK6n1R2G2Lft74vkqqtCBhl0dlAlJ5cnbZ4nybdfFCrHqlt15vLt1pLsv3A
6fhseb2DO+Cq0/xirMeRaLWDKl087TznQmt8KbkN8GAi3RWdiq4mraGf1KZUIWsaXZJRlTQquH/c
SRFLfRPZev5CCZeEXdvuMnTeU6FrR8sTzAu6MXsp+mbfDvW0tYvpte8K5A6VemGAvKt1V+5zZkmb
YcU/jHzsNg7t1qbHnQrUs4wUWVeSl76SOcRITWVCwCbtK0drf5VrcqkbmfnIZvEEaMNyygnaxHUL
OaWVBaub0IEnaCA2TBzrIG3QIho1esmlII68gobBLcpOfhiDYddAjfW0R1XSvuOzS2/VsZqDnRrN
Z4lnEByUwQMyJW2U+Igex6fc1o05aPQ+22cRFiZ/yItk7BYvZM5hUjDQrPMCrBNWfi6JDqd01EPc
ZJdeDpwsxjq5Y3LCyMEo8v3cetgdttpAEodFqsXjOidkuEh9ummDXWOP4Qx2DJDNjBOwdnhPWRV/
rsRaByVwzZNTR6QY93OdHO3VYgmz5XiPSZXnjwb+x6wb4pgnBpont6msQ2uMVolmacouE+eYuxGd
IQ4jODwxTYuRTfh/KqB6zQBg77nlgTCG16xbcfVxV3eTOGO7m1w95ViH16Gs2Qan2N4hZkW3gVLP
OFPBVX7cMlUcw6ZZH8r6E+sx8YW8UQQImsQpu514p9VIHuH1qovpjUNQobK8T9fV2fMqmfce7aBX
KzbkxvXILcAFr6Tes3vfWDsjsDNkzlaKxJVZXnaCc7I4lo2cnaNmOrLizsHIWW47sErvHDNj7l+1
t8lYE+lv2BzVdxFToLDOvBiNvek8DquXnLEJtH/qnpSRT1ePzSNLZzMcLBvZ5iSwV4yHKaSHZIZa
jKNRnYn+vU1i+wkDS8Yxtc6jpNCwTJhuPNqgWn7FHOpmx9iFKYssDaoRu4JGy+imZAte45ldPCVF
ne0GnBjfmoi1rtJMBvpTCdnmL0jaMWgUN0+EnMRgv1YSb35ZxT/x4TI+0Jcl18XompBxoggMQEW/
wj0ycPEnDAwsGrlTeUUwpLkcY+Gy5ahq5NOZqsb9LibxgSHElxqlebY9854Him493ST8uPv0PhZ6
MYRD2t4qBysu5ou3MrreISruhh1WxqxmcduNex7rhuOjSct0KtwYn5hEvchGu5lnasmohZWH004g
uLMgA6t3Kkc92tuyaH8aavJNeu6RNPsrWqflUGr4EWFNNbZBP6XgM3GfRA+KZtETT1fyluGP+455
Uh46EpMYPAbUFkea9eqQ6BA0cqC+jJaRsXOua+9Ql/1Ltho0ptyioR2+6u4hbo0mABtTX55a3bBG
Dr1Bh7c8NV5Tn8qiLLbsFvnGkW13h0qmph5FN874Rf+jSh6C2Sybo0ipvgyV53f2ovQDvi1A5Owh
eDjl+Gh21rheaLT0hzXOxPdMKefV7DhoYwUEbi/ijj6sjHdzkiZbsPVNbszDp0AWQ9bdTfEnjYn8
CMxKTtE6zfc8kTlHaqv9wF0x/Wl6N0vOWK1PUhrj5C/UO4iiGB9DMIR0jX34Rv6Z0SV5Xog+HgKG
G+4caGPfPelz0V2srGrsi+aW412/6CXskpjw2KfW2jdJzAQdC5f7xYwxjBNOoe89Pc43tdPDqOho
86SXyme8+Y1LXKNoNXRJ0yY3Jt5nXr1adQwxCZF7idsChESAUK1ddRaVeJGl+DJBO59xIWoeMQmN
tqKak9upFsm9lSSvGrq+6zIo+WzO2fgolhHJd/qAW0y+Nax0eM8qp7u3dXN+F1Hcb1JAlKNZYf0x
yGh4Z1l5d7LcPC/idj6YiuxiZpZxLPNO2+UqLu6RUWZBZI/Z5zhG3bbBaTJoizGhVNFYHQCs9tSG
CbYitdHHAfiHjZNL1+zG1l0/CtW0i98vq/GzMG8mFl2tYQfKOfmYJlh4lnjR7Ru0YWHnSATo9YAF
CpZ/O2ppl6UJLVtRO/R9nH7XmnK4q6cIQaej6++2h56YhuYYFX6TFPoDzdbkOK69uaVnm/JV5byt
ai07KBQN97Vsuk3heXoo4tI94iQKFFv+mujXODN7Ro4cbscx2mtvZmkYu6SxFkRdWu4bh64xEqIP
N44/oZS+XLqtgWKKnUT6dpYgak3npLu6qb5ws618zxG7Ejdjv8BBss4WK4yL8aRadZpk9ToPLDvz
SoRQzmBI6IvG3BgvESw3B90Kx0Tqh3ysn5ZO30MMBVIb4/2SlnlgTwkEAlMh5KUzgyx3oN1TdDi8
GmK/as1dblr7IV1OVkP3e9EdJkJ8yX3nzunW6snKYuJOYjvT/fSbRKqxFVKlZ1cm2ZPB/OvZLqkY
qzWhFV5U+u7/rJXGuZHR/UZmvfou4tg6UwJr2xUPol3ZJd3LHzzjf2oy/qIz+L86j/+/tSDkGcO8
/7+FIIzev7f/LB758y/8qQFx3X+YGk6qwHyaoVvYDf77v/2pAXHNf5hQ9XC7BjFON6XHv//bf2lA
5D9sQ5MQh7pn3MhDCMj/0oBY/7iRvi4OIdhYSB1F3P9CA+L+EQ33z/yrobmuCc6E+gCiUrO50n+m
+xuiQbvSo1NfR7r1nCprDYeFkTIuL104pvOwG0kKjrNipsfquh8J840TtNkADsM/rF3p6Q52HFb2
lsZxAnaxOmfdK/FWR5gI+9dhF8TxonWcN2OdUEFPyOtPUcbZ18/6pjxkYNU7xaHnzTOd6tdayf4t
xnuFVqlp9FdHivlec9kcvU4TgdUAuU2aa9zNLY5UQzc1R6srq7tF7yR6eBqVChudOdQNYb4Jh1be
se679JjmHhPPxLXK5yyJVu2QJZY4ainfKLCtlA5Y7IwO1tVF9DKDvuwKW9hHx6vGbygO8Z1OBf5B
bLoL0Mnsai//Qd157UaSbFn2i7xgLs38NXQEg0Gt8sVBkenC3Fzrr+8VuNWNmgZ6gAa6MZiXi3q4
ZJJBF8f22XvtyJ/HcEc+mu/tlmiNbp5hp4vzxfkJ44hBFph7ibQPu8QnCn25okI9uAd9ehYmA7bT
lOzKOckZaJCB2zxYFSTclek51cM/znYD4M1b/C16WAnNpE3+GBH1Lu7m/g9MeesRulsEFiuNxs+K
RAWYa1b1wFStub4kk/Yh0Qplql0kPSuAKzfohxbZ8BgAAN71M5QUDBgcQfWo3V3Vy/IMjds/Ipgz
zxsPRo2RWXhwer/Rq8n9k3Q5M36Q+NAaitxrDpmFExcdRfCknzrBXxemgsMIAWH8F1RaDUSVYMvc
iWpHpkU++aWQO8bV5mfucsScDAstslHmflcakcHuhuBkVVl84yctTmM1Oy8jZ+NbtgiZz4pMSGvn
VyKzthPLBLPSHuvctcwC/9TH8J5yPYV3ANjZGfq6iNd+6ZnTPBSSToQMpBWwsgeWQ/LGzaxxawe9
/8tAJXqm7rp78oQH1Y42c/GQ4iPkGOH4AsCqP4UXEYTJXRVgrFlJrbpbtsDu2a+lcxS2hd0ZkbM/
9u3imFUx8pEiRGtzsK0we0jjfnRXOhymMxufJyOW6FeIineytHfV201wI605P8RO4/AxlXZ4aXo+
KI43hWrhJ7OEWhfAAUAEhJmFVFK2csFJMF5dCe3iHlt2oTiu8bFs03loHq0yWEAbZTiEUmuDv/xX
VZkICE1pNjXglNfaa6Z1g7VITL21Y44sN/7s3XUI0xPOgZ0J0fCixnuLEvw9vdPuylI2wZUnd/aE
Gn9A4nzbuHEuJmie6qb6E6YtJxIXrk3YQxOo8Iov3njHYpMDO6oXHTLQq1DCypQmibsIdRytQ8op
2LGB1QVomlaxcZ8YNcp22U90HXQrph//1ADfx3Qw8kAwibsJl86clfSCLbfh8FJgorm1BCBpQFjl
PveQQR+6IIrQAHHzsBIUVjKuYmtSvwCv6gJtsrMGLtc4+dYFz8QNTxPySgSruvCklilJ9m7Ph8Oq
P7fgcCqcMTu+yBdIgnGHouSOHOxGv4O6NCqpf1K36GHRAPCjUcnnsuiwyRrf2wusSlsvroFB43lZ
D6MQexN7BtVniaIXyUd71TQIeFUQkCBdGByGCaUI4Drieotptsdnl5HrwTzwpLKGVQ3MWpdUUDPc
QOLDNgD0/j5yVLQD5Zf+QYRhfYZi7+SrpRPzbpzBOqauNU6rxcG7UrhD/8ERWBxqDeGRchmdHuYI
210P9ZkFSSud24bUHqwshuOwjpt3z0E4jpoZPmME/8BUZbelb3R4ErndvFt0PpykqWdwRpzk9m3P
doDPv73PKFEYkLO9/iueCgL+TnhYYv/G1no+d0Ln740TtzfYnA79oi3SPYM+ZoXSjzOUx7sAYvud
Y2mzV0Xh3tfFuWLNYIYBJ1yXphs4l8ML4Y7r0nXE50oUrcZEWVkX0RaiunG5mu5G3HjnLOEJv9bw
YE4Ayz6iMOw+iN3p1zrty1s+Zv1g9OL96vwi0JsaFgh2dzgedzGo/DOBGiCbDs3pm6zvXJI2Xbhu
feXcJmbBvjoSQdgiVd7k8+KtE8S4emUNcPEszqyrMOdPt4yUveaLWZ4i5MtmHQHUfVPh5G7nilWe
STz3JPPrjq7Pl2rNLJr9gN/vjzZVjICN4YY95QAqd/3135ZsJ+474AO72Oj54GAl+LbHZN4HUcyj
TxlnXrtFXrDWtKcOndOlFIYT5FV3ifP9MPK6r5oa4JQdAB3X42MStn6M0hWXe0US4Bguc0xxRVKt
0yjK36yiX146sC/nhbO4XqEHOifWxjUZtsS1j7Fwf9pZ6I2A9P9FCxi95guejxfQuRzdrmGOYhPW
jTwjxme3jmpntWp5tvqJ+QQ2mXIZ6+ySeU1851YtSzG2mTH4kxHMNTAZkBrIU661neOifCD6aXfH
sU6X59JheFtNJc0aom2C1+su62XKUGMxgi77NGpBK8a5eyfDNv4t+y7eYbnrCgBm7FznFo7vyhvD
aQua3XnNGjk+Sx41n9EkUx664Bto8tAC+o7M/OpFzln+Gxq3xq9bso5MUtiAsE0+ksxxgkOT1S6O
g+pqUwh3Uww/BVNndloqf3gPo/iLDf+BW0uxwA4zNt/DwnYnPhS1/SQW/s5zVo6nGeCKn6NfYNDI
8NaNuBezanbAyHKTHPow9W+mIguehoIuRKvtHUp/wu6okoyhw190+1Vl5kKTCn8oou9HB+bIHjcL
WM66sTLWFFlO0sIZH+KIaxrgJa9W44Y7vN/jC6EuGtCWplxTUkAgU3rTi4aouaHlw1/pvAjWVZt7
KDO+9azID0/ezKpCOOoBNcxcyLgx77lp9mbPFGAMUC+3zYAwBtBY70fSENuYcesATjZ8D1xc9pEd
lD9D60y7sQWHtRpBjj41XlpzEuIoWDktPniRIJf28w4sfv2LnszlZrLL4A8ERAotIh8jESshY/G6
L8g6fM0Fx2jCHsqBYT+0brKaByu9ycErUV7T6ulPFInxvCBPp5vJWCDGWVfv2nEqv4DbO9vRakEM
wgzcs/dL74OZOYoSinAnO8KeSyar2z4Kr6dEdGk7wk1dt9MPxsL2nvqVS6/c7mDjnt7MNl08iiP4
Ss6BPtcduPu5H88MnekGSLR3lw9OfogqHuugsOlXd/VeyPQ8d6T3gWxW2EdlHLc7U3bXCoY4lY8l
xRLsMiuB57C22EgNsEUdvGvPBsmN9ME8FekagzA7XD+slxsJg3fnUo3xqASM/Q8YqUqekAMmKjRY
uO9IzXl/GLLgR/rspV55SdX7aezs39If4/qEI5LZr1E6/BnIPNi7peFthPDDViH3JRTgfrkVrYWy
mPmPDJPzKQuzhNhPq89tk4ZMc8BwV8pk6Uzhi91Gq7Hx3eccpelAA0bLSBlGCLHZjetXwYUnQrf1
69icg9gZoGDGbvpe8RVnx7AdwEetl0vTUc26qvArfORM1k+IkM2Z+9Xvmb3A4Db1PDxoC/g/aahA
3XqW3YlVFRSLAwHQExuS4nazmewif1rswKGjD7rZB2K4ObstdSlr2zj+xcXsvwHhTY0CwyoV1Ukc
lPealFawbk0bEYTgZL+sdU0cdxsvAqKrZhn1JnSCm67CX04FjWedYsmI4fXtsdS5uQw4m/INu4Jb
Zwgknkj84gxglCmvM5S5H7LB9heCigI4quVHjxJ7VGjE/SoIyISt4d3rBA8FugfLAEVXdNFPxcYq
K7veIqSpZ8oAEmjvuiFQRDAa3sa1+aL24TCHqIolLeSIKaG9nrOo2fPU+gT+wTqU9MUmUV6yz69M
qillQ+/E9+Qk2ZMP8SEqSsxRWdSutbGOokoObBguC0HJ1RBUZpNncfckxgZXKI7NfeTncK8ELQVs
LPbW9YghpTnwQSxrQKMFIt+Kn+QU+MUfgc1rk8bWARSBQDpm4OaIfK3xCC2Kd5K3sBnzNYikZ6oa
8Yfm8YvF2LHiODjumqy743SOW3JUt+5VLDbCOrjYYnYcRr7IFZ+1nyGD+1fUV8q7QcS/utK5iQVH
M7+F2dbRf7OhIwB7cZl0R6nNsjUjeyQ/iBYSXhh53WLo1trr+TkxNAGUHzFVUQMKyhu2+PRpBkTq
PjnA6k02OLDull7q+xHTL9YEsdxy73koyxFCLSswHMxzQ7QndNxTRsnDY1QpzV6+8tcx2a5tLTBW
sP2By4/3x6WdrtUMpciE+8n2owd4nDab45zOLmTnXrHbwld9DuY+Q47K+XxVk0saAlh/Lq43HDxL
Rq+97fTvSGNVtk6SnANL1gXpzdReCbSLMwwPucgMklZcha85DoXPzo2jmxaCm39okJ0ZaPz3eKz6
eNtBms7WNui36SRcO30Mqngy28B1wfLBp1rx4hBvFN/kTwBMq3FlNV4g9iTA2pOUsmMGVayShByq
N/azT+7MpSg69UwBiX/DAwYaf1opAnkUdFRAGOtgDLb09bBtaMNtZYvhtzP3icN0KtQFirc6cMZC
401ElX/MSgUEhuYa2yYZr1/cWSkAg4q8gjHJ3gRTsJ+oLdn6KUc4B2jvKVuc6dApVIKVgrm9TUmP
3dDKhsBAR8z4GrNp+CCNku5TFGIgt2S1XhSDC6puQL8nyqOr/8Uo+p/W1W7T74ZA9J/uP0NWvv/J
Zfn/iMRiU2AHau4a8v2vJbjn3/lnEX8Wn/+U4f7xlX9rcfZfLmPYP4As/67FSfkXIhxzI/1UAiXu
GgP/W4uzw79QsGQY+p6PwMWq5D+0ONv/S7k+DFZS/AoqBAiE/4YWx3dEa/unFofF/ho0xi4Jlh5/
zjWr/g80UqpV2rrAUnat6B4DNksH000O70q/34WWGX8zwiE3B2F4gPhJbciUt7sB6eiA+8jFipVB
Ih8CT9BgY4/+A+H1jkkuKo447s2K23y6yCgObl1F/wF0yJJjbeT/NE5U7hZqaSXfsuq+2jQS5CQE
dkZqO9LgPSAz99pVRXtbl03ZbHqHPRUGbaFu5LQodjgjpwwCj2F+4MyH2SOmRLDvPYvHZjESt12a
7YxkrzCMvgcOG1F2XPjG+DgI3qLXeQf6FNIdDqgKAkfjNcexLbOXwtDPtqYTY1yYbiaEfctTVrEu
sCXc6cnz2PcRliMoaIU+85hKC5QD6b8UjRg+QqF4QzDJd8cqzKJnDo2YHh3B6RNTZJBcrh7jkjf6
FHD2Sdz0rsvz4bUpCFxv8auIm0nA+aND42LP9sCyth2/S2HML8sFX7ii6KFFM5msZIOoCco9t/1X
pkr33Lmu9ZyA0X23Sl5hcCvlcLxWKz4MnNC2DckeXu45H3gMIZAfPGfM1fzsfVLgZFPNoQR6fBZk
uMgHTXnxFfSgJ1tmCMA55Aj4IVUosYsm5V4TRr1zTIgXRst53kTldZWoqKvHQhIAAsfQzIGHJKxH
PQ5hivFUylZsMQQAiiTN9NhPvApZQA42zYYLTBOsfdE67ZfxE9JbdhpnOd5yQfVZxBalsvYBDNBt
nEu5SZpwA76v5PVOIQCZ/+AgLZO+Vm1JEHay6hvbKnMci9KsjZpqDmIq3pemnNdWhyktCSmZgfgQ
H5CFsFN4eO8c69qZwkLuF77t5YTvMLovIR7fMqRgGytH+dXpYtqROm2PunSSgynUc12Pa6xCAAGy
PrnXGlOqEzbVS0Vl045cs/eZ2v18k/KmX8cu/rMgwB7J2vNNiOqDoxzDBMQM2LLDKwm5/prN7grO
OSFnbzONBxps7ivHXveJfwqqXSyXcaWL/GprJJte91WPffRq0xIIWnJV0d31zH0gb1vqGR5D7QeY
HXhtnXJk2vdWCvXsdVmpNyUUAIVgRIPfqpquqXA2T/OTU4v6QJUPa0s+PtatdHqsHIwiRxNiEUQ5
DrzXIlPexTfKPdhNnbNGN6yIIjmmfzBzV7tmNLwH5ylqv8BYx9ebksIlWYDFzDoydbyvRIM65gfz
feKlyYOHKrSRWSQgIrMiuq+ounQ2cxenjxPOs2o9zonZQq8aPqo0qy5pivt9ZuC+wPqk7GN0h4Xv
lNebfOjtx9Cp5UEttUufCYfgZyQP56U3cjwE4zR/oY2Y57nDAc64l3lfXN/pH3R4l4Ya3wb5WcxO
8mlHORn5GrWvIGgu5V3m1QCNBZM5ZajGrXf6KthzSuFgb/Cq7qteF3eJztznwThwGxqf07Np3XNj
1Q4/JDid+yTtbZpAg5rsX4Mxcd+LPr7j/GkTWYmDfTam3RljDU2JXML8VSMUgrZsu3OuW5c8xFIf
FOljOqhydSkKg20kB9RrVhBGxU0QVWyR6xEp2x6ys600fAXl+/a8aizbfrb8YMTeEOTWlvtXXjjt
mAfY8+LRcyYHUp0duMkJV6R8iXMjXAI9c/M9LuWyFkageUNlqjFo1uugV6esngnbUV2C9IZ3krgG
hO099Ds2pjqFbeQCwTqMYXERWUO0ybZ8a1O5E8eSsLMPEzbHhyDDqudz425bgQu44X9W9rgUT+0A
7rljVUgYKrwbcDzc6smob4IR6e0YR3pnO+VyqpsOMAZ45INEK/3SS61vh8EnGV7APk+ML2+omOJv
6MQsgMJab2hHwQwj2+KmmGdg0qXfj1sWTF92i8cpR2A+uEQk3/CaA4Ds3zI6bPfc+tgudLBN6Arb
WJkefrwy/Z3BB94GrD7WAMbT9VBy6s7d+pRaXk1K3/eOhZ2iJnpy40eB9WBbhTzMS1wcYys6ibjB
VoaFWGy73JrfZ8jjKOB23Dw4kedip4ytatt4zmYp8mdCb9PO4EjZlUn1ngtkDtKx9gba81dmUcx0
ckCikesJe70ZY6Z8IktUOnWRNzzag5fdEo6vdkpX3QUA9o1U/q9+qg4s0fGktaxR2qnt19Ta2hdV
OtCKOzD4JeaEZRU0IZsgiDQ0SWNGuXHIjaGlUbqSrCY/yvdpIvhPuGBmX7vZqdERTiyWVTAWlkQI
D3tfN5tVWo5Ekpr808y5OQV50H+4edWG1FvO6S3Z7mFfJHaNfdDFt1DDl90v9aiQ2QFrkUGZ+huT
xNpgIqAGEx62u1roJPxtunhIr4lJX2+9itA+W7s4X1djDxULzDHvgdRpMV/i5eHwtMCk+S7Ktr+7
KhR3qU7YeNDusKE8j5Vf2OOrcZ3bslR3/FoUc8X+nD27raA+LArp40F7GafXKEp+Qi73j8UPNow9
t2iQ/U63dfbJA7F+JFiU4oXzDczficJZUudXfS12HrIhXT6suBbbWOYTWesmHK+wbFwzY4eMynHz
VmJe+modTf6df/haXzlh1XIDDhCWJMNVNS+lRNKKAxobWtmeMCf291UWxa+4nqo9JdP+H3bB+fs4
eBUFbQtgL5UXJj3kXdwcIOQDBxiqplL88gOSjecV97wDxj2R8eGifLWcWEt5rynhjdPUWtOpdlS8
AfMqjpXxO15IEqL3UJR4Y5306vvhs/LDbvnm0C4OeEzbjesv0Q5jIqgcjMd7jZVt6TTtMkD4WTCw
qBnrdeViuWz9DcZ/TpVTwX5PoeD1Y/Pb9UbmuZJLUU/B1hE0DPIg3phupAQqQCB05gfLrd1TWY7e
UVezf0hNVH76PM/WLX1ha781TbpVhdhVXVryhnE6okFKPQTIeOcYQxvLBeoditHOVikdXrsqL6oN
tsu1n2K+iYf+xnHmP7bdogsQQBXADrwA+3nebr3FRwtyGLUuoS69XRGzG+5g1e4tfKiiHXmrhI09
PFON1b3gIcoRNiBRj/Z0gVzbYPKhkEgQPNpEA7CWdoxdmHzEcGaPwnmXR1mydt3pgy8azqmRyxf+
mGkbAQfZeUlcnHFPuW983oS2vKAnp1NVgOarRHtbakusA9CF5IQDWz5UA+/yqK/EDSlPfef4Mr/M
aN4PoEfU2YhCn4fE0ghNlfbvuUPDiaVa0pw5h5iHInb834uYYvJYEU7lybEvfu8EJxBr/u8wiUJS
DyHrtDGhBrWp6xtfBHT/ZACLP3C6dbc8NvNjjfK/aWv5HfdDeJAFqnDMxu3Sebb64CSOLTUrCipg
edEzF7lZdVvNNXGTBnn3WJqYrFHiVzNPDxzf8TIVuxwbwyFsZHC0fDk/RhnFfEAUKJpKZbQp6Eo6
YXKaX0dE/7vJJO9lIKN7EVX6g6V+fSDKn25m7e4x+GvU/qzeyTSwt6ahkmRO7PLSIMTnqyqKtxVz
E/oSD+eevlk2V9p/Exxl+JiVoSWSBx7zY/meIPegGOf6ZFNNt/Kb1juzQAAnTxkUW94W3OlDTCH0
2vRBv3WqZfqOZjT+IOW9FynwgODO0IYl73F8EfFNKeuXgF7pN2VFTJkmEJuegYiCM/qlIBeG15CN
yT8n7Pv3vFERslxGXtodena41PwS9YK1kV6DbtX4naZgfDQQ91PWgOwbsmE4YhixT3Lq863TaoFC
raPDSJdiiKS8qoAfHWX+Q6Fr+BMrorUZZHPFCEusEyXqe7bgCeVUWpHxTnO6VcaS7BX5FfYRnPoK
dg1bKo28O2Dk8x7PXnM/9sXVAlFWX4IL5oIsOhwzMASr9KqucfRhnKhD69DJubulty9ZT3E6P0VR
2jIvZPmntsOFX6XKtyBdkm8OY4j/fmNvcPF6qyHs6hfLWsZHPSzoKHiQ7I9ClmSPZdjv6lRUB3+a
Q4S+MK9CEnSGQ0+n7PtG0V0UDS2tpbo0hKpDNqWUWV9bdthzc5Ib0utGQuN9D/X7XEwjV9YY7Eur
IPsQ9beuRTt2zSulJNUc9FTADKliY81H3YXnid3JmhAmawJ2eWHq0HdKBaIOGoGwY37X43SgbOxZ
QatcB/aQ0hAB+5FFyIwtS8a72WtqeBBld8QL3X3Uohw+l8FutqGMglfLd8IzO5Xo22JmosewL/r1
0PgEA4LY24ZmgJOx5NU56DzzIVXUMxv5/hHEUL3vXQsUTjhPFpRnJxWHcPFpQi9sazrX+PppjiHi
vXfcxF8lGF1TRn0E3giu/bfAVwOYCewgLslI/sLSFsiVhR3slfpSe1uFc3jpxiV/ryE+7+drrSVW
pekzoJ+Yd4cu7Puc3RDPsmJ5iOlgOml/mR6stqXEElc1Be+hREbXcjkuKBWPoQmbz5hdMom9sXqn
SAvtdmnd47X/4GpZb25V5wiCIV0FTrSzBeb+unzo/C6wmFiG5rdY4uHZIrAA6njw2ltatoPtiFUF
qg81HB95C8RMts6flNX9yYMdwdJsZhuqYlsgwrrpKw+Obt0IBNgNe6/+dpILeIfIcXbWPJv33tdM
rovM7wtudxy3eUnWefAvOfsMduYYZECT0AKE28Bp77XsqjuG6+wK7yEg2GQOjxqwSMMj61QMl3ii
82MVGHpnWZo9ZRUzLERrzB/GCb1NyCnmTGoXc2VetC+BsEi/u1KSk9Pxq5cp1PEmchXO+iE7jgUB
aL8dl5NhPDvhKB/fh8UdnkOm0IfeGXmbgLd4pZgsPYWDnX3FsuddFI3LhWATxZ66EvG58TL7tmiJ
OCdgoVd+lvtHUQ0T+fd6cUqCEIH/SaY+wTClXfFpApvyZ/6O0xtmI4nWkmF4ZlngiXp7BbXd0P9C
9r1UnHZr8m67Werqlvd49ZHQEP06SAiKS+VxMFAscmbllHeu8tRLILU8KaIxMEoHf0MWylz8embE
yjpQmmxV0+EdM22w8UWW3EWgA/dNay/U9Y06+CDaQetqK8Sqq1R+g62BqTPNZLmyesjnkoayewD3
MX9a9YmvlCdYZu3po0wBwnAG5/ew1w5xtsGhDTVSPF31aOl2XVy1B9tcLTodftLGys2Lm4v6VOq2
H7ZElIMvy+N8MVEYF29CzcJlBaHUUCFmY6JeE8hc81sz3lrB9JRGoGRSzPNr36FGw58gWq3+V3yV
/6X+exWa/2nY/Ft4/n8J2YYK7f1fZd3HT0hcXfJZ/FPW/fur/kZsq78ciTrrcQbDti+RVP/lrgzC
v7wr6zLwoWUH//Jd/q3ouleMthOGRPX+A7797+5K9y/heUi66M1C2fAy/zuKrrqyuv8PRZfMaCjZ
5yMfS1eq4D/Br0tRTVZhde1OAJ3O91Y0MdySuqIQnZ6q4Fgo9ogc9oYW1lGWsd2tA2dhpMb0cmmb
EJgI+oW6cQYMehQbu+egDnEhmhlXy1qOTUXwbvSJKmW9cfpzaKYdfAqQP7qWY7dnsQSEdhgqlpIx
jncQXF502zdj02xSRJAjvo+q2fa94ZQSzJn+WNJpGjd4zad4C2iubFiDAQ1aiyKKzygwwRdnDqKN
Mhz30xCq+4XHHs3LytqaatFrTrxQ5+pePw5OVX8PjrA+eSVze4k8Cr4Maf13p49Rombnug6+yjXJ
Lvba+GcQEHly3vY1tkWsjqtqxGq3l4OZnngE9Pt09hvnLGTdf5CkjDaceacPHjMTRHweRZcUlIPY
mMLOhlVQdAvZCseBUZF3FiWYQRbX+WowhJtWQ3M19ccgae5MY9cs5O0+/KioDYw/RaGwpqblbOkt
3bPogLXXNJfAI6upOgrHV92YkDCFVGWd2tbNO77p0C8biyCKe6OGuS32OFJLG2Bg0TCiF/1b33cZ
0nPXtfwCOveqFYwXA2KkyL6oHNXnJfOq+zxtvJ/EtqeXsPd58dK1h/48TnVxqvQC7MitRs4b4Dle
TVtg5FlUSV2030vEyrku4a8uvf+a9HH3WtcVld01W85wVS9e+WgHTNNbfoLpdRg7Xn9VnTxou82a
HcXR4SFJu3YPdC5+z2JMgOh/firVJmWl7G6U7Jc3eoSG5kTMyKZDMZ0sewdVfXYOljdkn347kA0I
8ZC5N7asioZBWxT8zWwKJ40Q4rmtBxAlkaIEa2V7WT2sK9S0iGiBJOoczqp97YNrhICl5fSRMfyd
s5Rpj4mQ7tgtJyZTccHOODparGshCE4mMewZZVPvozG7dkzX+Ko2bN+HPa3r/bk1nvOAR1i96Kz1
edkl/KtW0RLND6mUvI/wl+SPwNjYAlC/dWAr4N7bydLdTINImj3eaN9A8VLFR0Ez+42UYCaAJ0EZ
qDohN3ZhlLWjs647pRHj1lpMPPgbdh7bkK32RxhntloZO7XrddlbcbWphj4cscQ5+S5Aijwqd+qy
XYlHeidKAUBrXCwXf8TYxY8eWR6GpSQL3zFy1m+ZyNVXMCjvRo4DUiepSUXgA1K8V6q3nqE2X9NO
6a3mzvY+pZ8G4i72YiYoIpHYsMIp7+9qhv95o1nOnJoBvxUhuCHKdm5T9e9+mbRfSRYjZ+eSKjvy
GhO5A4wWvXtg/qKPCb2YfzkSA4HjCDZEclNX8Ui2MpXMPQnRZayVQVhxPIDvKLapdttruKMab+dl
8uwNPYJNtw6VHSWrMlLc5onocINpEWpoYFywn6VnpZ+apqTo4IRJ/jPXvb3Lwtg9F9zhC0v7NvnG
UF5epKx8Fj5ieaWfmTe0E7ned9ObDKy6DLybaaFXj40wJm5rAdeYgWFZ26IMOQBm8QtXFMVyTK3b
qGgWNgK+mD90P+eXOlaADxpBAoUmqtjZ+3ZXhOSFhm9M3Hhm4vYKCJsNnb8TqO0+s2k3xgk2BOc4
D5YnHja+4VCnok+Fc/zixFwQu0DWNBTGlX5PZxecrOqupgyUeeutxop74QAh/vRjQrxQZXSVMClf
RX3u77Mg/f/TuXXIjFenjtgrGJLq1aNFlFAjrB1r1wN3k9coMbfZ6PmIxF2xIJ41HNkOko6SZwWf
nHwvAzU2c+4Ur207KAZ0QOO5SX/FnW0OcGVoCXGq/jOf+goq1OCtHcx90J59wtA8zsx69GqScyNj
NIJcmDvbfl6gBeFnJNJIYOw+1BY6+7DMw5Gwlc9htV7ecY9TIGrjzdjabGUKjASdlz4J7AU+/98o
fSWEw869T1S+C3ndH/XkEL/X3lLxOAJL8UPiTd4RDnN/XTth753ZLnduPfWveTyp9N4kHfJE57DP
WLkU/v0CNDQdCBxM6Odjlf5w+iPIlzalooWxDolODrRKP8dWP/xhUeiYjW9M/ctvPHp3u7bF4Rtl
cQ/uBPPVOp1IURErlHRoD3T6kdOdVb1FVrvvm2ERW2gc8bBRHQfRFVaj4K0NAo8XN4d3sQiBVhrS
cRxGVMKHcrpxLMc5IL4AlDV9guSvBoityj9Fuus/aFsagacZGr9xUBoOJ9f70EI4lMXZH5qr1TB4
7HPCDm5Qv5XxdT0S4zxKMkhIZepHN6nbUDc/td7PlGTiGCehWpMCJtk8VPMG394vTVvKKqrlb39K
v9iCWHs7zYETR7EB2NmST1358eS9dZoyzS1+Ia7aBNsFtdalN7pHxDdNKZ1XZ9Vx9KIEFKJVlhCd
rMAfNnE+u/UaYbWHgdaohiVxon7Ksib25did/ZpUylrwb3WpD/QjV9Nl4fL5oS6VLndoAenaS3LT
ocoBgWdbNu+WUGQHjMrW1iFmz7WSDzcQhzjdc0O0G06A2bHscrFNKCF+1KS2SV9EOZJeqL+NSp0/
Ct3lA7cU5ePL3H5ZNT3Legm8dDNioSY9zX7gQlEsZQThWNhbdnwLTDYc+wGF86VlvXhJCg4W/z0e
USoH0ECdOiUBWSs8uVvDBYPCWmXJvIVlhEjFPmk6VqnlXnBPLemaTu243JZ2775jydYZdlu3/a1q
4NsmyPG7eKrKj8a0oG55Igxy505C3S0E6GeaiZvwdoQ9dRadM8/rzqblB9XUPUEJsjRA/qT7IsgX
MKiE5fwLZGGX0VHYEbjtLbXwtMD2KfdFYHM+hwHCHIpwvVC44cPxhjSR3doQ7bAkaVcCDZqA3pgG
goBT/ht7Z7IcOZIm6Vdp6TtSsMNw6MP4vnFnkBG8QLhEGPbNDOvTzwfP6qnMrJpqqXsfUyJJp7sD
MDP9VT8VAzMSW72wiZqJjVAs86maqf3e0cB6AuAriBgTzE1Wi+v8VmKiZyUJW3I7AVYla6UcK73r
AivGF+h7elP7lKhvrEy3PjTepDiiF4mUx5kJ+3tol9VvDpqcZdXk9WwM0jdezm26hjAsqDEFMjKE
c/XiMGAP1p5IqqMwguB7OjRdeiituHnoUwq4N7SHYYHrEn7lJanI8NxBLpc3Y6rg0mIUY//ih82D
XTOpjVSLQBXZPnRK0KFQMJcExIdBvzHv2ck7c9erdAMnKdr0Ok4wNLExffAkCDMYhLZihGIxDOQx
7r1kmL14RlZUIsNZL7NmK2Liua/SS6ufdluQC8/0InvJYdkdpXBQ6n3U6fydjUL0OPXjJC+irokI
MtubOJpbeB+2WZEEzPRhpI8rHtCT3hB21C9Z5OJUoyBa33Wwo85l1/dbboH2Z9F51iOaTaw2Vh3m
DzGz+W9MmMMXux+9vY2s9rODafoNJ9RwZk5p/JjMyGhgjqTzw1ClHQKtxXbBbbTtrguhACeU7jQx
TDXF0Szl9AoUK5/BMFr5KyaUWm9cutALHgImxt+KzlVARSHOCcbvuoYjA/yKiLgBaRYNlmaFA8w7
RlFBbzWrqo+dI8RQHw6fmTGc8GNWtxWKTzPtIwdu3Ykzenb2Ondqjp270C+xNTcGYnAe/urLvvhU
TBYaOi270t4qzlLILVOMhhcPY0vRD219xpqrN3ZPtLzCqnKMtIYUPQ9DT9NvWUEbrkDOk9y0c1Fh
bsi99BiXKYV7a6gbNeBqZiAC/WywxKNXsS/Z426wa5cBieUF4LG6d68cV2oCIr0bNMgCPebBVtou
euxIcvYIRsZeuBCGKC6xr2vAP3j0nNuZTDHT7QrQsym8Z5P1Bt5aNEUP9Ic2OcqcNUOYy+ZQ2pec
6UvEhHVALi4EsF9KE2Chrh18wZxUgG20WLTLuGmam3iu2B7VVdK5G9uqC/dWp04ZnTxL9fGdGILO
v/Mx/Q+HVCV6M/Ze+aCDrDEuTKHS+nnKTXveh0hizk6Nc5wcPZxK6fdE1m1xoOl1mrCy0Kv+VsyT
+R4maeavamAx0VvmyzLCziKtgE2SdtDuFPHvlkmOUmwz27FJ1tbCqYoXkIr55vi9QsvTUIjXdKzb
2C+9KbywfDfDIRMWbHBqo9utDZHhUBFM2GtoPB7bQDSZuNRFcQQpmJq7uK2R2MAxyfSmcoMhWM+F
RYgFvBh5aCPujY2WSMYTLvjohDlk7HZ1Kli7aPwIohNTsKmxVwnq5UT8yi+yLR3qufoxZmy362ac
ihvGlHawNujyAArICFLUp9Isp/AQ0dzG/NwrgviFRcpXR3fUVBh05jBcyGKIBeiQqL74FtOxmX5Y
3MPVg+z0tCn9mjE0IyJIXqby+/u0CcMfKZs7ihkmRhgbxdthEtwm03ywpAh62AfunG/xdQXuajYC
vQvsFgVsFq1xTorsR0ijFDtyq5b3cVazJmI1xdA0htgXzBk5TT6mPabTDUKq4uIJhxwoo9OnWEj9
Ot4ACWrOti5YpkqMLL/mhL3e0cIzQtTMGCBP6DyePicJT/moBosYBwW/CjGz7546i7ruzpf48W1v
goDlNAwHgFc+dlLxbKJvOjvLkTuWXQuhpE0kJjzWUFX7DxUIRnaWKcgmVUxYMbtwFM4PicKuAWtk
ki9KLmCGWszQMvJEWneT7+T2DekTRDx+2kwQs3sGMFAiIaNWRQxjXbfmuB9lGXw1PPqT7djY6puy
XE5MGe3L74QDyiPUOAO4WkA7bp0zm9cFdvFVLj24ZXPhOXdeLp3HJqncpYWvYHQymfOHY/Fx4FZt
z1yX+plPPjxA4zb5+Sqwqu0wq2NtluM7c2X5gpCtX6dGwsEmmWOfeniEx45+PzxHwsp/SLRZ2HNt
IUyo6pZZbIbeg1xaNqmR34Zd1/BcckQR7gze2Esjs/BMmy3D/jFjJLsqRTRAK+awv1FtBLiYoS9j
zzlJzX4zdCLiid2E/vZ/hUvLpSjm/29H/T9KvRd/0iyvP/C7ZBn6v5kWSTdhOi5yRuhj8/xbIjz8
jXAl/6vvEjW1r//y90R4SBEMaqLPD+OI/bsLlcJA1EyPmj0rwEAaWNa/o1n6187av7tQxZICD3kl
kuchBTuOtbhU/+BCrWKmX/GCP49YKrBCYG+0th0lX9DZq64r16Ka83s20SylhO8EOricdABxPSUq
EOugVyggZtBuZsjOONXNmYUMkao6jEbHcKiaXOMggHptbXLpS42lwxaK1rST6+VdDt4RHcMN++RI
5cQ29Up17yal/RAqy7+V9oTiBfvxMto44UA3jTed7T4Jl8gpn+C0N2sCHVVl65tUBTtis/BohnTr
+Q4hxWId1F23mdthXtMZhBdJ0/g6t6LaBVPGgp519tbxcJ1UTXgTScO67Q0l9+4cv+EfSs4TWwE6
+UiKz6YKdxAFv+qQ4q2hV59lgVyZ1Yng5OixERqj6QjzRz/McB+BtNPXFkKioNQBrGlp6fdgNAT8
I7PdpV0NgyjkNUXi/4z6wLrVzfg1d523o+EZLFRq3PoNaId0/iBWcDSks+Gs+zo2zpn9wAWm24Zc
+Klw6fOJTcjGQWN8ogvBHh+drxzjlHKXyD0h6S6fqrU9OM8yjHsOium89cjEb6BAVywMiLCxN241
+2jWzkvKlnwlgs2g8PQm3dhsQ8kwVXRGf7YGtl12Y50KDJ37KXH3o4EM0+X6PmvrRVwaVUEAFk8Y
oPiPaaAeGIYnGWzHt2GeePY6b93urVB2Qb+D38tP1u6IE+zIb+Cwuy+tAUWn7Yx93jXirigk2e3R
n361oYbj74IxW1XsQ85wloZLG2d3plUnv1yMvdRSMRCzFiI3kGyKJ5Jcf9UZfGLU6keKhU9Zp8lu
UTbI3M/gPG1HwLmnXNxnVQAHyJ8fRVw9YOOF6z0E93ORDEcPRu45aTS6vZlF9n3YV82Gbcknm8Nx
J4z8raD170YtFgg7R83oGeA/BgHdDEHdpFiKBUwyX+ywUwzbcnSwvbnldNZZcGcZrveosVVYF8BM
FOCYcWk1m3IyEmdduFlBDUWRd8nayAdp4ExdUoIpKt6wAeLLfZf6i7rod0mRY4eJCnNPdNLnDRup
/chumB6Z1ClUD6IExvoGoco01x2rPTFGBGm5ZY2dKNJiW+dzZKuiYBPlEaAcdEycx52B2rUqZdvL
i+EmhT50VsjkPLYzRL40c5P61cjSFh+rUQqN86MQmDUCs0J26GHv3HpoE9NBlASSzlET58NOjF5O
z3nZtuKpwDtTHTNi19WvOkvmkNdNqWdG78vhEGJXxosTRaQxid7RXzOFEkeAJEZV7WOHmt9V5TVL
NsQ2kxjmviHUV2X3cbGuLEFvi8UcngR0E3qcijmwlAN3TKjT6L6VrZhwKlikQuDaxdUB7mduQlww
ChhicDDAtlQs92Dwcj6sIDNWyKdbXDYSbdnkDtGCWyHh3JelZfGkSED9HJhuuzRyD/iqMui/2b1f
pUW6mzu3FNtCE9u/he3Ot+9OdbyX/WjrrR1BC1ozVJodEEfAEPZoQwBlfPyV+WfTGl2yC9mQZxhP
RITBo7fm9zIMYFNgH38MS3QoDsa8YFdnGxS9njdax0F3nKKRHHfTg4zArukjPrElT+IbIvT6fQC7
RoNGPDY3HXa8chWzizoWoz+/i2WuGRNuMX31nOrgOdbjd1Gm40aVzfRDeEOzm7M4f3BSi8deIqmO
Lkt4CkFQ7fpeiR/SboCGOtqd3yz6SweYrJvW7MqXyGg3dUhkTTGzKdpen31+b7vyNTENFIhx6IuL
Bn7s7EMj4hPtKeRa+5KO9VUujOZuarEyGAyhuz1pJG1jisTUv7VLjNlnntovvXZHCuDjRj+lRZA7
j1He9NEO77rYjKDIzgo2d7qaWm2Oj16eUJuQu1ALepiI8VOOVvHFTt/yVpB7VLwRrZs8t2AUe7pw
Zt2eZpCJ8y7uE0UCVMaYpbLpkA3jB4obEGH8vZUFDt4HwCvrhdqg0sWCCLhOo0K4BpCKHpX9Rjjd
wwTK/RhhQHtglNjtVD6X34zZDC5GmI8/1OjVD7VhokL0Uxg+qzmfSH+1RX7fh1X1UYKhOXRAoo9R
XwQY+jtRvPtRYmHZIDkR2Dq8GzXhtBVTLPEhbRy1Ody3ZrMkHvxV63QRnCjtiF8C/+OFQ9vwiz4y
Dl9JCJrwWRlNQDWtMbVr2/FpNQ0wqeS/EuG3cg2YwkS/7v1HJl/+awFEbp/0iR3QckKk72KVzchT
gT4UA/DgcyWZGzDHGcqflBlVv/rAGL4Ds+uAtbtxuPG9oq1WFsn8ZJXA2bwzqsS5kbkyOGlltfsM
M6QpLmU9CtCEVgUOQiZGn25xJonvQSWhG6cqHPcpjaE2Q6vM/aoAbVErYYtnsyrzS5nohHCmjoJv
eWt5b3PHCgLCnIdkUEzyu98b5oM9Yhpb5VM+3hCoRttlHH2IhtDZWtKzzrG09bF3bRAtTFrKDeYP
TheUIrSYlNqWFpHZmChjMsJZfRtjy7hl0lCA32R+QIoTWEx7UxgEz/CiFSVeMmRlDOJmWK47c57y
bUwZ30npsbN3s+Mo76FN+/x7oUgf7CopnX7LGT9yMNKEAUXFJYUCRzxEOjoaiY1/2nSx33JhCr98
6D3bmO7IMcb2gwEbmGxMlep+RywShLpyAkxpdcxbh8ScS1J3RjY4IHOsbNij5XnykpSGP637cugf
LBti2In2Ps+8DCAqChqGjFrgxKoe6a1b3HWpMUFHbsjavUSFtx4Lr1ynOU4aG7rRtsy45UFfh+vB
8vubLLDEftBN+EzjiP+QsnOhozLiue8jCzBjnJ1D6MErr+2EkWNqF3fYpgiRBkrs6e+glYXEd44h
XM0XFbng7EvlcORl/oSrNW/qgQuibz9H0IBo4hNk3c4xb9U0UKnRRo8mN/y6xZS31b5JcU1e99+R
GJozgWX5LVUNmU81GDjsal8+u56MJYVXrA6w/4GMMwioLy0+5WxP3TfUHB+Nkq+11kCnEedcfW/b
uXknFATC3Iidby6hqWYPxwejbeVnPJYL7YOfqFPOj4aInG/MTikPqfC6yW04dd3TSDwMa+EkshON
OvKLZY6HZdQOGGz6IXbkAdgEFFfOH++1VYTnyTXze6a/901gjXsK4S0O9DUm7nL2LhV+YxLD3rmh
MWRb2vpZEiumOaiMzoPhze8sGOmTDOz8qwbNsW+yxmqYZhjZ0dJthDHUDZovCSl1VVVedEToG4Df
AjDa1WOMPukmbUq6QgFoo6QJ4xce3gak5si2HYc2dYEKfHjIhHuc7zJXtWskzuqzVtOnbgzmCtrC
3gYmEnA/pKUlHm7lBaD5PxzO/kYs+2Nj+J8rWP/xxLOUcf7hxOMgN5hVpcejW+XkJxxywKcyN9Ln
f/9lhEs0xrUB24AO+vPL9HNRgtQ1hmMwAmRbpVKmyI8NE8Z//TpLPe6fD3DL92vhiDE5EXKe+/Pr
WKFhaxF63XHGavieLiu8r2dOBJKRLnNZI0t+5v0c43DThS3+h1e3l0/rry8fOE5AhjHgdPvXt5kM
ktFt6+ij2yb1Ll42ArYoQGAvm4N+UPmDaK6RHZdZ61TRHMpuAiPr88zuwr1uMyy5yZeNR+mz75/H
eyrGq6PPnK8+mabUFKjMGoneGJL8TuG6zVZVMEPGS2P8Kl54+def5z++IU7CJuXPoWkJDEV/qSOe
HTcO8gro+JwohfcPGD9m/SrBTYvrF5s1j3Hh/B73xYQlf1b/5Jr8xxdFoSVhaQl2pj4eoj9/iS38
HLfPQkoBEzlfnMBhL61/mK08JcHUkIP9f+rEP3mxPwdPlxuAFwMlxxvkN7nuYmP6ww0gQ8cmclHA
VJkTY4vJ5mvMjF1hjvp/eFf/eKc5i1GLHt0AkcPxln//wwvZhaKxt0nKY4JdSd8R3YxYOEsLXMO/
fkfWP/n8vNDlFMk20Ta94C9fmoTuluKIzI+Y2f1zTI/DBkpCvMzRQ6fbZDZDn304J5zz6nhQd9mA
7n4vLA8bJFu+7rr7o4hDbnTbRTPs4mV/2F73iv/6T/2HzwQzGpdWiLDDx+L9tZNeGq4knisSmgBj
MzjWotP3YzVyWPq3X8fhtvdwt6GDEIL+82fvN7FqpKSfuSRDh7pLG1+yWTh1v3eE/29Q/Xmqf/7X
f75/FUm5SZRuk0/9R43PCvH5/eErWZyV//GT8bmebt8LfvLm/Sue3v/jvn3/+qnif/Kjf0up278x
SXF92I5cuCYTgf/WBwN3UQ6xSpE3t4X1h5C67f8m+AEsjSiHoRWE/CH/bWm0fjMDH7sjWqPjwQAR
/448iLL410psHhS+b/m27fkBCMAFW/nHeziBaTfO2ax2uIlid8MjKd4zfYvvEBnMl9jT1qtgvwmP
HpP1hQjFYJ1ECRpYDEn6RDMps1ciSJj8hsn9ImrNk7/UIVPPStoEA2lEjl8kpNNpZRiVeMGdZK/s
2rY3o+GYUKPyx8Z1xm+BV3kUknf9XV2aL3O6dE7V5fDMdrN4lnNZfnVe4NwRY0wPtluLk4+sQV02
yawiIzlP9tcbqzUlhAWwr9iY14zTySl6kyL0hnPmLKBZQcrtBDxGylSnFb30eXVinPJYjn4xP/ah
qpzjUjfyVJM17zf0g/ZPTJaK8DS7A1HP0GQ2txI4ifsj+GTOXk4f1V+GIbDgTE0ZEUEuWNIucFvC
EB6PHYBLHACuPUxTVn+5LdnGvQzHrKcbTIZfVCSNH7M1VJBlW/orkOmcbC3TwfAphQiZRhiccIo7
TwTlUkvl9b844OjqdozxteR2Zz0zcSxWThuJB9udvD2b9yMMAcc41RjCzX2VC/9jahOXEIpP5hTD
d9swB4p90ofxiE4JFp3SN1ihyRpoKPH2cDKfXVUlPzoYZV9dY7DLNlVwWwQcp7ZKALjHGSLdNWG4
gWpyW+9LGQ2Yvry22POp0CGpvZwBFB5B7IpJPR/AFQ9rknby4uRGkb3NXByP7IwNfDlmaZ4MUET0
yOU2oEEsSCSCSD1apgPKt+6KltGMH286Z7G/u9hAQWQNwRUtCQky+6RCzFgRbsMimRRVt2aVTZ+E
gkVCkjHDkcX7ZiDic6ydrXgt3bF6pzEiYmDZOb8I5IpXlznMMo5SmfMW1xgliL7066AbmfoAbwxl
bxzSEUByiHC8N9myxCi2YXL2dfFYO2mCktbGF8+b6IlmLkB8KE9u5ICQsAUkF+8bHYhPHAI+8DOm
5N/7duy6lWF7wIP9RJL+ClwbC0eH2put8zQfBYIh56uTIqCyD4hdk7LMpboMUQ9qqiwfRcqmJaks
IrFuqmkYcsLn3HWJLrnUMBAR4HoPB+HF+KJUJnY0u5MsN+k/efcKFtHXzqxi6Cns7uH0I1RQxGoZ
w3A0A42UPHSMn6Dbm6zwli3o+qnDPv6uhoToQWFJXe3IPsDBbBC2wk2cDWT2oS868c7NgC+tY2Ow
2NElFvF5v/V/OHPQGiPyCb5L8kud++o6bmPceq6K213C+KrbjZiwvQ3qJ9A7bKGOtxumESJzOvJF
Q3soqdCEPEm1JEXugexuoh5j89pqUhMgfcj/9RgLnBEAoiJreNVcXczcA2AZO/R/+tJI0ZlAKKal
1Zs8dnXA86GfUT68o/DQwp8yVU20BQBFTxeBqr70eUXJlOPBmVpNs5WTSYk7G5dmmtGzqvEbOlHU
kvFmrG5uJOG/xZU4w+tTlJfkdAtZUb/B8YXKTci78B3yWlFaZ+rIlTmC40dXWVlh6z60fVISPve8
L98YS/vghiDNT53rtR9Q01ust3HGFBVBv6c1IEx4SJDApxbX+tbgKeM0m1nuLs9cecBxvNQQipp4
L329yXq2Qo+Zu1dwUM/iGZAUD8gAlHvaNYRIFN4OK6kjslAx8bZVPma4ftOyHX70fSlu+swrX6sg
Zf44eDA0usHOTggURBnbuga46dvS2IzUpB18Sw83PeOP+8gQORWkaRzuUpIVD97ILMaNS/uRDlaK
PAftpXIN2rU6Ro2NDa3O6Ryymik5az2QBgVK+myVtvPKYXrYWe3VMRX6x46DCf0CLJHFdjRM82OU
fY7lwx7TRTlasF1i7vbm1IUXZjbGumQGli3udwxvbllT11117yZS3VsyWO6LohP56Hd9ujPbPnpk
tUzEvsGC9lxZ6fjR6MT9gjYzPA9tMexwUTyFPJZw61AfqLZxXz2lnUv+nraJJehDbmdxdMqDVTTO
Bone2/dlCcHJczVtcFRtoWgLjm0tyoT/QwZYiTYdCeozEx3CbD0SUsn0GUxBaB5SrYs3EFuGpLHX
tIeDaXcOnkVmV7mdV4eCtsRt26bDraewv1G8iyS4myzeMIgm6yf2EOPSQTGic6mUVn3BGEEFEubb
6lvDzJ1p34g2Q7NQ7R7Be/bnLIulRnwVrkeVA23WHkXPDz3JrZu0ycK7ss0WbqQvPlma2wu2FfUj
7SHNLYf/+lSPmTwXdC3xt0w8qDxnbB8LoofVSrt9eMffot+KITRfcKz7IDeGan60yd8cE2/CaRT5
jPqC9Kcv7JzQ0Zxuh6hI9C3fXvkD6+W8GT1t7NNWe/vKdikureovkk6wKsJZ3LJzgQwTlsX3CbPU
mpxjwj65chkWWB21mlCgud8CjPCWmfgPjBjNGFdYOD1YHciaJ9hWBpn/qn2zrZILTEI2w1ZZNYXY
DG3VDyvhK/3hN737xkSyfxjz0HeOXlxm36tBSnmHP49xg5m65Uc1KP0J2pnppBqrdgkZRBMKtQlP
b0eTUPCEoqpKni95cKqB2QIq8BaT6BR7BlR7iU8Ab3gQ9Ju2Skgj2ThcwNFp78FNSX95A4nXBVFl
vYyGKnHBaIp6cDN7BfZ02dAEhhl0P82D/uURFwXn0/PfsGa6X96g+2M+ePUFU0NwosaqfsBbAMdS
cSyNN17ep9/ysin3MUDfcxJH5t70I/9EJphfhGM/f02tHBki9BWLzcSHA8si6/kLe1yVr0tDUUjK
rsAQVE/O/N6E1Hxtrw3WyWREn+QXAnerVM9sWAq3wUgyTnF2bxlee+aLB/Nl8+PluinqklAwdIm7
JhPzIxvTeDMmBH3RpQRWfGzETKb5nXJvh2n1FmZdwf3mlMNuNObEoi+0x7DlNfXSUexLKsja8j2b
PKBkURS9O12ntkTTl7pXl7Ys8oCMCWrLy1B40Lklz0wq44VZvWohm0+ogFDlsHR5t4QGSUWEWC8f
Y1CNl1bV5XMVdvxtbVt5txwHCbViWFbHspmJodvY+O956k+bln7A+cBmpyJDYkbyG3a75bkz8JhU
NlUo+NmtYtVGbJo2E0goSrrGqXkTuDwoBUOIvkOWpgey7sbuXeuKuWScKmCCTZbdOaDOYJ0OhZVB
23YJ3ln4i290a3XuWjHK/yZnHT6HhEvEmpPATOgmNg/lcl7djMHofjdDr4+fsrEL7xHyaRbhASO+
NHtLvRpHc4JAwMp8j1/QO8V5FdExWGhxcCrHQGANYnq9JZ/ZwUxCmuG1dsmaWm0AkXvp7xLlYD/5
rDpYR2VHI6Mm4E4w9H6Y5EIf9xr1kNva63cmUVnFlgShm51976Oq9xJmqh8mdymQejZ5IkMNdxos
UHLEu4N/jZXIqRjiJNBZtl5PUytPvHTH+kyv3yTSn8FEeSxbIe9bOIaVtcAt/EezG/y3CiRosg6h
SJE1tlsQHfhsTgSqgx9ZABOnMFvjo4J++QTHAlSprXRxLkFf/cIpktSXWVK4RfzUK77gFuuXeRjB
mRPOOJNxyJKNG8RmugaSl5ZMs1o4T0nJU+jQNIV/wAhqfPPllPfwJ2q1N4nUgudoQQVPCSPehmjo
1qJREF6vzYnfzIqBMtec0eCM7WdLDV8NT2wKGohORTLumKjUF13RwrYxZEKcoJTQAXEpkWvvvo8m
JdxYzZPNnEwdf4jdvEUV7ZMsTfVpjB2QYG29cPWl+5AMARzPyZZgjSZwWyYPrxWR7Bc7w1jgtjhY
uQr7la3CXxUgMOU77XGkjn3bCJ3vSKmOezHAuYoAQvyMQIjcuXbF828KwVcBZWK6ot19VeiYKqHY
xdY49hhFGIndjzTLHbGmq501GeUBfld2bmTQfQ6Zrh+YZEWCaDlboxyJ8dll7YMzM6jDkIfyje2M
Wldh/JiUPJrB7LKbnvGwDk1GNW1fRWeIRsm+pg2eeU6nLp0tWakhP2+GZPjk9KCPFvMAxkkBhkGm
Jvora0pz2KZDLo7AWsVb2tiInQDO9GngAmFQP7XntrE1m8WMeY7KyJKL5ou+RfZWuRstyymnsTou
o6M/te1pMrBjcgSSkOBiTrUES8ybMKG6MEYFou4SBlsre5umk9F/0IVJ8Ukzju3ZbzINsSKuj5OB
MWEjyGvdIZnRo8Kc/QI165nL/sF35RnYy4szD+69S+QEiFE+r0F4Q06wSGHxdZIEx5G/5MzS+CY2
NOSLdOryl8oZ41eamcI1p0+/Y4GFmwAC6z2ps/GeboYFdO7jN59mPyB8PrjHKiL3sTdHtUTk0nH+
4dvmXVar9i4rXDQCtXgOnJYdILwCzmlOR4QBc3qZed53xVDno57VTRHnzVnlKbh7C5YLjxhHfthh
ZH5IthswlcdqN3WTuGGjN597ehhuU3hVT/DlWecEhWWSo/KuySU+f7c1vGMxF/YtsIrhmWK9fjOp
TDOezg3y/ktgQ1s2qeElxKEnR32QA5C7PCTi4S1hj0hSz2cKbe4GV7C6LaEQZ4mHCLwI2CipGMaS
cU2QsBu5z7kaG+Z6S8KkAlK1bYyG3EmVdaVeYzLVLOFWg5GZUxunYcOp37C6ArOKlxhLkEeM6APy
MCNm2hKjAbbVmIIp4i+tbQzOGvTseEjnpHwbJShOxmB2ji8X97O8L9LafImSvmL7nRX3VerYb3Zs
+Hd0dltfKl2m2YurGw8E38Ox43Sz84PF5xLQ5vaS4YX2VoZgSPeEab0E84xZaFtLrM1bsYSA+hiQ
XYACdGT6TkYoXeJCOHDAZy8CyTsxVQIT12SR24+4pZxr4oiWTuPJWmJIGr/7mvWlforzQL/bS1zJ
UASXyCu+tdco0zXVlC8BJwjI04pzHaknPyIARX2HPqhrKkqO2LDApC9pKVvZJCL0NUXlXBNVYoAp
95Jek1ZkVEhdqShftozyMgz1LqE4lw9Ch2S0IjD1WG+W6BYmmu5WzG70ao4Fya74mvLKdIA/mjoh
ACRLCkykDSlBux7zk0FYt3gG2T8/lXoJjxVjrNW5uobK5iVflgzEdpnVcpM7wY+waIpw23B8Y8po
Olhg54SgGi6++YZDZ/vGBJgg2zAkoLqlGsCmQyKsRSQudKGoNVtIh44O8nDcckTjeOQTk2s6LOE4
/Fw6qjvxijJDCxbrETtp8nVllte3Xkial7ggfZ3JksQbl0yetaTz0mtQrxFkNZEfQA2vrNkZ0XYo
M6BNtEUwILdqE/rz68Eja79kAdNrLHD4PSKYN4qKXciTGJlVSYywvkYKHYWj/kwRHRFMiiG43RWR
GooIzEI7B3WNJhbXmGIfULzWZp6m27Qlx+hEzbJVVhUOtIRq9ecMOdBbR0v+EV8Ixt6kaHm4xwUX
JmlJ4v2nxivcd2ngcmm7WI7rjAgLOxyWqCnwMO67lMKdhrD2P0Dy1a9+YYnv1HLi7pdtbNyDRiC2
qVxXqDVwm2knJlpndglNt0d24hS4Q7bM19HUKY53JWi/dZ0CNYCAL+Sb2xAPYdrl3+YRhS8cupZc
KR2KwMoS4X3619wpMYTs7Ls5HRYJe57vqTLg5lJi0pzTJbhaeKZzIC0FHeGaay2pXjwMkdO0dNdx
9ljboaTIxmr98oLBWNordc3LFvSFUYb3e47WLoxerujmJmybXoO3XWHh/e4DF64tfTM/en8J6UbX
vO60RHf9bgx514E/09uY6bmGpETH5arP2CV3eWw9i0DE/dbVwmefsCSE/WtaWHoEh23VzegW1zzx
BMUDDE/vYqwJl8hxek0fc3n6YpP9Hkt2l4hysoSVixLkEYJIkOAydco9am3+VTaFjaNpCoGg4iDs
lkKL1r9Lrpno0Etfm8HssyVaDfRzuAaoM+iKEEHdziqXTGN50tfctW5Fg0egh/1C3onTPBBhk3Zb
qBvRNGh0ENtu7AvPiQTTKrZDLtCMFp4jmMu2pNIo7J3zcI2GJ1RTfLZe137LfRurQpZQD77KbCQ9
QgUBXa9kP+SKswCh84xyZFjF1zA6mcTgPNotWmkSpuI2HROC6wHPTx7Y10B7cQ23ZyWE/I13Db3T
nrgE4OOuMfH59fVtWuRE5EMiWT/8KI0285Kg504iTN+a5OolWZPuUptL5n4wAifcGA55fMxwabwb
rzF9THdkgViWeK6M1zg/kAH3NIfVbK+ILePqH1gm3YVOO+xdP6u3BhSxatXX5nSZSkxryynSkOua
lAeF1XmVp1s7TuYHGwBWvRfsjFqOTKHaNKAKiXsvpIJhXABLrcahikcRlMFAEVW3IiusqVC/gg4E
yAOjGszuMl1BCEbDKoPFdgEkJC0EVRxL+JNWM9nHWzXT+rLKF7pCEvtTSWpqgS4I4j/wgq4wBnOQ
iEVTxR9MZwy4BrxwHn6xwvrVZ4Z4bMH3ojymvk/CE9MA0URMStzGObYKI6//L3vnsRw5ki7dJ0Jb
RCAQALaJzGRSa1G1gbEEobXG0/8HbDFTff87c2c/uzabYZFMAiH8cz/ekqdl2YywsDXWPU0Hq/eC
LZAooBkTLjApeANvIhR/5FoP7RLS2/I150DmHNKENBgqrsaeUjrNPp5c0mH0K54odY7HY5zN7kud
DPUludroBT43J+nSq9O7vMnfassOD8SwXSpU2EQOIZTeXdT0Y7jHiVy+M9CxflRJvTxRhTVY+5jO
Ko6mLLugotgK293swaTnDjl7p2batOxs9L9zmGu/idQrngGOtUlQ1WAruazFF5Zk2ESQYfuN+nCw
ifRt4bc41z+lBckN1cI+zggKl0g6OqCrc7jrYCUOe8K0tqRMaFpPNg/uQ99M9UO40mYMpV0me1jz
6rFtCN8j7nv9U+YpOUNKG+rjir4SHdfJHWlJJpSBLFMTGj6GerCTk8fjC9KyGu0tKxRPVIpIwOh0
RpO7vCID5JsTNjqb8Uzce8RuMiXP+yV+jBttiGXK5V2EycG2dLWnZQpIX7Pm03cGMuT3/Ua9cSab
Hfa2NDaPGVcTfACZV8NrxRLUKuk9cRaNIHT6sWsFglGUxbGtaV6Z8Fcf+MQ5i9otOkDgdaL4Se7Q
ywLP3uo4zIzY3wwJjrGtmkQXLPScKFtTnH0OHf87n/1381nBnJ2J5b8a0e5/5nHyy2T2ry/6gzfj
UtrnO9IxODBhsG3Tz9/DGy4jWDw3gF5ITtjbfPYvhLjyfvM8hq++kaQ7hNkGt39OZ73ftFB8FXE8
iultR/0n01n/VyMHvxz2Q6hSWBpsImAIB3+bzZbMPvnxmrOk3coRmqnpn9jAprd47Ec4gdPTYLXW
Q2kDX4IHHtcYxPxo59SSs7IzpfmXImvH97apkvMw84cD0XknWFeCuBIeIMeZxLmfDU4I/vmY89hU
3xHbzX+yHH6bhs7sp9W3Dg0rIuUS2M5qfwqfqM2o8CDK7tWGSvpeeZjcLLVQ6h5m2d1SOQ9Zhc6R
SzvdQRCYXuzUCKi4WHpIrA/Ql/rqsar8N07mNIlNUUUvRENnj2VNZ6SnWLm4Se67rmZotzSPHOPj
Q4x2yrmz9x9g8GR7ACzNoy60deiiFIF26tTOQw0+JdRac/L3p1e1zM6pU2H+4Yd1eUVzafzNMwXL
9YJ2O9DF9pQOqjhLw5C+Cg1nnqmT7TJZY5go8fSH8isLwxIY7QwH0Xj+1SRndDm1gmsPMBDOX23M
hDUWPEcnYGVG8aVimL+Df0jtDQgzLK+gyK6dfkxRJje+A4GCjpVPImja3gqGkS2XE/J/l4RP48W/
WxIMjZwwoEhg/WWX+h+2jQvaPTMYVD9+WRf+8ZV/uDbc33CfagJagKWENh6Goz9SXZ89n1pvxqff
CVV/Zrqc3xQHX75AAylyzbaW/LksyN98F1eQjyHI24oF9H+yLLjyVzeUqw05LFvRXsA/p0k6/c2z
ATA6pcqIO2Qh9doGRNghwrNY8Z50gzNwcYN58EqJoMgZ8pikP9SMf8cgWtpI8mIpjiRh3YyPk8D6
vHOd3jnCSS6uvXmgYmCK+4dqopugBO4RpE6x+kR+8+TETbO85AcqaJOsJvjTg4ED49Cod2Uq0V4S
zS+TW2cYIp/KXTtO9jlQ/PiydV26DLHz5Q8afAjQg2IBdeC44EzIZ1Jdf1a5McjhKk2wUg6Rw3HN
S1PSVH7pjKcM08jDODjNqVksNEw5l28OIjUEhFAOP/jlZJB53Ojx7tnDk9vREh8oi+sNcXYZnjHg
cNPAmgx65VTSrQBkdowg/TYkGhKUsGrfzWFyk/SSQylUIU3M3a1XcQEkmCEaSGLOhGzuoXtKXTw9
J70yfz9QqUi3j28mMwdJXFpfK4Is/g57ZXJVwe1/bzDPXnVKaJoXqFxEc1UuwysvX/oyKGxuMtBU
244c2Bh69K9Uw5dcbRlkM/TwBGAHfcTatRAS+7qmSztZrolQEOPtHZ/GgqHjYsZyP2cnaanpzlqt
8T612+K7XcS0vrN8RflhaSbrrWv0Yu3DxlBtreGy3GE8COs9g4icuu1u5K4XVjRnVgyqlp3oRQ/q
ajX1JgJ78sPUAtQJ+bn8y+oS9QYVRewGMv1KLCABIBvEdQuJK3WzlUtWaPmXqPpUbME/3qu2a+5q
ZMm7eGxhgPdV8xAzFLhp5oSC+nRNCxJP2AwP3Lfqd4E//kaMqT0EUK4pzCCegz+kVwejszrwZ1q4
usRjmLNSC3bW0yFLcE8uR/jV86u7hMu1iEr/1OEUeJmZfb5qH814Z6/eFHgU6L4Vm0Ajq3lmbmGI
3PQzbYLSn27BO1F5CZ8g0DW480HmVMLyb53Bku72+AlAgXXASQj8MH3p+JGmlXIxAl3rtTWwkVXQ
Hy+k7KuTKph5l7YpzxwRFy+tpPmi8uxntvoClRT1ufPhpo6XI/xoSMYF/NKWbrwHnzHqeUKWO5ho
5NgntIhc4tkR+7BPluc6Kmtu6MN8YfcQkGJ3HYOGIA859oX5gCw0n3+mwuhOOnK9t8lp7RcyOLc8
69QEKkpvuCpQzORNur+Hv6P2KSyJxzWa1heL8+kpJzPmH6e0cWn4nOvyJWdc/4rZoX7Jqn74GOI2
fYH/Qe2sN5x0xr+dcsqeSH/05m5RRfOlwRl6X5JdfJ98ZplBo1z/USUDRqwYR3uQgq+gSZE1hR7a
1Ga6ay/rPsL++T6tJMp2NcLNM9fx6FaPebZviQ0x4E/dW6+1zdc0thi5g5oj1oPy8GB7Ljm/OpHn
mH/yH24X+qQPGwF2nzKj5TZ1S7wegGbqD5U0Eu3bm57woqwfhGOneu8hNDyvjXDvl2K+cxmWj4Bt
+qLFOCEnfk+rGRm0e/KLzSHCOmPQXzp7P8/DG4zTw8XCGvEQMov8iTuDY4qB8vGagSjuGTOI6mRj
4YpI6oX2R9YyWOIvbzPo7DJlngbsRJSGDrSNrbkTPbRFVL6jBPP2j0OJYAw65o4h9agCglXtjvTm
fOUo0E5BtJIm4L7HuUUw/9JMBA7KEyTADc9A2y4NID4lqF0NNcEmweRz33Izlnum4MSiFs+hk3SJ
B3yyNiTQCl0enw5nmcDrVffAaJWTZ0V6jo6SoXtMkU8PBt/2OaNrc2mbPHyIsBt9Cbf223LrwbWm
7lHUxXwFM4esCWJBeu+DLi9O1daiO3YrXrXQjgZQUC01u9KCtS/lAghxa+HN6cikpGDr5s22ll5u
WILC3nUr761yDbjEdNF0UknfP4YiyZ/iMXK+qpTu33EkSSq9WNzTLDJdJNo3V7kai4uEMXAUWENc
HygR8W8LuglOYzU7FyQbrZaXbKTjgagDVum+6w2lr5hlSAADkLnmVVDPZusujhpajBWDx4vFD4v3
uWv8d4txxVlDQglAjk0Hsux79zhXiXoaZeId1q0r2Wtij6L5tv7OCGx69+t048fYTu8F2Wfb8jpO
7cksCR3MyWcfsyw/QqROvE6cNk6DRWXi2NjWsgeL4Zz34VxdpVvBc7VVPY/L1vrsbgXQ/VYFHceU
Qlvu1g/dCo+Ow+SzN9qr/ebGJ7gIYViiae3iaZzeqb2hbzouVPgQbyXUINGL4VZ+dlNX3tZTPW2V
1SHe62O51Vi3xcJYyG+79r787LnutsprbB60XwNaTa7KcWjYvLZ67G4ryna3ymz4UhRZajtVP9xi
IuJoqQGvQGjbyaX/2bqtFKQaxg7JC3s2kCg0ZYRNF5vG13Kr7c6prTsjm+A/+yifgXTBYJFbT4G2
ZmqwLqnMXsV5Mnblk1029II3iLWXK24sfRmXi/1a1cLMeEZaGDTGAPraKsZpzgEoX7nqgRCvutB+
nB0R/61AbvXkNHNMd2vZ8YH4LLo70Bv9K92L1Ue8lZvThmfO8q3wvFu9fJ+uXvngh42+clsbZ8xi
OvPaf3al95PNcciJ4FCdp21trpOYYvU8bLLXaitb58BG73rYlHSwN52fXxEN8r7gZYeulZg3ocl6
w/Sf92prw0y2Snd6cPSWmMtweiIG7uiPQegu3c59hrNIg1m9lZnFW61ZuRWcqc+us1S19aW/FaDF
PUFhYDPUoqk5jy8MibXzZStNU0h/Z6RajvgiY2pvUyxLRCOYLyiG0ggsm65iu9kXD/MEjWwD5Wxt
KLwb+/fGtq28LXSocRvoc2s5GB3EVvEm7e693Erfpq0yftiK4CSNcHqrhpv88VFuZXGtppSC9DPK
qTt6rFgYigQJdEJFvP1R/pjwmLw2MxV0STiuJ0YpY3EAeZA8qM+2uuGzuY5oRx8dSlvpN7/rl281
ahsgbVb1fscgmFU9LcJuOK1dHWIFjTnoCLqPaKCsmYaQPHU6lm2a5qBHTnyI/oiXULF9nuFclsEa
D9ldupRuAx1zCfdovBY54OQpF5HL7VmHTwk19FZQ4YGAZDQNe5luVtMajuXP2inEU0+TzSnNF7be
KmqPdKHqIE9G+4mBachHfmTitKuLzrnuCiGoD5j0YSpauiR9QR0NPO/zQoqSAf8c3XVeX2MSljdu
kcgbcmfhrmnFdE9WObnK1lweMyuBmN5L9tjdFKrYCdxmcmlhqNRxKPz0RiJXXkUNCJiD1WEbOhVZ
1F+3K4dFsouOecE6sUFj+iommYj6ay4bDogvQ9Si49uzjl4a1jp2sMV5qN1JpXt74JR4lA09Wjs8
gD5xfazpzzRe+zfTssR3kdvTxOBEy2KziM3rhdeOzVuHU/3Zy81yZXKXWkLoLualM5Vzz2In9Y42
1PgLL7A44kMHcF9YOM54Z8pHxpXRdY0BmYxeXynoTljEFb/4h29GiHP4ld1mn3HePAcGHlEmswKn
CbTbd+JE56862p3dxacir+2SVXORoKc6Bz8Lo+MGFU9Q6hz0RDQDPXRucnA91B9M8dp6xxrXPeKA
Xkm4cWbf15R93uKWH75ULnTUfTMu5fVAzUqjPdMHTF054izIBaQHTf6ly2ZuaLHGDX3blfQi74am
yZ29E2tQQuSkwbjJcSZWiDMYkMdcS81Jk0f5FI7Kfw3dgYvO6IY+MwiXR5Xig6arLqxco5TU5cZ8
N6t87TqyKWekIb1Lf5kwV6YqSp4rUFXLPcOiZSDTVemPrsWcdFY3RbscQ9HDoiXUgBkwZ5oW3/b2
BgnL84qQNWWKK5seSCH2quWBdwZcoF3Qx0KXJ2cNVv9LfMSndijKy9mz9SvLkvNgKraDJA39zS/T
P85L1mWcptbXacUYTIY0mTuW3xRUVLxN+1mSVvNfieT3bMq/kUhcsmFYLP6VQHJW/VK7+NdX/KGY
6t8g2ThCSvTPX3A3rv2bcag5xO+v0UARQf5STLdmRYlqQZSFtxx6H5jwP6QRqRFToeQI8DloY5vQ
8h+ULv4PYYQfjLuTp33HbPdwRNt/DrModxpLJ5+w5JA42c0g+444TVUgJYdYq0jn38NR/2us7+8C
7fZBEJ9RAPSQnczG/vnn7wcjCnQxZ0fOekQJVx19MBfG2znhcv+nv8H/J9On7E3s/UcQE9HHEYhH
LhwfknauI/4WgRuMo2w7joEhSEFEpHAcci5RLM9TperrDFLpNX799Ay/XLmPmtb/QbplvOvKOTsv
fD0ACbMyeSGWiSlGNnQaN7Qfta8aiWYiFm6cG2MieTEI6IjLtDpwmSWVF1g6vBjmCo2SLufc6qe1
DYeMl8mnAsl1PKKZNvKy1624S3LVgQFI1nDfcyj82ZuY+jH8+SMTkpy7I/Shn6SSqQ8uyUBWYb7e
MYcxNi85DfXNSLcVFBdEDBqELhsBLPPUaNrfEGV8fpTBDcNXdLGNHhk3q7tL2LmjXQQemFllZLln
9QrubVfkKfNN4CkR12w8aUjH7th+FKnVXqAOnbsRz4McgQNZwFfLxTxtJZH1no05vFgjTESJcsq7
ec6v5hiIhw4F6llSv0HiosNd0DOl1/KsdNwr/PugCn0V73AcNoHtW+3VghYfiGEYg5CrOe2dfk61
mfEY9Gf0aFH3gaCxdG+JP2BpnTXOTlBjO2wB3m4e3Zu+5BCQU94VbzKALWccd5aPORW5A3rxPb7b
Xaesh4V7qYNHfWfkHJ95pIf3VAudK7CkQVbbfHtM4Tshow+s55xBh5T/iHHQCGIPJKX8YAQ+SxNZ
J/ZG882VKRgye+J+GmRHhUfLq0NRa6Sy66JkpqBM9I0TfLqj0c3b69I6IzZ7X2UtRE4+0czecpk6
fsR+HkH5VD+cIbySmXveVGke5LIA54SXBO9+DYTYvufiPAdVIX+kpjjaGS6KYuihlqcfQhlG52H7
RpHEB+IYN+30I/OTKwrJLiAuI/iNYYPJuHnkFHJmcWjzFmh5IdBA27qKc8hvVKLw3M0ezaRNiM3u
KrX1RJJEh91t02Pbtaq3EqAoDg/MEPaUXwp//kk1Z7rnemqOWbEdgDBekf4BLzf2E+daO8mA7yG9
JD4H4kF7N2qJoxs7nL/FYfc6k2s6OGqiGMjmJmNC64n7LqBZVwBz41xXWV0YKLeiFonIPVWltNJn
1Zlp1RtzcH4BKCOY/oFUTMm30NEknTi45sZ2g96loauuxqAQfGszKeu8q3ps4R1yJ3/Ye2APFL4h
3TK5xjsYFryoWaPWp97COxt27tMk+E1Lt7gaS/4OUD2/wdypDv+dP/zf5g9K/svI6OU7jvL+Pftl
gyV7uX3VH9ur95vjKOOxmfw1dvxjIEla1Ify7djslSSut8DvH5MHydQRltwWJOWfcl2b/+nP7VX+
5rhKMsRQ0BsUgYz/ZHvdtrNftyAGn0RfbMPF1GO8/ut2ZzqcU27vsxp1zgnt9daE2Qc0/ePIgBCe
zz3j848Gt8+/2fw8l9/g1+9sCMiiWAKDRAdWn5S7f0qaR7Fjo2rlw8GEfvsz1C68TWY0dH86IFHP
lVg5jyZsokwzEmt9mDvseOf5GONol139oR1alyCIDTMY6AwJuPKW6jJVWI/JJ9JntKdQA4+R6Bbv
jrpTTqCDGOOj7YQKt5Vdna1mJHAY9cCQEG7XXblwP8mXiMicaW9pN6So0La/p0jP+4GsXerbpCBh
ke7cpnxYiqLY9ZFgyKkEh+JZ7PTcpg/2LBk+zjOIWFlZ8i6HXnbjdlYLJX4mz2N7KVg3j+8XLnN3
xji1uF+c6pDVKatZ2l1nNR/F7K8SC9csFq7GWcIXT0tC8XLVjN9tY+lnYl5zF3SDjG5JjbVXTgnA
RWLAZsVPOBnUiv4t1Tvpzs7T6IVElP9gnJFyCuJMmGcrzFhquF+qRtNH3MdvWKttclutto4ELCFu
26Pl3U5W13+EM5aTHbhdKEJR2vuEBZjOkoI1Ft46XzwDf+74T9JUZh/WdvzQVc0WPtJLVgY5WkVL
99synSHVx5eck6bLyQEQqJAHAhsn/82cFPpWJGsSHxT5jTvONS5T2k5cJd0M5rye2bqjCc47bYHU
G6yN218YtygZY9VheVbpYb4aU68/AjyFYdOmpNOSfr0s57F+bkrPhU9bd6StXNupXhQSxF71UOZ2
Lvxn9F8PQNNdpGx8XTEYt4bnAETPfsSsRmqj9qkQgb51MoIkQFDF9BkUOT3VoF3cqMfzCyOR/j+c
QLf8/6Zmp+CS/3QsDn0H8PHlYXR6/y42UycDMVqREwwtqVFHWv350I1YfL2ySkcAY6KiW5TD+BlM
C5IMVVQ7L85CEOqwposJifZC6A3BqUO1aDtIK5VbL+chHjrqUiqnviac3X9tSsWDlDXiLSIP+hO/
cf2dTyZ56GjlunXJ/SEbLvlSHjDVxW/UmqI5JoDBjiotbfQ+Icc7owa+y6piebLxGvTUZ7v6K5hA
6jPXlAFZiJQf7pIxjen3tuVyUMmsjmm3VSNXq/1QMntp9hNp4pURfIPSsYk635vCxdmXRlN9P4bS
J29Vxa8IhLl30F5bXSPDZ3Lv+ZF5GXsi2u4wyHnbpmeqQvvuma43tAtVtua9SVJQQbXLrVjimnQC
k6ctaQrZyJ8WbPzHuK+Ll5Gy7HsaBty3ckBBpgQjB4WrJls8RUD8AMrLET8cNrLisTIN4aWFMSjW
rKhG2wbPx3TKHhgyJrHXs023uYVbeXYV7gc4+IdYKNqh4xGnZRytkmMF8ZiFOc54Fmdx+8Cwg6Av
VNn8ckWxljtUJlaRzC2iiYPtZN0u9dIBOsyofksXC36YEFUqAkP/3nchWkZTXNSKE/ongr60Undh
JVQu7FkUNEaLBelOcMjpnVXk8Z3qXWcI4EG5WbDCZ7xPGFO98Cd1dlVtCsNRn3q3UJv2MUIU3Ota
TwfHdop7innTw4pfCyI0VKc3u2NN/0wFfeGcYb6ymPMX9eoSY1XnSuxfoNItPwAXkCKCM7oA+oLh
DxOVmHrEk5mf1Kr7iyHCzMe8NfURY8eSZWEMmSPtM2sdbyaCoC+5aCkYXrm7cMwZfVWfhPLVF2yk
oxNEA3ejg6ASGAjnItLr1FfDHd2I9bOHKQTvBkRO7xBOpX6birX+0UQrSXsS0SzpCdwrChVUi++r
zmG+c7tol+ic6jLl7lzbzm6Qd0R8Vwm61g/brP6iovsvPutym4jQYg3MZ5dB8na1VZEYILyp9T6F
7RwGSxS2HWimkthU2dXMDTpXH7XdYBmb6pU7K+wuSzN/Sdtx31QZHjpdEf0KsET6+yasMEybxen4
v0jHoSK49YYtblbwJZTK+ulYB7XywmuepParO1ry2spa92VI2+KCXqPsck0FC7FAeDoZImEUQpXD
8loQVh2CyEumG91nXnkoMlbqlY6EdrcwEG+IJ2r3R1Ua8zhDW8FeKwxhz1qQG8HX3H4s9F7ct8am
KiYp0/4AAmi68YoJZGxXY/uPquK1RO68iDKvSoLUZduhpwDYj4HNUKhSBJZL6YrLq3fgtma9r31K
yDgOufWJzTPAQepbFDr5jQ7pADoMU1jFQWYn5LRU7bjiFGJ4YHxP0P9dRISfdoPps+WqMgtISs+M
hFcoXuAPTSaZW9w8e0NQS363OYyXN3u1zRPLb33HaMqcRWJevpB4kVfkmmdGYiRtvxRYo1GzuxU+
QCQ2g/RITEwEcBgaH9ZAtvIaWqL9Og1OT7zGGm/CGaqocDvnJ5KlFXhhsj47vEjffWOFKIrCJMyM
8jOlE+rYvaoPaRzK+/bHmozckpymcx3AvJaDDtcZdZ/oZsA9JYdzLupZftWMo/vFGeL4Y83CIg4o
SQBSjU3S44NL45WrYj/PSp+vsx6xPUYYDRZZm3d2l+TeoIzMLFv4zOadGqhM3FeE+3rBKCJzb0XI
lh/ocdXzOTdFBxOF3Wo8JYOzn0H/8xIsjHA7C6sDeZybaqxex6KlNqJFtIxTSdy+6Jb4yMEAG+/Q
WxDNl1ibR7Pa8QQva0NbFiEDpjqerXrP/PZMFuFCiRkGWC7HyvtOfMq+hE7g4VV2qfDmhuN3pwZi
+xVFAV8wajXP2Wzrb16m/PzkCh6zg6862J9ScUjYacToD89YKQOWwR2Hg04c7wGhLMLHMNromV4W
hd0+noeUt9Mm+LWbJrvloYF+BvHMS6FikDKyqsth1PoVrh1PVCHLkoNQrtn0BdtemwtibB6XQ5LR
/Sw/6OoOKbTOcgzubTmuTCH1DI2fHoS9WIrxQMNrhKAfI2VdUcG+XDB5tL6FSTtwR2YOi0LTAgcn
MNh/tZutMAFarPU1smDWB6QS0vd5slkFfEW/JDkNSz7iH9b6FI01ZxMt1+l5yibBZkz6vYMYihty
xyOAlpyl6RJdky6zHwSNKN4xxx6DLrvm5AsAbTTnvVHujyJUbTBruqP9LN+3DV2udi/N0YHR9zrN
8MYcC1gLAdWYAA1g3t0oNqBkSLncRttn2t1L6/sio/qLcACxAA2ctMVUl2jULuq94qgTQqLQ4dG9
15pvVkfqdkg9ZB3jxPuCFosdU/w9OUYquX2HkP2Sevo+rS2LsUjpHVXX5gfXDzVb7hjeLaGDU90d
vBVmY/HdX5UkpFzZH7A40gOEha3Tq3L9O8IO7VUaz5PFv5i7D6tckuogej9+tBZZXDOm5PPjpXiZ
GeMwJLZtRB+vS5dXgITdU9f21NEldLgueyD4ndzJpR4+fE6D33U8wiqpvG6j1doh5U0Ft5sP2+vG
FsRgHD/pGqvkrsKMdT11NoEFZaEtRYqnkEAB0ce9HJbpI7EoBKrXpnicVhYVmDhhvVmuiUnswnLr
uQ77flanAYgOVo9sXi40DyKH3rxggEsJIEyIGHHG0Ysds42VTX5TcJov9nTQjeLcwRNwiKQh4QW/
4qFaVvz8ro3FvnBXECRN6x4mhXWmImzEHKdheEsHhbEusjwc2e+XpJh4iI3/VDGWwzdOlsTbsVHm
zR62cE4MSDZELqPVxAy5MdZ0e0svfLSurp4lWbdjnYjMHAaoCXR8zWRL+m6bzkRMjl+ZhvrdRcEE
/2fmEs7ZNW7Iqai0Co6I0kDboWxFVS8CouDT1Anvh4J8fWLKNNdgInhHS27GFUP3Nn1PdRWJI9dY
55ZA0CJJrpa5v1PkPS5BvHA89AmbUFxWep69H6dQszhoiVtHU3N0T0kMUmZf8Bju2k3lhGjHNQeJ
UdypTxk0/5REl1aLJxc4xg5E9k/cJ0in2aeM2n5KqmNhpRA6NrmVbl0C4hgLqFtDYPIuEvoALrBU
8MCFvPnnfeq0d52N5rWjgIUJi3a45o0zJOEEJf588iKUYKtKfxi3w/2BHCsvuSU79yYtsUSQ5Zua
6rxQaoUalD3HK/49WlINtv/prOx0jsnD6mkPIUE0KXPb8QLcJlboHRZifoGb414juuWDHxipkV3c
PtsKwrhYUDWwj4d8QLScxDGz2+SsbGR5j7WouCuAAcAr5tTIjG5pQ77NovOrCnzOwVq4izC+5HAx
p+YWi3Z3LKv8NLCxBSnnywiU7F1pWvEiyoIUgsZyAmq8ey3DkbaFBHjQyCzhgJ9iOdLJckvSnKJL
5QzmVOnZP6fmA7FtqlVERbjliz3D+eRSwj7d0a7hrQfR5uVN7FVkB8Z20kEV+pDjWbx/gvQ8azzR
fdQbiCAax37Xj6X/hRpC78KNlf2mGhP9IFgsA5cPaGhz6rp7PQhQC3D0qc4d28y6W9Hs3GC2KYFh
S+7qp6LtxYl8DAmDiRaIp82kd0lCbNiNsFZPLp04z7XbZF9DYLEYGMVifYyDW3Zf7YxrEAeAhOBv
GaJ/n7VpNnmspGregyaJcD8wfvthyR71WcacLMfYZwNL5w1tIeslm475yGkySz3/Hlu7lx6l1wzH
wZmYb0PE2eqkEhDhXDM5Keyzbc+svZqAkF17LFTeZE/ZnjNSd1F/Ljs9P9qX3uA3A7ychJSag1lg
DkmfjHMifVfrI3HTcg5Id+ssqN2B9JZdSvO1dyeYJE6iwr1Wfrbsvc7zz/2RDP6paCYmCDaDTvZg
Ozc/vcjO9wlKzmU3ddPNQojYDYSIOZgOMjXf20KTkNNRk9wjC0DzGWz7geg31oDIEyyJNFROgPHW
aAmIsFZEqgsXTlaShFzO07wcKREflbga2ro+5f24NZ54JPKPlTX33+lo8vr/Rjb+T8NHafSmWv7v
3uzLn+17/jdx9PNL/pHW8OFnMi30vE9A3p+mbFB6rMcMfoxkCqZtl0Hdn+Ko+s0V3F587eIDNFQB
/yWOUjaMoIo4KhlaYtA25j8RR5X5+4QO67chQyIUSixaHy7vX6aBDHOsKctkBg6qR6jcOlqGyhBZ
w0A2XJUp+lUoBnVp7LU6kWroz6uiJUVKxUt9HWdW/6onTpJkwOL0zdRsDDzoZXWeh5J6At/LPNor
EbSOBC29WxH3xjsnvTklV63TVN/1Sp12V6LvMcMzyAsDrVAjHsCww8+6xgxUelZCYo1U2syMQYSB
DpFHP8ragRXjjZ6hGdZO24nKn839Q1vZXIIOztxnjHxpdqCBDfPhKsLLtWva4QK7nXlt1knhQQDD
3cH7uoWiXpOj2iQ+U4roYpQeqIAkiztQA/ngXyiZrTddORG1zS2RoJXpUo8XihOkOExtCCHHLLF6
FCWXqGPGzCffNwtmFBLQEol2ArJY0uwBJP42dkmbHpwYNC5jJG3gPBN1m26xfLjdlTKaWCdV62QH
6yrTBLhTCR2C/k1knyQt6o9mwk6HhSzpDgIezFW1pMI5MRCzdWAgn3J5mNKFo5cqbAAyCmoTp628
D6CNsyNNvsWN00z0LmVWtcJekAN1i+AE+AY6Mt6b4Mx5m21FQfxl9BNXifFE58Fyw1Xev1PMq/st
CtrOh64T1bOybazvGKLn8MxEbXZBvlJE3MDa+UXUmXuPSme+s6zZyWEwg0PjMhUeCILQrriOpyY/
4F9SryTPhlcOBno8TrnuPGaWBTVF2nUJFwNReiT/DBs59RomSTUn9GlrsSLsEgJP2cefC6fzuYgO
23qabiurs62x3edyO24rLzsLi3ATb9px5qtpYy7EnKJYr6NBmp/6cxEPV4cTEhoNi3sXrv65Hq10
2Tefy/+w7QR62xOaz+2hIKWVBYSOihnwzbaFTJ/byfK5tSyf28zwueUM2+7TfG5EXOS6i85bZwpQ
P7eq5nPbEnU7fJjPzYwdqQyD5HOTK+psgk6y7X3QDtkGBXVp98W2N6rPbRLJjXdw+tw+mXGwlUaK
XbXJTfaDvm22WkQsnMwh+d89CiKayG7SMfhC3uji0fcTb99x+4AqMuYFnaDbBDp9qVf/JgcneCjp
63Z7LOB+fSkUssEAgp7U85SeRCfSl1JNgtbXZaV+VK9Xkd/lXJnZ+JtZhU2QZJNL6MKHL7DNgauX
drL3/ogvSDojbH+fMr4UM2NRPkZxeujzbhnJOKFZnBctTwq0E+daDF4CasKDXvL/2DuT5bqRLIn+
UCMtEJi3bx45UxS1gZGihBkIBGZ8fR+8rOrOKrNuq9qX5SYXKaZIPgRuXHc/zv/AiumCCGE/fQJX
ny+yN/sA/ZjPycmgvmL65th+vXTrTb2IVtY0utmuB6mrufb1kMxWRZqhVdKV9kQ5n0uifsBqzGAO
z2uY8nK+TwjZT2uTR6ajCVa5YsPUOnLtC4IWuowbzN18jy14wkYPd/RbC5iOnbPVOkwoI3cFaktj
2XkHnFMc80iZMdv4KCO+QWtE/QGg/lw2frrlHrEZ2VmsWIpbXJzBHHmOw3e7+i8HOVh0qqtpWxzV
QyP7dm8qle3+I37+K+KnvcC0/7+X+/WD5NVHg5/yH97wf/tzf4tdiT8CFrWCDz9eF3xlGHj+Jn9K
3EVEKoXp+KiPvJv+5w0v5R+Ciw7jvkX0Eo2PP/R3+dP5g4lgQSRbEheJ6f9bwStTkN/8Jx3S9m2b
dYxl+agapLz+8RUvgcyMrTTGLW19sj+4MCvpVGzclkC6/TtaCCJcD73A2ozBAvfzb3dK83a9NDwj
2fpeSt64JEv/vSCsGdzxIHHrNMtG/rRqYL3sE6wj5C0ut/p20cXgwqUXX2iuHh26eN5oFUqiZzHZ
Q/VYQ/puNgnqFStimyIHqgDcUG7sfNB6k8YKnnkLHYsta8+KhZiJ5LL+574ImAm6GVmQ6KFsI/M3
NlV7m47Ah9d11gVH+gGMJ5nFhryjhqSHDhkPtsOG3Kyz+0Gr4SJuOwZnWTeYcCJPbYtyvdEOaaa7
8LahAKYgsicWc99Jzk/mHn4X643akyxghxCK15jEnETzqO30QvwShAvBTHYmktU3vV99Y0PVj1LW
Jb4BdV7fVi6T1LhNaVhN0vvGEqhmSEmvbt1YF0NYE4Hyxu/zg+FHQ3bSo4Ljw3qGGcr1sDysJhyj
DcETlkiyNTPuBcKGxMrbHtcSe6dh2UABCasupvbjRypD1HvDEsvR7RLeoH0P4nhQOFvgCE0L08f1
V4GdJ298NeThPtIPIei+6ujkipXafFuvsaiwn7KJnfF1geWGiE+dHazQFlnMcdob426o6BNa6l6h
v9gtqNRT5LGpXYsBl+lBo0+/aX8eun2norC/oihg93Bu60R/kM5DOY7msE5oESovvgD3xb0yR/+s
emUekBRZVDbowsFRMD2pMxtHNowMfV2/dZjHDnL023ZjWpWsttEs+ff2th1tSPKFuynL+vwopqqZ
CN8E0oRIpVzJ1UuNjH6xkcPHZQurln1sEVdswiOtv6omNMcTnzoEenHb7PaaEQrfUhWsYi06eiYW
UC9uLqKMwmDliigEYjBNhfWpArMbD7FJ9802BliGKBKg+QIajKqTNbQkaBOlMzqFEtSHxHsApOm+
Ng385XUb1saRSSQ++cOASg5USIFoSs0ndknNjzmYXPIHGWEQCfIAJq8vn0PyuhTZ5zCWXhIdsebH
bMcKvBNqek5Ka/4qYlqLe0fogdxlFZv3usNZTPVKJrHmlWR6D7OIimsAbaU9jHC/6o1I++IdNFV9
H+ADoqCH6JPahCLIqrWBp/KlnmJaZoUsKADzDd9qyaqUDg3ZZexsVDRBmkDpi8xzZ3EmrJqosK9a
mR36FpAR2LRpkfygHlqOW28Cc+lSkwbUS4GV2VTAsGmgFuE3Y87D/ez1OAPGqvzKldGtch0nuyi0
xzfQvsW6BmHg7c1aF++ghnluFB76e6Ri0oB2UZ1LkfcvDfW3YDcmeFZJHoyEbWzrAQGRdQ6FwOmh
66tiWyZmTomY6GVxAI9jv5pF1pybaYh+OJmMg+3ctjn1t2OC+9CzWNzuA5KKO5bv8eeoDNiKENXQ
K2dhdnw88volYTo8cv0nbG3n5dKMDh+YdJPn0mjixPpkYS+nnWX0529YHcqfdV/1wa7PrTHax7xx
0BdYIbLRGqDXkKO/i+vKOIa2RGnooyofntWQhOiybNjsTcxuoEEYLSjEc2WoTr2r8m4/TpbJTDeL
xSZGJySqKdgRsXZE3bz16eTds1Ko1gE+lB9mFHrlqw/Zh4ln5EFZBehqm9CoHKrHeA36PwsDB3zO
ob939MDHM36jtEF8th1FWL6sUsSKTO+CLgYg0iBicIQXOCeRXpcbRlIfMD6gjhEpCzj2Me6fmNOC
8oXOW+4wpA7nbW/X4VMxGQjYE5CaFWQ2D7yZYybDNsd2/ii6EP9kJyS7j8VFaFC1JdMPl4hAf4gS
0WVX2wrntR9x5KxT0yq2EMEELbSd7h7CJIte2DOW+aaPRpPQm0XB1MZ0AEauAqcE64cIP7wGXOJm
ziszgbvNTz5BO7bdx3ysDXoDp7JguCXypjY0OfIXkU6snpJakmPlbEDqY6vlLkxpJohjQg6cSB/y
6rbkNCP46CXjOWsTceDDPBto3diCxrFSybpnPmgO0qAVaNfWTnAo8zT5csegfmMWrx6Nvk3oVK2T
+ScMkFyz7HQkWhPsLFqiwc4Wa3yp89Es7SwjVQpuhYJfoqmQnGdpr3x/+SGUslsJeDbpQ5PNEwOC
tqwPeCOL0liW6mVCC7hWQg0A17MxI3WaITwFHYh/vPtRcTcSIiHKGPffhomtZDYxmO+EgZkppZIb
g4GP9+OaBfP00s/C15shZYHPEIwocxjdzv/lDfZ0AI1n3oVDjARSGQN6fDVnWEzKIZrpTUf3ptJs
jMN7m03adLC7VAUPE+JoT/+KF1/R94J3d4GYpxIH7o1r7kE4JyjC+jRdqOfhAkC3OOQ2eI6Boifs
9hHHPlMFZCZZ0OlSLBR1YPAQ1SM5+2/tgllHBqYKckGvo+NDYcedlB3FSCaNM2ZZbsJspzC5W1Px
nUYbmuHSdT/C0DHq0juZtSfkvl8I8MXCgidZzprejADE1wsrvrth4wHISuItDqKkF84no55DvRJ4
Mp/sG3Y+NiHQuwuL3q1iakC4FGMKAsa8itWAYStfCPZpVAFowpDW7ts4Gs7GDXYv3KHdUmsKAp+G
bO+uX7j4qBvRlz248XvcTC/GDZ8vbyh9/MZky0f4+kW8oPbpEIIipDmLWHpbs+yPROHdT1i+SuzN
MpfGqQfdby4Mf3Yh/qMtudGDCjVfMH+qH47JFunOSuv+N8UVlAFE3lIM4LYx1oU4XQoDHDnTIjj5
ivKuW6VAZWfjZyTpGRjsMum/VVgekr1bmdVX7VhCPxIHoqBApqzPTvatuCAJMCuvoijoaGdfug0s
KH5EnW6VB+Gt/sBgnEOJvNUilKXVP9e3soQkM9CobhUK1bjUKVgUK/SNyqqTo4nArKxgoODOs1D6
rTm+IpEmB3DP1DPEo273+tbZcKtv8OyYKoeFJEVqm8jMQzLr+EgVun8qUyM5hMFg3QvbjjHEtEO1
ReDuUIVVTl1cHvEuZwb50ghir07pxVu2DHJDh5xkiqaBwjBKyigwhviUWEBEKT8mIMVqz0EbvBDE
tL+o0LQUDXC6vO/I2X/rRlTqFP3ePFnZlJPopz9vndeR+Ua23/zmMqvdNa0T7YO8j9C7bpwfp1iY
P2LB/4yTUnjDKbr7yQsy3/DKghSEo8x6a8PmQ+qaKNrY56Rd8For2jLr+s288YaA8hEmc0K2Bmsj
mUp6oLvoZbhxinzXj1kkCOd5+BNkRMxTfodnQNH5jXTU2gW1XQZ8AxMO0shM/mGOM5XdU/ycLrAk
Q1qc/O2NoQTYF56SmBe2UnbjLBV52aV3yY2/FNxYTIa9cJkknp95x78VHmfewm4S5sJxShakU+PV
1njuFtBTc2M+JTKSz/TGQ4KSVLZDUczUk54oJuezPx/mHoF2ldHO0W1KGnIfSLzb66CxWI/kjbWT
BlNBAoXKvvGo1KKqxdpPnWOTYi14K2oVIzVL0nyrQumFqUIw5KqsunuwhxGplIo6qhaSbe3G40kU
QbW1sOWv+6b/kXVDQhdZg3cC0pWng5UVOw5ggqB9Goxw3kegaL4rIFFH2IA6WxPoz6pDYgQG6IbC
TpKtcGN2Vmy1jHc2sp1xgqCI07CzCu91sHp2HRCvTUJZuseelfveuAp50d5F9nI5q7wmq3h7B+Nz
Mo1hvqvYBvIrdOZ3kr3DD8nfwt2kdBaYa5+ft9rYhD33tqXHH4B4MGrQQ2rfJzH2NAZcTth0pg8T
NnB8Cq1q/FWE9bRzJy8/ahPB7oB10b5yafDDEyRd+ZlWytqQUChItHcx2koMHgiJOoOMP8rF5EpJ
ki3XqDXbIq/RTAJ+Yy1WSCtLtzzMZg13L+s/eXzdS5PlmLpiU/B2Z68b0ToNSW3TxzmbPAgE9L06
xb0UDEPbsBaJeWqCOMRqXzbC2kSJkXKr4nrjrrnkzvuAro8fTssLbD23lE1z2RD24q5iGcdFKXCn
Vx3S7c5eyAIRmRCf++pr7Rz7uDPfi7FkFRc7+pApjvlZIlCuHETNvQZBtCXAmm0Kx49AjENnLddE
OQDU09DR/LCNOryPPLD9rqljCh988g4Rra5EhNPcfZx1WzWnupLoXg3JFMTQqHS3mNnYUHdDhLzZ
U4cgKVpFnPSVHxA1bZPgKwHt8gyO7zVe2l1WgOcwZJQY8go1e0uUht6ATPinqTEB2dnkixWMwAev
h/6nIM3qLe/mHKgHifwnHQ4o2LrzFnp00vxMW7iDOxJErT54bbkUOsR0JLdzf4/ZGNRrIQV7NYem
SV7StGp82C2BiJzfw2+05fkJv3TLZJ+4F4yeLhaLiMxlHA7Xqp/PkRfgP8idCrZ0XUBlsd2fDSzH
h8yNSOLIEqNuzC1J1mLfpDkTb+9ab7T0fPFxw11UoCV2bvKV90lxbEKr2OSJz887ZULGBn1nF4Y6
FQ5ZlLyv1IPPa3iXtDr6wUxREN9KJvfZzj5oD3S2WJcXAGhpbZIJNjKBSOeYlUI9h6oVe+1jsuDg
pDe8sfZmUnpfsH3NQyi0fbRUdphLH4+P22XpRoG42KWka581IAKQ8774DLRdnhEFhw9EQUTKMMOj
ELSTGA95VrnRlkNy+DmzgB9wk5s1hkLHP7UZdcerGgpcvu5hRnw4metP29mtncvUWfpQjcz0Garw
PqUs+kDFDdf9XmUPg29Nd4AXHOruhny6DPjBAxTXdv41pQ2LZEqFsYLZhf8yOa57maRK125T2tyJ
c1RglYmNZJL/lRuj3mv2rsvL5Hsd4PgmSel018blEG3dtErXClkj3BdVEB3wy+7rnIrLsqUI2kTo
RSB2VfvKuFuzoJgatR5vdw5MOZsaoMpvn4gPlhHqGrCWzO8mvTxPZYWvfgU4sYH0seDAS9GZ68Th
uGRzs6do+TjQlruPc9O97zLb5BsafWMtnapk2DEK8MkdynPktQ5lK9xPO8+uvw9aUC404aYS5OGe
8sBuD6RSx8dc4MoYoarAUKBxoc4t8R2KrNpAZ9V36NTmlv253CkHn0jeDGRgaSRionEe4nohwXtJ
clJCsmCeuoM1encE3IY1dTL2eXKkySAVzHgJLPAYmOK5I/dIbA0V3T0v450biGSNKbm4cFClWx4Z
/w2c5iIU6LpekzwnnWZGLxigg36fiH58cd2x2Q2Edfh8BJ1zTwOOj4MwdafrkEOv4MSFWGKV+W5q
o/o0z5GS59FMVbtlm4ZvK27ejdQXL45btzQd1XPzOvcB016UWUTiU7GHSS74rc6kmV1+/7qM2q0H
Mzs61ePAGDLEw6Z3HIc5Z868z7HMP3AqJuuxMtkXtHPxC3h9uOd8qJ6Q9KB+JqFxl1vgnu2QHp2U
F2sHt4w0QKyqvTM6Peo55Lgq9+6UEwKVaLkOtOR3ud6ATHKSM5b38ugJ7f8SrfVghIzdDUoOA1k4
Pbj0CG9HFvprwmQGzao9+yOD5u8xbY/uOLObmqrZ/ebKwnl3MviLDVmEPuqSs1e3MBG4b2AkYbDF
Y+lMn3OSW68YpsXvQXcG94HAeaC2Y5+6ztzeKQMLxDXu0Sb5WuS8Z8q3HVM2W+Co44HRewLskBYP
WePIA6bKeqsBE0+PtMJjIJzIuPitGa6mqYmZpOCqy2MoPKzCNIFj1vC5tDwKq8DI5SCTxvl/Asv/
mmdALJjHhXD2f9sG7j4ibAP/RHT7nz/3p7IQQGeTRJZZ8EJiA87GZv9PZSFYgG5IwYG0KLPwhIV8
8Hekm/tHIB3Ai4GLwICx4H+DVdL5g8SVG/iutFyHL+n9W96BxQfx14ATVDh/0RR8Xs6LtUHyl/hr
knj2Gyn6iabgKbEmrpkfkUdiE7RWcReDybhAnnY2eN5eK5W5GyejSbUWY/4x2o53TX28hyPFyalD
RRU32QeQkEjXpf8a2UWwyXXA1NktTmnM3ECR7f6x14jHAyMRxvMuf27wH4ATB8/lxzZVPujmjXud
GiY930lY9ab4iPvwsSPZ7IJQ2/Jc4DVLQ2qwQ3+ne7R3r3AuPADuBw60fE/d6bapJLK9H0Azh7gP
tL7FRZlPvPXSBrSNP3Ao9kyYqQ/zwjeppSM4saHqBXKk6W0ATBibKhge65g0jc01Fgv+oIrL4sqd
GvmUFM650jSPyy7B7iB/s9MaT0YcpvNK0xKzl7F+TvjZ3legoYB2G2oPg/mVl8fKNYZLxyt6E7TK
uqQT33KCuZ9b+b42QgyGqr5aTtcgnVfFPsELpOQ034XfWLURv61Bg8V1d7LNOL+bjPYbS5NNXnds
1EjzFlzBCMb9bvFObwIXs5VlbniVEhtLX+ogOsaqkBAShmjTK6oRbGoj8NEeqNh+NKTTY4Brxleo
UM7R8ti2dfi8kqza4i/lR+PV0aGg2OQZoOxTbPXkRCdvFWHl240jhRApXoh7B78j0xrkK4Z4RfSA
Bne/xcmbky488oabMKBVT1jLWNOZlt2RumF8EzmZrxWUM7VvMSnej+6Vu8Ermdx2T46nfBg0PDps
UldG8fsYI0mWuW9RPt1RVTetW+TafTrAE9HN0ZhZ68zR2xAN+jwm28mZ8Op3zR0yzu+sfEY/4kRH
LTs4nsrXE3ihbcvLGxybAM3Lu9IymPJwMCpZ36E+XzIHiWsis4xBCALSdBwb8RoW32TObpWycwrI
3OX/nR5rYbBtUeJVgqdbkw1mo8dSEZ9hDCq+gNm8r6F7sAX9sNG+z7MZ/M7T4Gpl8wrx7eSF9YMF
pakv0w27/Sc9x+Z7r8XScMPlxu4C/zlwS+x44VJaBFV+bRXauJ9jy3kwhxm6amDG+9KC967w7J9b
nSXAPxjg4Dtb6mSFzXRObe1/sB6hQKkro7NBJ+ixNHVHnUhItRLkIBLMXZNcYhmLY5xGmqiQjl6a
Je7FR7U5Wljw30Fo0PhUD9UD1Y89hPoy/5FNofc824DFcpFl0PpLinPdKjiz7nJ3pjswEJosSWm8
Gq8w2osX2nfGF7ZH3SkVqngFANLs6p4kzErTivLRkprZ1CSX7uwhcK5AT9Ulo3yP0qzSusM22J1a
oc13MyWn6UXVSK4BTthinDhq1u/3M+UBv4had/aqwR36pQp6a1Cn+KnP3MOvrCKHixPmLaZI3zTX
Vd+LB98fxRP36PrODKV5KbIqfqWEL7jCH9QXPirexTIGccGh0oIv04m57gqFhkFe4y7gG9zELa/x
NI9FefjLW+bhz+DrX4vGWRv8w6nt0+4RSNxmvAXAI4AKxlv211M7y4hkW80cHf0oyu+UjUP2mDZ9
c1dbJTHQUGDdNocBfhDLDRMYPXcilCwHcvrWbrtXRFljR9NAzVOQNpywjVltHDbudALhf47tJHqH
xY3kk1SR84ChKj23orgDywDtug7mB+WabHhCP79OEUUIfJJeHRBhKw0iAzZ2z+7abBx2Ls6L1qDq
u25gadhFfko0qgtf1ECMfA+Gi9V848012bySL0wkMQ4ADXpq2pdzHHZAHWjW2YtiMZX0oV29GyRN
Etg2UbV1wHi/Wl7svzcyOgEWmHeG9J86z9jjk+JibbkLh8ZZ1y3WrUTk7j4pyothRfZhKlAMMBnB
9W0vsdJIcJ6PXQtuXQ+kzciTkVga2yv2Rxl27W5eY5VhaAQu08x2fw51dfESHn928s4OOOaOJadc
p4zUW7D8TNyDG/2Me2c4lf1g74wI1FoJv/UOsxcmk4DKEy/O0ic1u9FGdaziO4DkezBvfJSgXeKl
Z8d2GdRCeyAhcgEiFIDtEvFrzGr5EiFL3GVOIJ4q7OgPcUab+zpI+vbM73q8lMpNrmQwgiuYZz7v
/hA3X15U9jZWbSv+VeRVuR7Jy+z08qSw+3fP/vL0UNHSbbvlicobvzvF4WjdZUY5Pqo6qS+2KHk/
x01/pwZelXilm496KrDNdoHd7LLlCQ6WZ1ksT3XoZeVLvzzpBMmjo+qtYVcv50CynAh0w7lnhVS5
Zg2yfA5q/5kdc/4jWU6TeTlX5uWEsZezxllOnXY5f2jzjF6S5UzCviyOmW9CgItcjqyx1cWiVXfH
NANIodohOudtRw8pnsWPNJfTmaJJdSIg6D0gJnMwBvzXZwYQl3YMP95jC293PYrPA/+1cd/VrITM
arK3SQJ8fT11E5Y/EWrgDA2TPh8PTCPNbkmpmEhHXjrsPICI6aZWLKPXJu5/tBFcb/1diQVjDQ3R
QZr3goabXjCiCpmwKtNTOTeReoNiowu+TKbaNRHXrD2QXOujiwTyNZLZSMjNda1PlMjKy2ngsUsg
Ngj4qMhBcTzREjstvQjF7CDRjA6eybW2XSrcKLGr9jToWveW0csrLigI3AYdBHlgNVud2uZTM2uH
ReMcFmLPypJljwH1cViHKYo5kMbwk61iPZB5zZGLcULExrYrSAYRRpu7fO1xbH6f8xwo6xyXJmcL
5k06mzQ514u2WvmUtTU/l7J+5B5GijJNhy3Bd0XqsUTf8sUu9drXtr+4M1fgKBRwEHGo2kksVuSg
iTEmFqUXOoFI5RFTMMNpEVEwDhaVGlaWjaILv/WHyoJhN6XDT7O0QORrixDRJB9CUQ8kHnhG3UZ/
Jt5nXhvkJmUILgN81aZveQ1YVW1Dk+VeG1ePdmA+pSR2Nmw7HkzME4eYVDAMHC22wPO8c+uOeOiq
sFgniXUKfWIsWcc7LyFYhe7HknZWPzF0EHyMDNLEk7JWOh4eeJ2/zqZKfjv2EB/xkpKYyav5nGbt
AD6oar9BJJg2qVlPv+mH4zMI5FVZa5I/tLdBs8KU/x/72L9iH8OJHfD2/L8vefdfSRN//BXa/bc/
8jfnmPeHTZ7ehqAmkExxaf39fuebMPn5xzHFgtAnkPu/9zsJHeNmD/OYsLGWcc38u3PMA1kFL4M/
YwJcgvX979zvvMWD9tf7HQRxxzd9C4eCb+FV+2eARcIT6zOhzDuVV3gpq8KBu6xprr3Gno632msg
DSsz3DJsx8VW5gXgHJeFUIg+fiasZ27hOxRABhDXFcmgqFtJotvdyg8HT+9l6ejraCaxB5awHbdw
BnwTl/KgTwSa6u9z4uSbTrKKS6yc9Qfw00NX9OR0m25pHYzK+8T27HZVR20fbBzuA3pd4BbADTPZ
7DmlrVnmSD+3z8mYhAgcRPtpJbGM65DqrCZlpukhLYLR+AVekeOTETv4TALNYSsGutmcNDlVHbhU
8A5zdfEdy30jroVnBcMtyckFZcHgkuge3ILVcTNKy/Rb2ubvwyySK4/xS6hnHARR0R9ZnOsP4vTx
2Zb4TkPdLplSO7+KJJX7sYcQLLwFUzCV8bGH0YiaKY4tdcw7IOXzNuBHtzVZT66NGm41ZL3hSbPt
w8nsX302tWfElWRNDumL1eWyuEadpxouZTxn7+R4/fRjnCv3EnO2z0wI5MjWCfjFHFO1ZZ2yKiGg
jqgBqgqaJOvVinvX2WihSKENGXhY8txEO1HjkLL9jz3/1Yxm8eBOzQgDOs8DxMlENtTmRfV9Rukn
bkKiUB+Q0of6OECOOLtRJJG3qyG8p4py2e/XPkJ+oaE8nwdl5pTDoVmAxvLsjredioKHpgdcsXZb
z/Z3JduzE2SQdB0qrMqYgH1Guoje1GSHrQTY45ClVC828i7Btf3DgJgFIhUKNjJstXxLff5Uwyd5
VW3jbJ0WNnHWFP19a3o5v0psyajIo49sIAfdP/smzZSrIrHkG7kj91ulTFRNNWjzMWB3c88WBpuh
o8Pq0NGifQBbNiwYbHotWyGjT0zj6WOD1rWlsCaqadiZJgrc+Jb6HX4ZBtEpX8oDXTd5irFgH3AR
i4NL09SOSbCgryvrq0OtvOrK7aDFqvcsddKtuVTuPCosq6EGR5VN/V3X8jM2qSB+57LdPTiV7tm/
k4nw0YTJ9sI7nUxCUuOMIz9fWhwNfmSGrtaaxmegFAAY9iDNW57qCTbXoHXCNQCUE3Z7LTU7UEz/
JIKRFjc2IYJfXhq+txQXXVLuDtehDsZjRI1Eip7n1YcO3z3hhLFaBhQf1pU0w/sUoqNelWDBzsSC
cbfIwUw8wL+J91gmefPNzHTcUtaYe9cmMPV3YuAlmpBW0Ow9v3LPjgq7kQShbDqaaQGzbUVv+dMP
LsCJ9dz4TBkNoP0vEI/IHpSsu666+Hz2A2rhyBiYb0YUjyMXU88hbBb1fk2q0M7ET8sNw+BSAilO
Nw6QYn4VVRashs7zgdgafHk04356JWpgbpyuLd5MOcK3jasE6DQX1hTFD2AZIFqOafwHlsi2gCry
N7SkYd8F1FOtOey/dTXTgkkDyh23wPI1145DabJ00bn8fBRfnpd6e+j++RUMHL51wCa7vk2ByWG6
tO4rc5w+SzyK77kemZ00HSIjTxEnrIqo9mvVy5BIbKm5mHGFrXNo819R31aPs+2Gv1KjmQ4Z1WZf
GtEGuUDwhdHazWibW6Tm92NkOc1LwmDok75o/Ag2ZuWPT1NT48Hy2PK4OwTz2T5GKSuiluD8sE1S
bAmHUI5ZuCm4sOXXEuVXHuF5ddweZTJQ4JJFMwUmtiyQrO0WH5zt2vGm8W1waMDrogW5F2TXkS5p
Xi+RtVNc3YHhdMyoiOXVfqLtay2Cil9lHt3nTZFftE9Ww7DHcVzBCoXLwYtnVQyNOnVuOsNECkDi
TuNYXLEdDa/UykfUygZuDPtQqh+d5ttZa1AyBHGGUeFx62rrHBkGWezaK8gYwlf10kMWAWFdh0kx
/RTgMSa65abgM64Nqo7VrQNC3fogpls3BP109ESIW2cE0X3En2ypkmi8pVUC1B8NE6G7tE24t+aJ
+tZC4S2FFEMRD9UxxWd2HJS0h2u+9FZYDglYszGKM97J5DCELIBBHdMkmlIijaMhbp+8kSaMJtfi
o27nJxvf1JL/CbtnMWa0Z0TGYumD0uFBYyt7cDp4b9wPHS2VGxlXjjfdORRx2K4i6EuJXo8N5cYx
beKFaQqwpV2DYpx+kWkSr47ZDs8tdX4ZlmeYqC6r6nPNM4w/WNpPZlPbb0YTFPT7lPYJDBdx7lRH
m2GYrnOQ2+O6czHD+E5GFft8ku3CZG3MHLvqjdTa3aitcm649SZx0VDKx68SVyV62rRr9GCUezu3
rd8sxuHAqhsT1gJM/OqwXly+OtDYzCzcaJ+ANX5NR2w4O0+4LWX3FXLzVhMnugfgAeKHe03wBoG6
OJg4H6AC2qJmw2eYfbgObzRbN2ZeWxWE35xNkzVkxkGML/TbsafpzO+bnBrWTNzrGym3sDp6Q/UC
0a0c2h82YkHr1gtkt1twu/AMIO/C72qeWQgYH+QEIPOyuYXS20UAe8WN3RvfOL7IpMU933V9CmND
NAdYwpBws7hrfjWsiChzjIaIgIlPnvBQUdPhUyDJamNNziRhIyNiDmxougblm20xXL1RqHlNy7mL
Q88x1RcxCW5vXtlXJ0yOllrbQ/2TrEN+UNgYf3YshFlHjtxRuG6BLYQLUMxbVYGAWWEjjd6pNQDQ
hWX4zUiAFK/E1KTX3qxe/aF2JHpmEplbKHDOmTx0uk2LPu02cVF+CVuS3gU0830uq+qo68Vg2CNS
340ZOz9CvkVLiT0k8QKfA7thPEjTrsy6+gEJa+aRD1sDwdRKgQpQS9y9J10GTzkSrNHIHMrh+wQs
Pl+RcUyjreFTJWzYfvTajW78q8tbi0e65/60rbpqRgCeSzzfY1TUm7nV+J8iVr+Irg0McVZpLqhI
mS7eyi78hmmjRI6NUa/dVq4Ui+E1jAM4VlO8ZyA9ZAACgDGm1GWjGwJKETOhi2xssYH7A7UuBWq4
gKYTbxKMxm9DEmRbO2rHNe99OmUyPpWnyLfCQxvl6lLh/n0hiY2Jm2rMjWXa43tQu3nO1U7UnxHW
xYTbc2z9HIuKpEK/BdI4v2NV+dXjEKYXUUTE2WQPI2Tx9FObDJ5kaYCn2BqbFXT1JJ73kK7ltDVa
Lb6bNm+jt8VwDNhqZEfMJd4/zsQD9dbSOdWeUavYXVCqIyHXBGX2qSJnxPjCAbGhooaLNnYvg0b4
KlAHzeti3fIOOI5Jrp6qIBm+he1YLwYCOeC/YMo04vIM9wn7d92C/TwYTcG6ROPZK1alDIYXyqyp
lHBq/tIw3YtPDyzWdwnk3dmACjJ+gXcrmDqly9ceff3ICSQoqxCWwmOXVc2DUEPAJgq3+QYRL3jI
0lI/C9N1sn3o0jO7okWo/uEiPMEpU2lpbhjQpnd2uuontnmeDmwqNdRLYTEYJmVcfQRu17w4Zm8B
d7HkQzGazatv+RC3LEXv1sqKXPQxSd/8useGtYfgNx749AzxrohF92W3U5AcqjkJyNnCzOKo9ajy
JNXq04s0WfTRpA0auhQyPuR5gZ3IaLzoO01sLsyyoYTm1uX8AtvKgtXGyGZ+BH7TndiYR9cB0gqC
ir+MYH1Lryy6FoCUXFDuQTIO7wOxguZCGykt4pgeFcI2HqFgH5d2AQ53+G/2zqNHcuzMon9FmD0b
NO/RLGYTwfCRkd5UbYh0RW8f/a+fw+waqbox6tEsZidAENRQZ0VlRPC9z9x7LggKzAhXmasnls+M
qNjwnhG13rvMOfvWiPCvxewUEOyVT8pO+hMPq2CsATuoryzjaEA2I+EyFatIdsOGU5WRraOZhg/Z
LxAQMRILrdE8hY9JmHkfIbBCPnTcv29jJ5NzU0nPBJLogv3pVWO8YTitfBZi4TrWUkQTE30jctFq
g5vg1AQTI9IZpRcuwezaSubiBqh5Yq57jWkI3kQOFlgzh6FRzVpySL56me4APunkd0y/89uY1Xm2
qtwFNuMVyVtlloU/j1l43+VG+mIy5bqPh5D+j5FbfWEbFgw7Ez8UAcOOia2JB0s3tziLcHTETXMy
eSw2Yz60cFK1/eASJFUU90hqwbwBVJtumdO7mKEqq/c7x3NOU4gSat2NbfakIivajzPFhd/Y2bzI
JFT0gbyWYrEEeFFLJ98hMJzDrcyL6BTi57qxjSA6ZHwAD57ss3vOi/ocWvwaVEYGHpsUom47cOFO
5Hg+INg72nygAe3XNyfhtB09Ed7X5fz4y/jjf9g+wAj940QBRChgDCztuu459p/Z067FG2uh7dql
jZHcVmycLiIi3AWGm3ME48MKpBgj/69fdIFM/4EA6rEgtyzmfV9L6gXk/evCw4QQMTNLHncDyVJn
qoz2BjNT6bMejB6quem2tGT2QQ1D/fnXr7w46/78yoxNDB1B6pKx9qcsxErKwclyNYPmqCxKHUfA
zSxt7dRMy8ou84JFIMB86d/Jmv8LI97kG/WXo7ibrkhe3/4wivv9R35iGlBNWEtDhjLChfmwWDV/
mjitBfbOdM61mSXZ8Gz/PoqzGMUZwGs9x5UG6gwADj8ncab3mxR87vwgX3bb1v9vmZrunykNuiNt
IBHgAIXkP+JPHPUwDFM7BsG367pe7RvibogmsZF7UxzcWJmmTkPNzDdDNU1AAQJrToLw0IxucgKe
wEqIBvPJZZv14TWEcDB+1rYOs0eGJcl40tIiggZPtgWNaIConplYOM6vdiduSLfzgYsR1TXmJ414
Bh/eD0zBMuiYlcTMFDhDKQ+fzFJ8kIALVFXmx1RV9c7MM2PBJKbjtq46Zz2Zbkyb6BiPmYwBdxOc
lB3pIgsyMKb5miMgf+/SxYPn2vbbFHPX8XrDNR5obWsKDZF8ZZPbgehErhsNaqDAXY8xLUi/EwKE
g3/mVQPMJGRKUGB89DqbIHrf8FnkajhoRWn5TEHx4xX5bYU04TWdovaYGFPOXeCO16g73F0ZSdTv
StFlr1IcSTcR0ch7LbWLUxkOHVhcJXH6F9DTozYxH6FuIaIb0UKz+r6oCNyRGfTlTsudG2YX/WPr
6eFnncXNS2wP4pZ4FBbIuushGq8tVhxltcntIL7vk9w8eOb0lKCcvYkwHd0jdJAHZIZs4vMgPveR
WzwNzFSZNhC5MaqQyVeYrhuICK8Dar5LFLn0VHVsGKxdBqe/J0aO1WsFIZWF6xqBGlvRzq5fbNSo
dM1T9W7PwY8pmdzZd7zxOTKrfRrJY9eZ6SauDOO2d1N9E4OTu4G5770Ie6zOMMPECekAYTHdnH0w
PCFJlZwwgk2SSF6mwtIu2AqpOJhVoyWQXb1DqImEduTigfM4HHNdBJchK+o9sCZkNoZr4FbSzKt6
cj6D5mSYL1bCK+uwUO7pe8tjJpXy56BwJOKbrtpAxwnDNQLcYl7xIeQ3oV2mJEbNaudp8/RoEiRz
XaCvXIeixJqgZvQeJGH5oY4qYzIB0Yd0VWvAjYNPbB6eXnCN3lU+4LAiwblSez0KLL8roCllmv2j
GyCnt0CGNrVZe1u7ZfIWUXEcWm6Fi01WTCjimqxYiZAidtytmhrnwaOMZ4Keo12MtHplK1huawlI
kd6crihp6BFqcrC2c4FIZZw6/JUThku7K/WNmGOaGYxbV7ldToCYOmeXJTphOjOevbHZ5RaBa447
V1eBGwhfsiaUrb2CU1XtZjhSVc66LWH9RSu6HszyTUbTjro+PlGou6uq09NbWv+Y/lk1u5ReR6DN
36IgZyITxMXJNXX3W0q4TE9TVfS3RlwPd3ZRfWM1+FbAXZOzOsMJeU+Ax93MQeruK60RW2aKAYfP
8ifmjWutB2OAaIIEV4k7lq4TWNim9Wt8UPchu9QVpCYCPmMMdaCSP2AYX4CVEbDLfm9tdDbbMbvq
nqNyYOQLjQU5vK1fO8tIopwK48TEuT2inBabrq2cz5bcyy3EQeuKTpiHSXfYRVBs3luOybs6Yg4Q
kzeuFaJJ7OQlzpA5KzauQUQP08tqfA7zwEXHlERkKyq1RYReHkfc8GsiydWuL5PpkJYSAoehCGdA
TzHvED3MN244yy1tAoxXC4k5yY4jRDk+7SmV0VqS4APeNmp3qVezJA3A41dTJ3Zmxw5zBaLnrUoQ
KfBvlxMOYRwUud7iAEnL4Jm6fl6DK6/ObBv7o16PxbHIBpfNole8ET3fImY3dTaWqX7HQ45ulN1K
AJW/thHNmoP1SGqWY65bbLCbtBg7RoZQQC7IhOGSRbFrbZOenn4MYIWNXv5oDXW9qaZ4p8HCWPFG
7BlGOT4XhnzpC+22W+hWeB6CIFlHfVwsEw+gn7NrJy9NyIwgz9xknUzkNpdlAteqyTw8sosa3moi
Mqu8jue/pS8CZRzv2kLqN8rJNqnOTCsKvTW2px7sonPuEoC/oHwBeFvilMwwsdic3RdzP54kcc4C
Cato7yPNjpfx40dKu7EfSqJjA2zn6EPIGLVBhCV41udFah8rXWzbcph3FgjdnSU5wSVmwfUYsEDu
8rn/ZLZ1G/UO+WRVi+GRPwAwZjW9VAnHxioM8kTuexsgKiMc1sottoosaHatrpblSjB9x2ks73Sb
YGn+9HXm9oQfIY5JOfWz+IGS9QL2b0O6wsCMMcw39Hj6SoJuxl2monOj6ckRk7Y4OAku0oDf/Fnm
nvVNWcngx7VLlpqM90UbVPdhpjW7qe6wGBh9P7DUiorqBeNxeKrtqb128qk6lQTCfbKgIBFejss1
OLHRSfNiqySTDWdW3p1i/0y8R7ex9e6lM2HBJvmpG5L5YuThVdlEJtdsVuBcK1g3e0SAYA1OOFQh
0GBdrBcCmjqz+cGvjW3XjFpjJRJrV2bJDrMCLWqd4FPTUnQFxtweGtQlQG0rUOkI+fm3Pg01eXKL
ZYl3MVNmc2+FQ32usIqOFmhJslKxOqUusWDSPMm2cYtdP8StjXFiaF9nrqHPBK8pJgk9uzGABiC+
g/TM9QbO4QH2ZvtAaIWlIXdIc3M9ZHF9O/V6608V60giTiJftnkjcYdM+hNHz6LHCMadqguF+BTI
u24yFCBBj0zVoUnWsOvsew22E26/ac5hIKF9961IPVSMMUhddK9dTXbVKne1J2zxMJpLSpRQrz5R
AI4PVY4xj37e3nYi4/a2rNy7ZfH6NDr9TVkAhSuK6EIfucUwSzyo1b2AzHts5hynYZFat8QeldvC
K6Yt1553VYDURbeoZ85LIhVmWsqKUKbvSSR2VhnuZxWf2tjZDy05bwNtc+jPIg9zniw88CF2rIwZ
XZmQz2jo9R4rxg0+7LtUj9650J5Yin0oMj6Q6MtLFYYkdhrCW9tJxXcXlRv3LlVYEMFnsB2fUJzp
qlKC7ETWQb41ifoSyGibMTKM8Jc7yvci0V1CXcwrp6oxB2kMgvxE6tYDx697nmYFXqrtNUE/7xVE
b1J1iugCRz4+aXB8/bgfrD32Av2WKm66J7Zl3op+QNLo4kbNkw8RUsCSWdOBwgUsW2fdlZ0saWMR
6golEdXAn1K+DlDwGJDUCU/CGPeIXfR12WivYOmr/VRn2ZnOnSuaROINqyE4UoqExnKO5FkNAUEI
mqiPbJrMfVUOeBiC5JRrY/2tS0bniTho1zd7FoGrdNLAB7DsvmtoDK+9wAAykpSvbkaqpyQocTNw
+yCZtQ+s6KYltv2lZnUMGkD6sdmK1ZTXOzjRyTGAGP4swW++FPmgbWK4CY+FaPzcXpbtSFdxJvPW
fY5awBImNuxbGKPhemR+w+iPYezRrtNs39as67re3oOnsHlT8/AchGQfOy6XFJABn+De7rmK2vos
Y7f5VsYlm0RZL5Nmu9Y4eJjfsHhVWyOoG747yGyiKQ/WmOi1LXstbz1jFdpVfRc8Et9a3yJCc/06
wuRvNZV1seMQ8KmRDXelmRXPDUpcpKkDW2AppzvsNvqqJ2r0g9wdQJexXfzwGLrsRlj9a7emgmZD
I87kiSAdnrUif43NODrLfibE3mBXeEIFFt+HIVUec9A6flLYgjlqiWU2uyC8GJmu74B+6hfDmXiu
+5C4qEipQzDnxh54W/i9ELOBC9Ix/UEb8g9Rd95Fcyv5NBkG1o12gDpvdeob5tvwLmU0fl/CGj4O
rrtgIYy4561nXMeYOAZdCyJGqeVyLaJblYgt+qmIgk2ppy4K8Aaqcbg4FtsHe6iLi1CtOuVYijZz
EHwOBdtnNuORvS2I7d5WI+HW6Wy734yxYXWF1P1umG21GVujPoUqsak/bdJPWim/07LWmxka7GfV
At3xaAAP0eSW13YYx5feiOK9FOADWlHUx9LydG4N4W3HombGZsY3qTYUrCiozF3EwqxFDYZcJomM
5txcw5g3F2euAg/Q5kd3hm6ADtpDe4eqSQ5N+oNftN4EXuWcUidCkpa1JczTbPohg/m9JURjRRxw
yILdDdn6YobiVfBQwhWnYiyCU0BwUZ+mVI7oaU3oZz4ylp4gZxk/Y8Wc/GHOvpUu5Gq8+c7Voj3P
EbRtC3Zx69JUw2lp8uFlFp/1UO2km3unsvUmgtEJgqpIDH2KIlMjkwWGjh/xzGHtY2yPQQl1bNcY
IH8QHdamWTyGFPCkI+n9U6hLe6XV+j2A6mArgq07BDsjrdNjkPe3yWD7TjhwuEyU5LqOntOYLlMw
19s2hNMLnuw6EeqNr+cI/jSHIY95kR10o/y6rR16blvsmtmwWAroi63O4ouaBcSzNAn2tCz6Nkf6
JeT83GSgHpfaIEZqDmy6rzRzQ58X7DEKseYTcXPbV1nsI1+p973y5o0mk3zPTZEcjZ6pc93n7nU3
T2IHMh5rmAyvescCokY1Gh7jscPkmbGr9tGfmqYPflUFTJDNZ2C963FZGdcZZomM+NN1WWkMQ1O5
j8ozCTawJcN+OOcchQwvtbG/VzIpvsHr5uGxIiN4b4Ji1lZB5IzsNKN61BHVJ7d5Y2h3uEbyNj80
oodzAMQafBUf/KXM0+KStInxnRuwwTOFuXCOSDUrkrQm3CM2RkQAmvfSoU58QtMsNnVP37Jq44n+
NC/G6VA0qbGzc6/dwTuw0dSQdTbhiz5IcNfk3Qix69CUv9tNwl7Djrr4W8kGkT1LPrMjqHgYew5P
3hrvFNRGecBC4e49k1Cr3oYjG5eq9fkDxAu99PDUd3F+39aDuKSOiXnMKEpYC3pzbfGZ3pq5yV8G
K/pTaA6fVZaYGzqh+BjpvXE9GfyvbgzY0lpWz9xALmtr5v3X3LbGJhc9DrQgAl48aWct0aGxQ3vY
OhQWK8+otUXAg9vXhAFGmZ7w2OqV59wTFa+h4jKx6+PrvYK7uEHvgQgqlJxYfRiT9tynR6+xmrXX
lg/Q9F6bariap1hbJUP8kaYiOTh1gygfySSZPnW1ssZnRfODT3blWMZ01XnT97IutGOcRNHt/8vc
c/dZXl7zT/U1UH3H9Iu8K2p/n6/+/R/V3+etPsFXf/iHzZcs8Lb7bKa7T9Vl/OjvuYvLv/mv/p9/
+/xXxIVI+xYT2V9mc10x5au65tep5j9+7KeHTPzmMNZEwsfkEMHGPzSGnvkbjDmH1ElGlYRYOv/g
z2IUYzhK7qUhDNNihonx7L8nm4xDUQRK/kSLpsDC5fbf78HN76Nv3r5/mkVpfsVv/TIih36LMdVw
sLlJiZgR2N0fhvNERRSVpqfePmnifD9FS0xkDNijnYli53AMkc6ND6mbsOzvM3JSonl8zGmU7iG6
UCcQeK7V7nxHNzaeHHPo71Qvbg3APGRF4xI1BgH7YSwBqKMzr6EwBE/CdPOrNiWJrlkepM7tTrS2
dxq2aFAEY/QmNabzEinf2uyzGzJdYMNnCfrDlaKXWnH1I8nH6zb7lbT7B2/CvzQGLcfgMFVXTSLY
Ych60tcgxcqlFQR7Dgh1rxWkpe095Y33mMail7iqPlPKFccPW4sIgzFOvsdm8jZ4pr6HUHVJCgBw
jEnT0+ASCMx4Q/lkTv1AuZf7oivqy4gmbaWo7u7YnCHi4qydOmgoA4uqdRMzqZybwUAjH7PejeKX
HpH6CoUQx4ZWIOxSaoCFIK2DbgD8TByPaabehdvGxEmg+IqkKwxw1Z0+JB8DGS5EpgXB2oqmTK0N
fcBppvTvBHHk/FFB0e8mswwZQLA96tEotNag3fedk932ma3tskEGhV+RTHnLZoReRhBHky0JPlTa
RrP8mYBEWVWnTUqZ/GV/iVucMMiKNDhIAjGALEiZ6bTMNvdZFYXagfyP7FTBt022wWySXyhGlUL7
TQJyPkFueqe+VN1zC6CmOSjyoSOgXXF/JE2xZvvmzbWNyXhClo7RkoIrURWlociF/m7X1vgEQ6Po
V/D8IUEIpwah1Od5620mDRguYr0UuE8tiPgA1yzRYkOChS0EbuelVXZzNbetqDYGwe8oM40A+xn1
GaKpAdlC04IhggUHmcIr+mspLGXcTmnrguKCv4WOQjgZSQbCwE0DGn0Y7lDvBNGe8V5XH/mGEWiW
4eOZffwP5kWjNvsBPio/ORDewk07wRbZIeNVfOZ0nsdWpfhkBqMhfNEevFtUiAeuJMAKaDDQgkBb
1tvc711LX1mOg+HHuiBPfsmUczMueIQsZpmu4mYftTjwZKNfZUQAYQMv7/rF01eJe2iqmwkk0AVs
xF7mpHAOXX1OwsC30vJgR1d2jn0S5DPGAvKK2oZkHWEO0m9z5vChnlo38WRpn3yd/ZL4Ua/Xb8w2
1nzSH291va621NUrimF9y41V+fyqP6z5NidUUrn8jGFUL7lmIrrU9UNlI7EaGojVq8gR+EMT5gSp
9iHiLL33KsZytqZuXHvy1bIIrwcESj14jf2XCZF50wNZHtEuTR2AYJkV7msnhEtp52CwJiBhRl6q
9TTP+gY6h/YqEIZBityNRclGxQKm3VdOuC9cCNb1sn0QaFSwrFqlH3DrL8Jf+7s3hfdop2MfQFi3
G4Ks4pFJtqlgwGBYTrtGbOK8z2LGa0EEmeGOYKLNhLKRCWVUZMGhl849R99VmDB8s+rJPKaxu22h
PZIRkiE+IRuo9hgWV263o/z9gM8JTNJGyZUG14TasMtHGrgVyn0grsr4ZFGdvkGn+vHX+1CT6MZf
N6KL+cwmVJmdKCtRF8HPnxZZRYXKuY8Nb6+FjAuiPDFXHuMkww9R3l1HCDbjtTZ3RGFJIjeu9HKM
X8KkxMA4UmEhE7aHiHOytXnqbOIPbhKz6rxNOKYNfTKEGDwSRlpCWESd91Q2hfHeTwHPs9EM8Ctx
bDpoJfK5sf2p7BpzNVZNf0yNqIt2UYgYFuKM5LAoquCEBaXvt/LrNNG+Tpb665RRy4Ez5mMEsQ20
r4kLZ+h9sqvAYnc66YLu4sxqEw1/a1brDqomoI7NgKMLIl+5MttwS+/WnbMAwAJ7zW23sEaspD/r
4KFOUi9OJuk9JwtG3yYx4UoTEkSqDE3b2iw8G4GUdUdfCgub4+xsg3Xe1VBVQSq3jP/KWPkLixs7
n3lcQu0/DbcsHvEClRv69IzvqkKJtlOp0Y27pC/hv9pzPO1AXS+CRD0B7OAJl1NIVEaSAvlRxnCi
M8rXWTJgzJOjuRk9G/RlreW+54XFU7QY++zF4qfw+sVlk6BhMMRNJwqkHC6kmW8cCkhSa2feypL1
u1MuOU/QI5Prvurcj7CV3YYYrluiKUzkCHGBSi5PjCtsEOSXfflW2t89LG0+E6qLxudEABN7EODW
O4hO4t0Nem1naFl7Q/IZnZkThu9kaPC0jnCevk+S06t3e/MaELZ+i8GB6CjDeBPQ6vf6qJjAlpIR
ppk3NxlGRgKNzF2Wl2xM4Cly2zUrp9N6rG6169tjU2/wxTVropFi3E4olqZz1coXFB3jhnfuOSOn
FmYe0dFlSIepAcpDxmo80GmUZEaP+0agaUNztPNG6yPUjWHLNOUdgl0BUV8YOyYuR4ZgfmQk58w0
TioPnoMQ4j2U6rIf3hjokInoXfQeDf/UwZ4f5w7cJ2LvtLY+SxF6V2kHz81w9Gbrjpq7L432VbpK
HSOXxGVlp9HH5HkDoEhX3ealOR2UkvMqqWIXtWPq7vpevVMskoMkrY9eYCFHYGWD2w1dPzfi+CQS
jfYzD3dIyIwL0qgrVOIT5DCiqotCm3zLMcqt1VbBuu7QzPQSETnLHNBZfbYGAHokIgYTtYuvOrO3
7N3aqxmVvY82Zdo5okJvOJr3TRiMV9gP4gMdEkZMY7IpPmDwhCRs3aayUDcoiDeW18cHrV0ofhgY
M/KGnPhoeygBVybr5E8VZP3G7IzqR9ojmuT6LreigzPIWtdcWbnJ/xvL0E/QEe/qYSQUOmP//W3E
PkFo9TiZzw7JmdWqb3L9hT6qfapbgQmkiJPkRxRADlvlzDYxc4Ys4qQ5qmqnNV3EoB9E6SlY7uhm
ua3Tr4u7+rrE7a8L3XIyWi3366Lvvy79+asAAJ1LMTB+FQbiq0iwl3oB52n7byvXv9RtAdOw6X/+
uZXr4TWPs79dXj+6X7utnz/2086l/0avxL1mgmXFzWVxuf3UkNi/IQahyUID7eIZ+6XVMqzfhEcm
PP0UzZjp/tJqub/xVJn8lBAoY5m0/Z9arT/nIEMkoPvivySvhlBwMXv9kkbcQMrrcBw2Gyat+BHJ
2Uq1+nsuqCAbgBlamx6FGmdcG+TG/fJO/ez6fvWc2wuO5A9CKLTCmJMX37kLaJZf9I8vPmqGngxc
vhsj0+Z90OLL0JbkhmZU42rZqK9m5hxE4VJrdZUeI9A39Pdi8kLSkka8ZZSbinUTit8L5Rm1yzzK
U9FwtTQS92TdYGWNGwUKIVaMb5sJz0yAxnWCnwW1uKmc297TZXpVLSJZLCEPVoSy32H6diF6tqzQ
tw7GtSgZBPudra5CFLmc/ynrZYkDbsFZ0nvA9rs4oFofWIxgE6pyCk+CNs2z6SrtwcE8gXil9K4H
CyOCQ+g1ngO92MWaNj0mMbmrtUNqsEEe0CrK7G7HhkmevLT3dgtu7DALnm4UIZoGjQkNbLqn4TDP
DmpX5Tda3CFigddlnWqCC4AiOVawo1smGg7gHjB15rjfUQGgsk3NyryzPCjga8Vtw7hT411T1rSf
wJicWzbS+yGto/wWuUwPcG/SvxVCKXjXUiumtT4X/CgTrOFlCMMoBW895PeFpZ67WpOY6VG/eGZ7
cgtx8gB97cOkUfu+cWEX1dp3u9M9AhvEaMO3QuCbdaozOWsTQEhoPcd2P+fjeOmQl/NhpSmu8xHv
EYLPnQkxs1sntVueC4btB9Q3+Z4afHgIyS7G4Q5+hLDBeauUq23mjo9bGan+SrobSdVFRVK95+Tj
LtW86xy8xNlLCf1NaYSuLC3dlaYjCwTHyFAcTbl7o2XX5fHkEA7ZdsZ5ioeoWvTteJKSIajQRbBN
ypp8hmeMJSN0kCMjUwHRDOzUt9tOPduh4T7TCOpXVVLxnQ7lyTVqNETL9xzzXLaukZVdWVPjPfR4
8qh7u9YHraU2FlWHz063IrK1jkaYB656cFCueCsJi+zeDTFB0ZHYoMfXk6exnATtbXT07fHwPXE7
y9hWNhoN3mK9qP1U9TFPizHIdCvmmSRcazAJVMEdN1/cwrHeChG0d+SH4DN08CnupoKV2WAFzueM
Me/eGZT32LYKPfcUddr3JDbHc9zl4sFCcAEPphxrB9EmLPkN0dNl4we9DIatoWmspDyZwMiHihty
W+FpOaD2Ht6qaUTF0jMtPieN0RjfkSJPQL3ltPYkiV4813bypsYmuxmI5fChhWYPKjblHi/WQRWx
3IOq+jG3GjuAZhwgL1rWjxCN9EeMEXA/hTK+Av8fHUAcslYOKiwIYW31aHJgxusyrnioR6N9tAfT
e08CKzhopT37msy0dYHwE/GxyuU+1euk9mMUHVczCMUNyuvm2QoypurdYLBxnOVrMPfFthvK+IdJ
EOmGXUxxV5CyxrbHM17zcLZvjG7udkEU8BaOrnoMkqjcZT1R3y3GgpcokfVTmVjWI4pVcYjUgBG9
msjilukC+e26dNhVSuG1TYuMCHRCv4zmPQNWGJ4iq6Fzy5PMFY8mWzhSjfnJl2YOdkEyRT+CwLKd
vZh0IoYMeMrzHm3vDC01TqYNQv+tO0UW1b2cc9cHN8GAPSTLIVyRB8kciTl5449JH7/yTRunVUHI
LAeS48W6r8WcxjgzWc5EqFGSrVOhlPcJ/8mBo9WOd26rKT/O1mSAYBEpZCQXosYhYHH0XWrSu+ma
uYdx4wTPymIa4ycayEE/KYZY26DS4LFBHR+8RmTfOiREesMJxfzw1CVF6xzI9KSOruFH3xos15g+
WWQuBiGZ2UUyVpcWPYl5hK/nbXoNugz2INOfQt4YqkymhZ1VfSI26pHq0JsPjgkIQe86NphIo2AL
2FNevPDlR9GE9oOdAVmLnrVLg5YSvVumeUwHehulhlOT0NS1NYZErJ7GtxEyhd+3UWosav6CbPGu
br9pBUqnjZNW4plQIP2ljmlt9Xo23+OuNdeWmD3fa+dmC/1XXQ+j7X0oMrYuqHq8BDlKy8jAQJsH
CmdejG/hiOqRfy0+sRGay3VYOdYD4iJ8bIPgoV+Voq33U9LwF8CrnC4KkJmhzmAw7YO4neTaKlVp
hW6uE5wXEbP7bIdxlK41CGVHfAUZX+PW/YqLR23m4jdY7h2cSeUTV08A3jpJSFwuRxLn4QLNp5R9
yJaPDGVZQjK9SLPxjFaCCy8kknIFPLU9grOn5s8iS2vXhHgXNzVO67UUPA4shxwUNSAOFTTsiAWE
Y13Tc9sXBGqo9mhpzzB3Bk5TPNO5Vw+kjXfI9AARMptF9MOg06us6A4GkWH7gz6T4MXmX18edKQX
WHjMTah77kcy5Xxvuyn2cACnnvrRgFK+nmckDwh3GC4qPaQSwoYevbBEET4ArfZWSzGZtPZ4E2EL
v4NJHj4ZrSSRHnTSOmh07C1VRJ+JQ1WuI0LMzioKo2vl4E/m7dTEI8b5nglEnPLMxI2DgyOcoFZG
0LWxAy1TNiGbK3eOzrjkNkAbuZC7GlauXlZUEGb0wMB2uPSEzJIEJur0YpYaSgO4gRcxGkxEBjRp
d2MLVHcSrX6KAuideY5PArchbhoQ6YuviZpsG+thgUneehe9Jv3Bbq7TKdRX+cLLFUnF6/GD9rYP
cgaFdOg73IHmOq+qaIsxYcA9khTuDeENLJBsBVDfT02cLCuEeeUJtjPBYXifCZDlS0UdRCH0IwfO
epkU09mDG0OFt83EJjLXwjq3Gnr+QgczylkCm/jtVrHqmk/ilMguFG7cvndfiYbM9fDz9w1Bhygr
oGl9pR/WxGGThPiVipj19H5st/JgOCyq6AXdP1OtpV+ZYWKqT2pq524N95xQMSeU3IfVkjXWovp4
RjhNEO9XFNlSqtgr9n5Q5nTXFfEmWZLL5iXDTOBxfTLmJT677uN0sWXB1GhNqq9Ns6Sg1WGuoAJ8
haPldNQ3tarmS6o3/b5ZUtSSJU9NZ253jRvIfWGqRNza+BW9lrpoag/BGAvWdfD5+fA4wKt16GVg
OQHDN59eip4BFtwS6WaBErpnabMEvSns0Wv4bATA6WPZnDvNi9RmYu5wjpasuPYrNi5Mlgg5PhfB
uaqAr6+RwHOIIZyR6tzUS/xc8RVF14QajBpSePsZJ5o2ARQmuK3wEyyfuMAnhuWrJF3i7VIKYrmV
mMXu+68APIaUob5JetPsj55d9+6W5FKKjjLzjl3vZC5ljz5SAdtM84xJpMcK4ZiiWiOGr5oH+uol
mo+HOumPhkDIkC/RfTOHTsqRTqDfVAV9cWL3iD5Sj4d6wEtHdqKPEIHpnw4V90SgA2ZKbI8jgRUz
zDVHp4zaDGZBnqBJ59DjyrGRBPOZeM0xItbuOcv65InlA8DUOYL1c5Cgfw5ZiTGEPbL2qRtJcEy/
8gx1bpXDNA4cxeUSeGgNAjREvMQg8mmDmzFmQLpzbrUHuQQmBiozT/OyHPBk0J5zpElof79SFvnV
NxN/iW492mK8VL3MIt+JyPQGxqCmzoeLLh9ACNQg+P+6HzP+bCegy/R0w3YsvDiuIQSd76+9ILEP
RHXEot0Ehp4dyjZ8K+LivmZwbnn5PUZsLlYHNQRF5neFau73Ze0/3fotO71fdn5ieXm4Jy7SbzwG
AFD++PJpoMw8HTQ4sYGqV9pcFWfe/Oz017/lV0f755cBkEnHqfM6oM7++DJwIKEhz6Lb9GG7SHog
364dzWIGJiIkoOu0h2e4Mj342wXXk4kZoib+xeiz4QWHvTxMWtGd7Spv71Kkw1fLW7bGOsKeZUAF
apo0CjEc6WLdcS+2NwDay2D79Uv828/zMFWf//kfrx85Y9xYEXX03v5hsILxn/HJP5/H0IO8Nn+7
aV4/PlX0P/zkz5EMGavs0fmuYcKBe2cwFfk5knF+Q+RpIo0kKcc14eb8w9aj/yYWOw8TnP9i70yW
HEfOLf0qbb2HzOEA3IFFb0hwDsbAmHMDi8jIwDzPePr7sW9fu1UpWVWr162FTKVUihEk6MP5z/kO
DWxX5eVP02+bJxajoWdfC93+rVzP72k4E1CraZM4Jx+kpWnxI/zxa9jR4KCa3hl2VdJ5j6QO5rui
xGy8try4+TS8hbGv8Opq/Yc36l/IMazl1y/4H78a4IFsbieuQ1sdQ5qr6PTHV+6RfQHVDcNO2X2w
jRvLqT5wf3DGjQfTzuHkYJxdx83Yv2XcaZcNnVBVunZ1ZlFakY5C7URWmYwCGyt7D+oAA/9MdI/w
wBx2V2xWDfqYdoN1mnPc24+EIxvUXxPWsjl2sEir0p0/sZevrG5uip1EV3vP7Xz6mEvpveQCrueG
bp/hYW5nCgTSjoNvzCA8XrlVAEl8MGX/Rkl6vCWaNfhunp9sGJe7MdzOeN+wZBefKBHrqCNSudAe
4rdBSfUJ/i3QAcmD16f6lXtnvbOoqbtp8sos1pFjK9IXoQqejSGLEyImBiRrcD9UZ86/dElGmA7c
bcBd9tBJSG1cHe/dqNfbYcIKVMALWRtm8RLH+QDinNoUc2R/dA1Y854kOgSx30mwTzNUAD/uWfZd
UUFFm0pmk3isfAJG/MWmdrYg+HAFX28BqsJk3EzyAymCe61nc6Nt/RbI2rUffldQwECz3bCqqUpY
1Za3g7jfrhHxM/5HJZ3c0G/ovmMIy6GiO9Au06yCrO1xv/e5XzaEtkyYFWDCWhPcbaw3mOctH/4I
XTJO2B+oxjG3dmw5BxuZ78pKqDdm0/e4T1tadcgcwGObFlJmhdynQUJLaRWCRclTBaUxC3zGAfFu
AcK6GSRl9twzw4xuCsP+qswh3Pe2MHxtKON2IURyMMs6vsxL1qZ4HQichfh/kxX4gYiBFwVrCZld
xg2+TZ7S8zk8cQ8ccUZ8zFpRTlYBgDPWJNn1e9jb7lnPsflJvVX+1ek50Wti2Y6FMZ0oV1imNwJ+
d8aIWMS3ifTqQ8d5ETOycSSoWh2jJS9fc24avNdJQzJaUDawbJifwyilBoLMnBClUpgNVXmfwxa6
Eokc7r6QCQufSYWDeTMFpTeZFuHTNjd3EzCmHH0qch9zx2hq2j5s4deqWOQG4gQn+YWqlbNoGMzC
7J2HBwlxfGuHMPqOYVhhca25Wr23nUvQOZAcsmipoGyq1kZwmUdXHK78xGKtOJNyfirlITWRsoAp
MNjmzmQ/lU2DWwVCKO5ix+0TIuqzPVpcOCsC03k5vHhhzfnS9fT4mKpJXoEodjNuXGeE9T6Pnfmr
rEnbQYc0X1ILqPCuy037u1CQSbaE4GdAy21N3nK1zI5xcVXHbIuCl1NK5WmK30DiEytqwWDeysjh
9jKmUz6uycZWAk2Lf1lYf2J96SnCxRRP7G6bLcZdYM9fKkw/2zy6MYdkVwnD3vaztFb5ILM9FfLW
nbJJLdZ2f0PFJEbDWaU3XkecHwQGwqrA9JsvRrdPqvq2UEt7Xyfii+s7+ceygQfRZeFeJLo6F1qn
WxnyG+k5r7ZhruP7KDC63YR0SF0MY9COMubPRTXDds4NdUvnNJk8rlTjTdCm03fOKAjq6Sjjk0cz
XMQD7EK8WAoE6lUzO+Yn1Mf4mMk+O3la301Il8iTrdlZGBmKVv2qy/lqWtYQzSjlYtwKjf6tIzYC
0pLiSWU6z4S59bYthv7B4yyExykOXL9z8LhQUfurwlmE2bi0bY6zNEN4XF7PAz1rjp1isoJ9Fm7G
PIw5B0b5vSFwcK8dq8fFB6PrQjgvtZ6gcDJqElhTDmnIjbYz8v62HZkVbKKyLpmudvOd21CqM3cl
6CMkXs2TRS82q0X46aI5+0bhuHvLnfjFHGiYhNN5NyYpn92sjKA6CQOLPkocmpk4UIJ5C7G1xUAe
7PtM5mvoc8cui3D0ShWB9nG+2Z3i2wKwxC5rqNtEdlmc9sDcblpXAePJDeA1MXOtDM3CN+a6+YqN
mbIUMEDiRisASgQ1k67dRA0gHUA0Q3ieouESz2FK+xfXhoze3l8iMvsd9EiwFrjo4p3D1WbYV5VK
7M0wDO4tQlD+ovmc1sNkwjrOSHXjpbfv26kOPmccl/YjA3eW2W4pos4vO1RfphW4SX3wcTi8DDNs
NkjUC2OHxWJyKD4rxLurZW3ZMfcdTpjN/Kkp3oypr/JrOgi2NmqOhTV4YByzi/OeozRV0i4k0Tru
nkbu5jSwmol9q1s9TptZ4XbIhrGmOa14CCwkUnysjd9WuXGfwdi+nYzxKiBTOu3aW9E2sW8yg/Zl
Hc6bMDzgvE82o2s3p6RmZ3KaAdRSDH1WR2c8Ol+1nn7OrO+HsdUcFQST5HihQoYEhNwbDChWMWNM
X8qMME82IUM1zs4dOD4HoQz8JSKBUkYT4S4nfAktxMa6w182BiPLc2h1+NDsFnKRsUQXypCRM5N4
a4zBJs6Vue3mXt5EYCgIQRM5EtjzvqYQNl7QD90ZGC28HoMOxHKacCS3OL/ClqxWpSm15BMaN5wF
YWSahfCHaXlmSMwbCRoUiy1vbFYXwRlTOaCUtnoenQiuQlk0+84jlcZRg6pLRR1YSbZ8xwrkEq6s
wo2bNgqNUaY+2TS1Z/ABACMBZ2fMfH1zad/RF0vLBV2ia9kMQMhJGUOFnXS4a+DckARqUFkgt0KM
76f2/dogSOoYK+UWvnZ7r+LK2ySMMNxNWQTjOyCE7KK7RZyEl6Xf7eSoAwAVgrWDN77SPaF8oOwl
/eqOKGnHnHqqMbQIvkW09HvlXDHsXYanim022CFqO/GqjM3oPjQoAV2n4SCOKrwSwmRifXhmU98M
Qk53TJjScXWtkIp5v6U6hl6OwjOQaD6GYO5JeJrOSbiD+YSLJPiV4TQhmopvY+c2YZyyMJnBIYGX
ccT1RdfaMiWYeiwjPl4HJPEK1WwId6Wg9gWai/liYTRakZMnmJvPk7eOZBZ+9ZTpDOuMHG7Jh1BQ
i+G6xpOE/LGPoyu3fEqWXSHm4c0m4HXqa/KU16hiRF65IOHZ9l4BDRwz6gaC1PKUJvP8q09UztfU
TdNLQzXKxSMXTH9GTJsfR9ueYYfU24TStxd3LsVtEBUF1GNTYIS80uCXWZPF4zkI32K7plcvFxlh
QGN6Gsbc3g803D0YHnJBJxVJ/rZ0sTi45gmGk34zspGgQViXb5YdHAikO5SehLf0iCkGjiGlJMzi
BhqcUnrwiHqKds2KZ9KViT3GBuNIhKhpdiVwfou4HLAWDT8ZCnBLNI4yPNhrq5QWlNvA05giyWKv
5FBwYMzn7qI6Yzkg8aeUGxfms6UGrOVl0yE6B1iZNgsWO/OeLYL9DSzOMLOAocHmLfPVLCOp7RF1
3SqrYHCmCH3RoZOsdeZ9JKTKN7BfsMVDJNjJgXhKTVb1i0MLiViylhglAaMAhZ7mYpeTGjlU9dC+
86VdLgZgR7JEUwFChBdxDSE3iXbTDdTscK2YZt6XUyNvx5YOm4/SklP9wPipzh4NNYba7yqModxE
uOCtA1iaI0GQZgpwIA6CXbZnTrpSLi4iB0LMJbfH8GmqzPh7gTODb1ThoVpGO9z1jWgf6Ko13/vS
s5/6aQQyNTeSnAGljguYRxSVMDeir2lUydFQtvVR21i/VrqG90sjhJouggPqr8Yql2M4llTE5/FU
X+bGZK1YEL85sLUmq5rT1SFxu5Qlu2mtHoksFx8p9afPjhKqeXKR7rrboKxta7MkaF0bs2UMgnmq
2QzWnNDC5oQoSl4e6mYV9+YcHyqTh5CyCoPkbu+0zQb3pTJJg/LtpWbTNf2S/fBUmgl+s9Sqq9uw
0RGJPcMiom9UmpxepYnVlUMVHuqyt96zZaQ7wPSql8qT/YfkSgRpoqovjWM/xAZp+4ne76p13VM3
Y2IKeQ5hoCjxAQ1v/BEWXnK4lpO/JMtgvJlV6bgb5c32O6yC6Th047wdPIJKcrHUQ4g/jex1OAV7
O8k29VylB07U0Q2C6LivwSLve97Cj0GHA24CQ93b2GW2uaF3Zlfqu1gn87FTIIgQhpJLQeHg2SNa
SdOY15G6BqaAacytBen6bA5o7KAZ3XZ0cA4j90cfRl/GkE8PmBUCnDkYe1itJVn3Vg3eNzFNOulA
km5tCZ99GGX00rhe/zomfHMyjNevSRbSRToRUC9gXhxjGAgPaUkdux2JtSRvfKHFILtHiaWnOY6r
XzYTI3bQUe6LNlVPNCl1xyWkR5wU7fiSmtQBt4RQb6n1Su6x1lm0uWKu3+Rm1d1MgT1iICBjp8I8
ehgQAHyrirE9MOSu7mEsZZ/YRu0HmGzddqZNb9W6ZXMHgD49lLp+7cUUl5SBSKgRcW71G2oS3HUz
0liV9t3CzC6bV+bUi3WaWZyBAGO8DbARzgjJ6QlGvPcW6zr4EcSs+U7IOY1tdbggVJOS5ix2S5s7
4LQ26M49k/THjlMeznNas7b0nxhHam4gHLQ88kPLeq+rsv9B0UyxCZYu/piZgDvExLlSm8Wgz67m
soaIzrcrZlfxiaaTBKLdeuOOZMXIozN4CdItEbrkTBto8JK5TnuELJq80LbJBTVSOTdBMFXuNWGW
R5Z5r7HVHAMNKwKkbPZEPaY8R0ZefNvjhCAdi0I+uZwnb+kbkD3c1MD6csOUGxZg4eYkwhYFndrl
cG/woJlQ2Acs4F2X9ngq0i70ydlVr91U4dB2vcl8TJ25etIN+NwEKtpEe2FP1QEVwMUb0+HgY+xE
xuw8ZH05tWUDfIHV72VpilTdAOME4p4rhivbJHWDj7AbuV85fWx9DqoAYyvzZZ1qXX7ge6l8eF/6
tVSINE7elTchJ7V4NbJ28AMlDHoKN9vGg7YvUPPNjakaZ8872d41Jv2+NCl2H33eDyeTnMGqlW6A
kTLOSCJYYC3ogL1pXRaMMoyrt0YLyrvT3Lg4WeowwhHBytRrEglDuYYBWHyVRa2mWw9Kq7M31DJi
+SdhcW0oNF8wBJQUfNPA/T0IaMDgbGZMzoxBV8EyhoCfi3l+TblD+mGAbwCeohGt+OVDzgR2wIVa
Rq2dbzkFNDezGKJ36cXmk04KHqDYXPgZjLa8zBQfTwhBGFvtvP5uUwJ1TC7m4mOBLvZdcgYlem+w
DDFl8KO8pgGDMs2dmuLPNETYMimyp+LwI6Ply+/Ymtdj1wHBiBJxPYy9sMiUR+J9jyIY5Y5+MOMU
JtDBvJBEMvkNxzcUkbm+on24dy9d3Np32BbyGxHaTDYtmy4wMA0ps4qiOJHhVgcQHTwOBqLfccmb
nthiZF23qXyblsy3PZ2t2KpavmnGcpr62T3H4Rz5iB7NzvQC8Rnx+HxWTAQWjAclTYdRVp9UJJzz
wA1qqzKru1AVfj/TKrNjbx4vKbbEYtWZpMJ6wxl3meHZqxRR6s6R4u6qCb0L+Ai4NqrRtHyKIJI7
TnZXwB3rFRRxF0jm2DpRSAObzXw24eJJ8HKx0d+WzrfAAL+QY8/Uyhsb9cDRILMBX2Jal0kMS2DU
7Z4gAkW3mQWnCMc/VuOZ72UG7LvLGAluu6UDLBL3ZXOyG7RE8j4yeK3DQcIQrdr3ZLbEGYYqtb3w
WVjA7cF5sOK+Pte82rqEUHIfQfg6i8oAPBh4pT71nqf3Vkn+WuKNPlWdqE6xHbsXZWbVthgBLfqy
4Hs6t0N3h7jWdhvHomcEBFiekj806F9Y7CrZhPb806Ni3O8k0E8cOOKLAqL0MARL8EiRBfkE3TPi
q6tFrggFptsQX+m2ccRy5zGe2UVSlzWOstw94w+tHhZjIvTXU1O6iwyr2CsIFx8UK+pj5VTJM3lB
VsGpbGv0RkUZNeIVpGKjwoKAOfpFRTPFu0IMnLm0vbdaNrMOO31I4oTrHibnRhrPbocVNplBWIJO
wusjYIVvkimbHnQgcTvNrnHoMlUdjRKqHGOU+oeIOYAYYRn7bU4t10K7Odf1HXzW+m5g1r6l+gpV
cZnYSPlHhwilm99kkx63VsZ26hfRtappdoNuYxM/esXkj9yg3DnY9WndmGw80CrMzGtfQKybL+4I
1yDr5yQCC9wwth1UEm90VoB9t8e4egL6nYtt7LTTTCsIYa+tQQi8PA3Ef5Fkq1Ly3CJ+9KsoDY1X
sLDt0aUwEu2ZQzQD/SgZLqA+m/gEXTB+jPQC2CnzDMTeBcPW6Cd13H8nOl92Sz+qH6lc1MWdvNLc
0lNigAJPlMq2DkwGlJA68ghDE2sCc+K51gUoMkfk0YuhaKRUWbz2tpV8Doag/cJzR2FTI9UE6rgg
9T/F9lK81RYUQiMp6ruJCTsIL8J1DwMWGOQ22Fv31YgQZw1XlmzavTsmCMXAbdMVrCjvh1FaERxF
6qZiS1vH1pX5S9JerSOFO9E2rCLJuNLMEFK6A+/CsmkZuJLbb7W7ckqvfOy6YfKhnixPyJfO0a2l
vqdYDYkhGeF7hP1itNA/LPcL1UCR5APnSU1mw+jAmCaDZJke4fs7Ba0+TVhOb7Gr2CCQUOdzl9t6
00cPcaWxjdNa6z2lXVBQmoX5IlVNSpWons6wWedpDxWrylcxs9xPZrRUwESYq7GMlky1V6jOzgM0
PovqrXHOPAiUM4WIcGCl4w/kjVIcTSVx8ZnWj8z2ugdrlssrwvn4YKi+wDtlZrsYr+Suayvr2aK9
8Y5ROCUvLjDvbQk1BAyMk9wRH525l4+u+tFVafQeTyo7Aasd7htDpjUSpBnZp9ql0paP4ErvxJEP
OyvmlLXutDG8zUtHNZ7icL0lcpHsRBRPd5PXYJjQduoVNIkq76HEbW9gB5LhV2BCkF/Htmk+hsHV
HBPnIn9MYk1cwwi4QHtqcdhOW2eNM46L1JRbzm1Tmu0Fs564yNEq7mbDKRJCxHH9vkxufKuWhFDT
ULvqLABII+MUbVLs4642n2l8kieql/A55iQM6WDr0T8ximAhSWYj+Bmn+fJRwdC0iUpwYFsNoh4p
hKDkBceVxTVuaYbsladtGNZFFrMToHpOd5QQBD8ZEV8XOL5EsFWzV/y08mCZ3XIGwKKPURSAbKjz
9sTazgbUeuKrtfsm8r2SnW+sDONZGXH1gOlZH6cwqW/ssaMayIr677a3Y0rlPdbO0fVqTXZjmn6p
BK5uk/U+d4gsWXeqK/ZgH/TRYd32B11mjzY2rKMhC2u1pHP/VSRXXPKiSMtXGWVdia0nzmjwgz/M
ivLPTdhronFViPpdFe1zOljuAz6aDFeJpupMNvwbQYJtGw71W0i5LVe8YGbcEevWoJ5XjJue9/AR
NxllfsQ+XRpmRo+YlmnRGpA3Mt6UbXTf57q94PBwmB6wttCv1dtYc0XX3efECk4VVUFP8FkpfF2U
vldTgZog5rz/sSCrXTfka7NPD+kq0NxKVsDOswtGC5j2kUfI6jEIyuVhoiKCvPp1bCJi9cBwqzhk
wowurXSqtUwnALcDAH5yLeC1G/K3S0TRQz7M6shfC0mp18bnZOLu4h/fomBIN2ZcTh9cmd3bXi/L
/TzlX7UJzDftsdpEpbuWiTefVTfnMFetcdeUulwnkfc4x6DUU5UR21BIl4euFXizrJHSvkQK9YRl
iXOF0nx55qrz7YzvNU7pdtwSyrtOaGiROxhxHhw6ju0/KO1R9PwIArC2NTUXmwM9N4HMMUh/kqZc
DdNUHeOBloQVxvT2PUyn5obp6s+ySWVKWrklwRZKfR5VaT9MyBk/Ck0se0WsOOy47jK+iSjnOo5w
mFlVg/syLuD+CzSFtOnldwXsCh6NqLHgmGULawzZvbmCVsY5XzscEU69oYtXK2TLgvnFkSW6tn+Y
coSQwbSlpO22emGe2h1y3t9NVHflfqJ43hcgUjcunrdyJyzHZjcNod6Trc1/KEr9zswOaYFUs/uN
Ww+apJGSpGS7fxeYcppreTnsbyh/WHkCh4OsTphbWUvPDUaaZNbA5yDl5DVmHKY5yL2V81E5gN/X
UdYZh8DAA2ijkdBljo5x7iinlzh/airQujZ6dKhk32JXH59iPdlf5ThPn/AZu6d6ArmxUul0Xf+D
qx3DS+jfXiya3uuU+eXVZR++IJFyNFly7nj4jFmMh97VzGHSzmKjSbvoPBpCfGYWuI/NWAUdSsrM
xjWTpjsEpRYnfingauzBIP0qsJGzg0cebyoe5qZ1SFBVoYS0R8Ph/Ap4SzK3ibytlBV7flFDgA8A
6AbrMpBG4Hc6Xs59HLB6d6NMj9pT7TEkX2ZR5Dtr4lQJveJKMPHDwlSyW8mYbrGV6c0glfI4aogG
W2QPkohdbJUXMJUJnUKyu/GmiZcBt0BNfQuEYp0r23zOhoY5iizSE92CNOl1gWEcENlz7Tv0G/Bf
jHzpVkEfy2dmthb5cAaimhoAx/nCz1ZQyGbZD2xenF0ytstV4LC1HzpBjNzHjz69oTcDooCf9hRe
b1e5SyqiD72pW9vMBzcj/RdQoDNxdr1BfqV2ed3ErmGxIG2itW32Q7B1cBGsPcTh05IL8whTZrrF
6TasCY0gkpOWXzGmkRtYrCbfrAFySTI+2AbKKDZpbtftW88h/DgHBYZCozA2XWq2/jjXwy+zcpIz
zXPxLWQW1q8FjI/WgqDYUEkY7/wnYEAkIcy+FW8CixjYuyg9p80oN2UnInddTwMuMay3b1FfLQ/N
MBQ3JRARxuimsYFUnx8ygnQ/s2rQm7ByGzpdy+gOjEvSrKt4jP0+G5efbQiwGb8cwc+F5gbO68jE
ZR86/98b9H+X1cK58pdZrddfbfc/Vr8KGpb/5Az6z7/3f7gY4h8CixH2M61NsBj/HdZynX+Q4LJw
xXjm/45rYU/7r25l/Q9cGJoAlSbMxMrCH7Vl30X/639KE+IvViNXCw0vWNv/ljMI2vCf/Dl0NFse
TGPIG/CFscr+2Z+jr7DbjPH8ron6dFuLBPwgTTe+E6cugvV8+BtH0BWB/Uc/EK/HoVCSM+MdoQT1
N1B1IoEeklJDG03bcBfKNLnqjfXDYMJUB/05+nmwMAdDNhfg4ueB8Qug1x61KcjWrCUWJ5vAHfy/
+bl+z41dfy7p4hQU1yCco3/zKV1vuDbWbXeHuv6jowrTN0cEer04ezBoR89bSsiCVrMN4mzyo/ns
NL04/vUPwWf6T++NZSJYCAIdFsaEP38WXEsVnYy9u6tQ53dMeoIj/NLy6a9f5V984ja/KgdJyyOq
513//A/xPM2bzGKfuDurdPZOOr66eJv2IxhjYgft+Ddv7L/4nRwLjYVPHJ40D9KfX40yJ1NMievt
PEpFt5MLbQmirvybV/ndZcan5/GN8MDM4HEjhPTnV5FBatYQP/SOdjh+jRTRAxzvZcjjn//2mweq
RpmaghMHq99vL+QYC+/o9fEN4CKvciP5xp7DlM4q7mEI3/4/vJiCfoM7y4Ey8duLTb1dlrq19a60
oBpm+GtX0cD2lS8YtqZE7f/65eT1s/jtu4lxEccVbe9MidzfPqvYdO2FLiSwdwb+8Ia4/s2oA3HJ
SBEcypzyBVox1TbipLFfyuQKbcyDT9S6YjUWzJOQfxtYAPngk+AKTAJ+OAqV5WY+FZ/LfServPLd
qMD7RNKG/S9nb1811UJ2gHIxus66hSmJkxA2EIl6aOjA+RtDsPkvvufXsjT45oi2//w8XstvR2CF
ehcWkTwkjuEeKL8Waz04z8ZcbKskaKF0hd/aiip24lQ+jUyA/uat/lfPq8fKTX0itnBmyH9+XpuE
DAZVzt4uy3rkFRt3iVDgegUC419/qP/8SiR+r/dVlypt3uvfXimqrqmvxHN3GuLxeupddLUy/0HP
ktz89SuZCiLT7w/QNfBL/pghiaX/88//sLTUuWkZWrZ6Z3My26SDEe8bVvx77kjTRRk8CLLunrjN
5JsEoEXqd66ANkuWEoN9OY0AiypygnDwmQr1jnrsuQR9OCgCe0YPXba26n5+9NrOvkEDKk9plMcU
UsB/XFUm7MttRrqSkauJJzTX/UF4M4zoCN6I1zAANuq29pumlhvLaTwmb72gUsYJSyfYjZ2kgic3
g3NPbO6O4vMJK1PUKjClE62r2o3vApEnH1c4xcHG5bARmbfsIcjCuB1qfUjrTr/F1mLfjZJffGnx
FBkB4284mwo9TwZnE2igx01hkwVVfiXqQnTITXIteG2ebNlUb7Ivqg83FO4qjOoCaNBcc/cux3ZD
ZxJ1RF6R7WPRJY+GqOo7V+RkGidm537aTIwNp9Gq3yCfBGccUsELyKF4N1B7+FON17N5IKz31Ehe
i0x6eAVIJp6SDhgctLVbnUc+Wu7eso18Xwwm6Fw4HvKCt7eE/hop9yQAAtwtJEYYc9QKTG2T7vh1
qBsauA0RXkRyXegII4kVT6gDTOpuPBRs3HYpQxscIQFw/p4D8S4j4faLIxPvCUrQTQRCGCRvb2Jx
CsgtO5bsGfXa7auJ2+zFsV3SkrlTQRciDOW9cGyDjsW0psPTlduw4fFjjMBP1o1y7Jt6UDkMBEHC
IQ5x8a7rha2feQEy/SoBLN376eBC6wq9Zlu4fN6yHXj7BqMldqnS0acbBt+IGEy67CvHeY8qOZ+0
J+13HIgg6F2RRndDWMM2dQdiBtzbBZEfFo+JldOeG0bZ+ei9MHKgWMWiBxk9SiQ/ayfhd9CBwxPv
4VV7zNBeMQlGY7WJOOIccygf2Lj09xIyEwOQFSMuiw5Ay86VVQIuI+3nG5nm9XFRnSr9OBtnvkLE
q6jAhqS+cMCBgifzT2U5gwe0AyuUZzf1oSH1RkFQ2u8HqtfPajEQ0BLAHbuSMROIlTTPfbcIbuGF
hHvEYtJQiDf8vNGIdQDREGv0OscURx+cES83tFZu+8Gsj/iEGtpgivzRKkZkgnjeTpi1nqTwJiqp
K7ri+Nn2o1GGW6/uvD2lNTmf75T7oZp4PjIGex5B9Z66P0jaL2hX+kTx+y+cKPUm7puY82ld//AC
qD8cUK36YJiYi5VB105KwDJemQtjIQP/rF9nIHtSHDyoTAWOnWlmhFY0yFn2FVrUxvkH3M8E5Jk5
7l2rCb5Sa3GCVZqM48OQkOKHpTM8BtoS+yQ2ss04AwswJnZhjqLNz4HB5YP02nnvjUa+a9qeiZ0M
zS0xO5yFBLYpapvP02LaJ3iTyWbSNMQ2FBWthupIgthliOrWhBSXkQhBG7qUVwfPGI8QaRszvDPS
WZ7wzXofCNMWlGOn2zDEt5wV8af+aiMJ9lI4JTT2Lt5MgEFWdAtBzExpnFAVh2MkZup5quHNdQHv
uiWsO3a9eTX2fb9vgqU4d/St9uvKHhe/LGJ7FeIRzAiqI0ba9J/5E/HWleUst61VR5sh0cujrHV7
rpY0/pxiVlyBLWfNNh/v6jqd7tuhHA8JmsRbhc606tPFe1a1jaG/mSFqzRrLoZe89cpTu7KFNOQV
QbsOEcKy/IIVKkNIytVh7C2cxtRihguhgax3jW1pqfEX4Weaz9IKhZLvmmG+MZ22znbWnscgwp1D
keB6GsW8lvZs3tC2RnOVcqOM2njNhT8rx21pUw2M35ULBe7jFYLXcMFkV8TbxtbtKuvQSJLC+J6o
SchH7TxxSFp2Pejg69jhZVR4rUxTOZtxLM2zXXQ0ezQ3EHQI+JsG2iwrODjq4sMssbzh3Z6sJmUB
CstVbXc0sUOgjuLF3kwQtNZWP1q39dgHl0JATNZBiG/Mtc92iRfAcw0sVZaatuPY1z8Cj0YNPRPM
V/Nyz2TN3SYjBmggMaN6KzQzMUoq5y2+B4jvrmAgvbYLY+RYNRfVM+ey6UEWsbUHLhHs6Follsdi
c4toX9FUaniPEb/vewPrv/HTKWt4N1QOcbpFcMDpkPWg+PGdBoIQeJMOG0WRgbciwqzvM3CgWNZZ
vF6HqGk/JTgkgUHca3pKO7HYAljPKadql+8Z5zUVE1e7he4/mCuXB/7vllXnTu02sRt7TYimho+W
XVj7fcHiA5lY1LslwSsqLS99h/ZVH/FJI973y8JQ8GokzcKIFgxcjKZy+RqPzYmU+nSHofhlkOTJ
IUM/W9lI2oVN/l7hu9i22CNS5rsmhspAjTy5aUucTtv1o1TiUccga8sqMVYEp8UemB14/Lm193nd
94eenD2rPFDEnSIPthtA9O5gV6sdSwoB86YVuK5wn85dLu/7KwO3EFEBK5hO6Np2NgHuYJgirBZT
65XfbEgIycjg+0WJ4TmEvFms48kZfzUZMOtVKWAwQr0gNgvxjzOjM28pDS1hFZT0ycTtdyklnRGQ
wR8t06u3WBXu4waM6rw45Ac9C5nNNI3hBZxx+O0sabOJ+GzuanTag3bqYAsvsrksThZuAT99NV7d
31KREm6zGKeichMs7SA10v00iOlKEMdqEtSQlHLxUC+QeFsrkluiblQeBA44q9AOi2Pi8CS4kxRb
0+q7FVbOZQtmLT3ZpKOzVZf38bhmlgyJgKTiTznJ7BQUMu22Rcc74qkk2wWFZx5sxHnyz+qU2v3b
3EzlGTjE7ZSV7ZeTVz1JcKvyr0hjprTytrfAXXhB235YrXKwcdbDIXfmXVoaL4Rr8On3C55ZjLbF
saRaYRNVE3mYXuXP/8HemSxHjmRZ9lf6BxCCSRXAsm02I43GedpASCeJWQEoZnx9HWSndEV5ZkV0
72sRKSEZ7hzMYIC+++49d2zG9oYkAtr1As0aq+ikyHM/uVXsrxS2+k0d9PqrVsPMk5tDAXIqUEEk
t2FT2dybs1JGNzTqRXc0z6k1m0u59FIbGe1EeblByOhvkclfqokwfGl01zHcz3UxDdsy5r6Ng6CC
ADFudMlCjGT1vMd9hdWU1WzDHudszywN7CRJ7jjYC6oh0hB4FSGYlXJ8+k9G9dws5aOVp7Y9RcNK
JodusNoj+2l2eWzicBNAW4TIxVMY3vChTQTOb6BPXYC1vxTebpITbQ1VZfinoCR5ZDsJHoT8sR/J
BNRdhlEbhiKFyNWeo3y29SMc1DJOw33Mvnrv8P1XuhC/2lqEr14B0bqi/8kcJolncD7gv3ma2sZf
NT2+OKN79lO7v42hUPPSvgWtwTM6Nn75SflsO9mZnPVD1POESgrrwpYekOC3Hvx+j7mxI5wbPRKj
pjS9rvAdeNeJsM6GTQY797rmOtfGteYKwqMaULo4OKxQRi/dRdj8eUphOK36vSPr4mV2vpDi8p1v
19baonQcflyFj0VMBm9gkzx2wO64i6knaMXPoOT4p/7IqvB9LMV1TJuda4sWbJrLgjDXrHWL+Cm2
A7iUxePgp2/Kro8sb/O1aNSNIzN+dptkhqx69m7szldtCsTRNrp04wr0i7i2CS4N9W6Q+X3Kp+rI
uuMT2eEoh2lj+LVYYW1lzd1Tr5HG4QEUYn9RQSQuU+U13y0d6Yhm4oh1pjgFiVjy9nSQFEP4iZuf
wZxx/7GtceYuQz4fWUPIX/FsVbuicddQbsVOB2Z+mrIcn2A4xMtRStZ4IrC2xLnfkQ9R6ca3cBMA
5jnbLhuNRo2cVSpgtwtTf29EjAjNkGRM9QZnGH7hFOAgt4KOUJDr0nVY8n4zt9JRangPvowurjMk
a2nr9x4STtNyzleS02eRYXWD3L6yYJStaye4j2fn7KThSzupG2qt3JUCSbemTMBkcZnrYxzPEDxd
9WS20JJ0TxRrTKvX1AK0TsKgWiXlp2e4LzKnqWHWPLOnquFN09lzZTvdLTnt4nlEDF1NFDccNK6w
gzvb5Za0IUSmukk/kr5r97ELBRuuW3ry1LLB8mpjUxcDZ1tPvyvWEXs4lfymgKngqQBftcD0Y4HC
3+vk3Y8HJ+XCZpLTnXTy3YQzZGew7dhMYH4UM8suZf45DSrkcERoUNj6VrcMGKLy69e4MsRexWG3
R2J5qLuoJBJHrKaPboiutZemNrBQcu/YukEoz2UAt5YwDHNzgqn+ZraJ/elkzHYmNklO/1BoMiwX
HVzWnZ1ocxuBR1l7gxwfbUMxuijSmYPGfwAVp/w18kudPO3lGznyltpWVx3s2Oj2PG/Nm6qOCdgQ
TzsV9YFC8RRsEk5Nk4aLbcQC/5wBk35urFI++6P4DkeLaLQN2zfOHfOFiFt7UFZqPFRVrz8Hru1b
SljkmYgMRAbHMfZVG/f7EUAm5SoYzkQHWNFFxiHeHnsrs040LTGc5hXnvsZ7oshjbQDLc3amlXAZ
Nmh869xp8LR3cdUdmwJKLo71t6nmqIh/NfsFX09RdmFN61hzFGoXu1OAeQytOuWslJqkGWol2N9J
eYKSN70BtN8wMMltzsd3h6+6Oy6grO2QYtTRRTTeJmyPOS1m1cnz4n5D9uouRoiC9ss7Tq9KcLB7
Ye1GtJQM5nkHSqpJzu6o9TEFIaGCYdwFfNCZpbB7Ek7pMYFrzpUsjM/B0HHAVTkNUJk14H+gnrOa
e42PDjZrkbewb+g+2Hb0j+5nYdMUlA3+KfSDEM2lZNeacJpnAHsYGtt5zxSmbjm2lDQ5hNUz2im8
OT/XYwzOIJm/GMf1fUCcHe+jNrCEGB3VHJnur+iPfrJt8cK3bU5KB0dApO4WbEmJ822CyAbO6ckm
c0F1W63jG9s00IYUvvNt0ZloQYVhoTomch35dLdh2Kx2Ii7DaMfQ5750EftqLsHqpU95TFNA3K58
1RFOJSdGM20q1R1ahXqqjCFY6yCuPiCdOvcJMJBbu66dbTwt4CF4pPo2s4NPEvnBPXocGHqDDBAo
naXaeMacEXgs4ukVvM4apa8xhmZbGYxY50Y8PFUdStIRZbE38M6uMZ2rFRjK5DTFuGpWAhMBjGbC
sama3wH1mIcIWNxrXGos6WmqUTjkJ5tU0JsimIDtW9GW9W11yZ0QdCdEl2vWkymkayc9cvndBa6k
BkCrqD6M7P+uo14RHy7L5IoQcwJsG0/qfJWPHWgjt3P6uyk13a8+HWr7ZGAl2fcDYbO1I2fvlSC1
SRH04I1iCzgy+SHRoL21U01pdR1H7fQ4F4QFafA1dLj1jbF1N26m89dBglDFW8ikN7fzo2lH2FL6
nKfjlLn0O4mHVHbcMwOd/SrCOt7h818A/WO0NZVs1tQ2iqcwU1dZ29/4haVPuYd/oYRQymVINftZ
6YLEkec7/Bb0ReGNY/m9YtFbPvON9BMVHeUrrYrOxSqLGzqisl2qKu9axIG1I2YVc5vzW/VWlZVz
akVh0ztJtHFDQV94sETYPw31ND9kYV8/Jpnjns0iMLeDAR7GBCW6grmMyt7kVX6wqmDUfOuk29Rg
kgC3TBb3xCUfBPMm96msDkhhR97Si4NJEqZ3bKTU4ZB4h+KMlj7VWbjJMh4GBD864GKAsnMW1kP1
gWHdFst7kj163H9uusKnFEAJo1jBP6eHk5fav+b5HWe7xNb3oWi4e2X30g+KfdDH41qgX64qqh/P
g+hu3QhLC0oOxNWwlysCDjcI7qTCw2Hd9CE3XvYIOzy0bP4zcrVeT7AugSbXSXeNpZD45JgJoKNB
nZ0FXqZVVjfPXk2VwibOHPhFRSU/JKPUIeixVmiNT3IIsO95c9vdM1KGfP6LdF8QWd6OdcVPBepo
mHj62aIbt4aVmXukj6+5IcIH2W1elfPw3E3xoaYoao9Si0/UD83bBpbKlr5Uc6U62j3yBJ+oalW+
nuKsptg8ITqkui32zFPokq5ec7VYG6AtxRZVpzt7TWp/jqUHzatIi8LiDD55e8pFeoEUWrVXLkTv
vecJg6imNv0vzA/BnoRv9YL8Ud0pv2nvo8FvX4FwppB8G+ZipLud1WvvwlkOtHkd+buCT9/G7O3v
No70IZit8SJo6QtXZOPCTzRYTvjo5dWVciLC0FDjcRT3DdDqHUkyA2hMVAMayCj6aH/gE1njlmzs
TP/HMLJ2LATN36vGqYInnqUdVGQnR80SE3VCDByhno+0yoB7xt3FStUHRTuXHr0DIkufMtmH8Nn8
+rqJ5LAJzWXjEibG+1RVSzccpYNLc0DTDc29oOMIcrdlXpBFPL50EyBfNCh6wsOqtQs4ywZ4F2o7
v1QZt+kYuhebHpgFGt5T5faXMM83cA6pL3PSLRNQuK509dPN+km1Y/CkxkHx2I1Ix+P7aoqNZ82v
FKO80BQGY6jN7B0Jio2xkEF9ShnW5ZQkp6hEE2Khc4zyxHhuBiPZBDDOFtmdaFdMTwmtaQTe4qVm
j6mrjkR68M2AYbZ3DYSXWDtHTrD9Qu6EerQzW56Kq7LxqwZpZ8DfqH0aCgB/dgtKDuvUiq2KcUPL
41TuTCjE1Hx7QfyAYVVccegrj+Clyi12++pB9lNRrrxWWg2YTqC/NLZyHF3Nnd3eNg7BVm5gjnw0
o6o+6CxiiNRMK7RCh64+EXKiX2Yyp3GX+Q1FXxGypjl48pXfayZsWoBKqDvAaM7cY4diYsnxjkUE
aqy5dr4mu+bQS3CFRqFAwclAWayefIrlSdwtkSwiVaHz48oMi9lATHGfskPg8YZe8oJDynttp9i7
ZiNVnsn/evcsPr2jtB3nyRQgADZSGHHKqdoFy9XmTfDWU+G0RHwKdcQh3FI94ZoJcppEtINnxWcr
7QlWbAwqP77xZTlPuIzN59BMASF7ijRBGzTFhUQ+tmdNIJ4q+MDNvkgYmqCpsNWabEYekoLetk0W
Gw3PnVK+TxRfXzCW55+5N4coplF06cbSxafj4LZtuqj4SEUwnyqoarhvhwAZIjcYmPCe6n4dkPJ6
CEh6VQS8XeujwWZ1GHTb0yTrx/I2M0PUCL9uolswhmi7MVXAQJafzSZof0pll88skcIX6uvKN4PP
/tZoeOVTXs6MiJFHG4ZK5pdwKuNXRcw4Wk1J2L7Z2pAfqMDue95MDSX1cPjCxTPtNhzhZwd/j+IS
OVWG6/JIKdMtpLHxx559GnLQbdbKdCGd49Eu1lOtnGcD89LRGc3prIcheEvxM61NrymxWPrgp5GZ
obYbLTjRUocfMyILH4Ayr9982htPM2dtDtVzTgMrB0AscUUT76JePPLwUt+96spbsjnmnmWDgYdM
aFJkCYcgKzPeE+QejPjYKNBuTLy1wDX2PcC/G3wcGN247ddbB5PZLesymIVjhN4lEhByK2UX1cPU
DDqgk44eCUYqREiXloSz3Q750R0m/7hwN04Jzq0vuJAsBkvYBHQYWB45EdtP8scmGExzQwi+PHPD
gOLtJrxzNuU75Z4xeQS5btdM0ST4U6ChNC9wzpae/ctK9XCHYD3cmmZYPwgMtt+i7vKzMlUGuyCU
P/Sl+OewrfCPux71uLbVOz+CSMI3lsulHq4vuzeF9eQ11bqBt+94oP19YO9qPQ2uS+2qcuSBSzXY
xCxIHxtRW7hrSwErxQ0b897QrfsceUXxpSL9bAWooqrhRNJPJEXJ/kXUQDuUEdzi4Z8+CpgfkGHR
TjvOU0T3PaT3+dC0yHoi6JtixxjAi9xVPQcMQ1azeUpjiks2cUtdyoqoaXIzja0gMMTWlXtEpPyd
Q0nRFXEC7YHUozx4mGsunYLqx3xt+zxsbCJ/UEJJu5772oUQwSVh35idh2DntS2oBelFHx14h2xD
dd4rGJ4q3UCqjI99ocv7mDfK37l+4z7ROqenrVnU3hdHIwrpA/D4v1L8vogreeWlh8orFjQyjs5p
x9WcNnvyzIsyiJNQrr1AyXeCRHAnK478V1HoDE+yXZ5sgRz20Wyg2hvEQE+RN33SvLGAkHlRVozW
fE44I/EbsEyw6MID9IL3HWWNPQ60lpwqaR0NIZIlPQaxnLCKWNY1/GVoXRrygNw7cKPApKFg28D5
NQsPh//waLV934Gncy21rSKHgFFneSVJkThBOmus9FfYuPnRcwH6r/OoBWTr4WCmnjasf+EEnXjq
upST9qxupqssM/K1ObTyFdwdj480YngrdFhkB51nzleaA1qctKsYcOfJ2k89bQpO1kvqEQC14Egu
Web56jhEHYsyj2XarYRjHbGD7HiaNGHza04r6uUq29AvpF8LMA6cJsq4+nF6K7gShhucUtxWt8Ps
GCBSXKY14mL6PE2dsWFXy4w/gfiVUDMMtn17Zpsy3jA1Vz+13zvQmfMUWIkvLjl7370d1dFjXBRU
T9uNMR5S2Hr9jr19vFON+yGoR7w3IFr8MiTSDhQE+rGt8qsTTvrkeHRGHOahDBB/3foV8gGuyqi0
bvKqNO4jIK9/Y8RY7A//1fISmC4uKB7cNil+d7FP/MmxEGemB3Wy9peZnuUpE/OtJ3Fa5m1FOy27
WfPSW0b6RO0Bj9K/Nky4/84ugQWFLShQLow3v/l7ZtuA8hGM/n6SUXsJZKUPvW7YIpis7XGX02TK
TMZi3Ez7r2HmkaK7rthVfWatOt7ZrCJe4fsFYmdlkoVXLJgUlvrdwDGefbNt3aoI4PLKLiD0IaCK
+aClW54GN8UZ3eBLJYu+GgTaoINTK193Q0aInqwt5a85xGLCava+GDNjleAO2siF+9TpzuWEIh7H
juFADJN1WyfyV6ogSxle3x5oEsXkVYKoWjGMYZUaQWL89Utn/6uNECwakE8HWAbqoPebia3gUuLl
czmt46FkbjBvXXecSnJ9dOxZWJaGCW+GA2mAHVE3XUH8nHZBDuOdiwnah70JkyjAlhz3cHm7Qm6p
yumPJgEHqLPG1Wh2zLt5xgHYSdMDDX/e3xhzFiPp75deIFhoASm08DP4i3PuT5dewrOk6gMd7E1d
pYw4QT/na38e46vZaO/BaFIWxcN5TVtQfLJMs/tm49Udtbm49RDchKUyPmIDQUSFb+OvX+B/te0F
mDOpagNLF+BP/e31jdDwpEVPIbE5hCpWkVFwTf5c/823Wah4//IiBC6ORz4C3Nqt375PxcLYbcIq
2LP+nDIe3x60eAhim3HM5afNAM89MqvWyqLOC8CKvKebtRk3COMg61o7uBB9yrDN8GGphCouBOsh
8WThjI06MR+rNmue//qlsX5/bbhfmxYdclgngX9w4/ivb1yd1zOCBNde39jcFGZbibVnIg4C5yDE
xhjyHGSX0kxKQAULEqGgKT3u8/g0uRNcFJ1MXyINxut//Fz/A3D8G4CjRZSCy+a/BzgePvT0oT7+
bND+59/5PwZtz/sDZOfikoORyFv6n8WFnvuHi4ttebt9ie/T5Pv806DtmH/4uCRxKzCmO0zvfLyb
fxq0vT/kYgLFkcolvfyX33oK/6q3UHi/f0RwSwPTwpKMyfPfXG5kbmI7y2JFf5LhXzCFDx6Kgyp2
ak7T14hegDeGGih3EojLKqhDm+QLfA4zqwEC93ZwTNGlHxixSML1Xho8l6j7r/agvBsgLu5TIojl
DGzWj1PhpJ9lYjg3nY7Go+J/D7JYGFpM0+AFaqt1v7JxZhPT1F17w+bEfnQ9+iZAHsEnmBZSAQp9
/mijwG183IIngKfWLYkhVkAL5aBdeAckGlj6LAyEYqEhaMMPn0n2puc0LXbJwkygTI+UXlEHW/Ra
nDsLW0HCrCXVgubkpA7ScO6HcNsE/Z90F0Y3QeKAA2+AR7hjRo80m8otEDCyXK32iFTBS+gsHxQ6
yDI/RuGaEmle04NBXUMcG6dxQUAwXPU3EFrcXb/AIfrWbM9Qa6GsLOiI2nYbRIjG2noLUyKHsXXs
28BcubnJ7rcTN2Gn8xtJvAOKShe8Wdola22oniOq7cKiqbNLvmArxALqa3U1rfIFagHEiKMXKtyu
zDGn2TG9WO3s5XgJWnHSrmkjllY/SrUVm9dW1wlDbTa8mXD+n9s+Gl6nOGweg7ALv7lhz2im/lzR
TVZbTBmTaXvJUZodYLvEic23gns/Qwnx6Grlz974nk714O6y0E1uld+H17AzxqvAwFeiq8FHNJ1n
P9mUePk2k87hw3GNsLBgDAbJVnWzuvb7rvixplEcQoCZaKg4tw66KdW1U7h4IkZRP+SsEjduXZjr
JvF+JqrB7wgdUY7OmeWMiyPaFAuwBGczEvgCMSErnTyXphFtWGPd2zKtrlIQJz/GSKgJcieFxmlX
dywVYZ3fQbz+ikGmiIWdAuIMP9/ohVc2WaxNN9AuvKxYLQvq3gJf8bwK3MBCZMFcYG2SuZlOI3f2
S8HTqDSypzFWpAqHheqCwUN96IX0MpHXPEQJ9Be9cGCgmWzthQxTGg2OSmfhxQwLOQYhc2KRLsdT
DVziLXa09LcZYuyrt3BnoirPjiobhvcCR/vHEPYUcrAS3KBJ+VeYOJtNEmDqlOIuGa2aLDWEm6DL
+4/UqetnMTox6URIONXCxJk7hJ7VRLOGBUQrwRbF6RvegrOwdBoe7sQM3ejKicsei4uuLmIE6cX8
XL2ElLaS7StYY9m1jWhtFhVCOhZMckxTug6RSjh3F1a0zrg7XGxHjId2jEt+XrOAQtPb1vAsCxof
u5JZ1puN8hx6bb2SgFkuyexjGVOdtW3jVp+a3tMWZIJUsOGtKnnO4ojlVZgDeSS8ZX37zATfHQan
M1LUqDdDUc8WG88+X8TEqmZX1rBlBnswPCWajcAey4+Zr5UAsroJkOUhIqayXoVOKq5YEtfxplO9
OBPjRShmq7jDt8J9sPRAgNEPqnyf+mac3q3j9clu9gz/pvWtel5pnvxvWLg58eJdZKWYCY33bALU
ivJBvyg6akK056SBEV1DwVzYWQtZDi5jdzcavfpqMOqP6xA16N3VggUvnTHx21j6GAm5IbJk8FTq
AbsCyui9TcptWfsbjv+Ew1pQq2YNr4hkszoxJDiSBXk5HY3BFAoCJko36f3E+CS/Dhm/FZX32sWi
8LdB7utbs+r8s4N6yk17CIFbQekECG60atx1NrwaBB4Tjy7JeONNxiMwUQzYaKVUaox4QyXbjUOS
2JVeOyTYbggpYwMcx9YZt5FtQQZojCHVS6cLfprBFuVDIns8LQMigkGmGyeYqZeQZNdJGaOZCrt9
qGLToDB0LnZdUbV669FVNgEkKKYHM8qQwPHbd28sbQntF8lAOHzoBuD4WTPB9+0MrCRmI0Jm+hxp
JSI5Qctdnlknyifl0bJa9NzGScYfRDf10umy2YNXmZA2XLHA0cY6v08yWkG6IWjOeeD+1JOhP0QS
3LvjiLY1C8SfFcYiuevYB506Fhbvk98jqbscPt/df7h8I/anR1NGXrhKIIbsI6v37sPMn/1bWi6x
0kxuYbE38fSww3vPLwDQqt1nedBS2eFNVHsAYUqfjNQZr8hgR8+mm4BE66gN2CC/o94MUg/fTIzd
yllknrVMYnMbx4M4Gxmbg1XrWoz3iHviaBg5n3vNB+G1Erl8pE6co3HhAW8pLMUFWMYuvYIzvSfI
K5H1RENSfM4KgSqQGeRDt0qq9FV4OHlRofziJN1mcWbM1MGgnQfNqczz+oUmDJzWC82qWodeMQjg
0Q7tKODJnOtM8cYZTm6pFXtffkAMCDmSLqdemFXpfENxDZ+YNrTyF5bT3RX3UOvDtNrpZaAA4ZjT
NTytQm9OufcqkKEDXxqwBM74t4C/f9f0TohDOAuGvSeE8ca2dryyJ998giPFQw/INJkcFTzTiGg8
mVWQ37nOGBHZHIE2w2YuzpiwKfxlXzJ8c9NtL2noWohSadw+9707tZs5ccp3mjiqY0DBNfWqFC88
iARj1oq7ovGp6nbCfUp/Oi6BAKgwthifo0LQtfkHq4CZ+j1IhHqLNgNwIqWbst6nNuV9LZichxKx
8duLoY28WENouis9Dd596qQxtekD4rDu0xl7b1Zmt0FMEQkvl7SbtRuJ4SpsCwfaQRrfDW2cQOv1
gRtogqBWOuefvFfEFYAoVDjOW54CfcvznY6AeyKxrBspHykwi9UWH5CsUuWd4S37ALs2zOcqhTyy
pqrFu6ZDQxbAfjyaZMGSBt21R1MTvL0OgWITxqK9mHXGdx/Q7NB3sjh8DeWIdTfA8rwik9teIthf
z/DW5B2A52CTVwnvO10xza1FG+p5HhE36Lxwm/sOhM394If4v2Eh2jtJs+XSqJEUxySeIEtRWFqv
XZ5wXBli8g5G2lk7q8Rjsnb6DMvkbFJ271lxvGpSnV4g1JI6wi1gf8yIcs9GHZRQ9mVj3kg98oqA
qgRNbY68QpVbJQdrjPyPjIaTX4zB/FgYlNvnwBoHXl/cARtWDtEvIsL5QeZd8Jww0u3jmZRBY7S0
Ks6QhfJJsHui3mnepzg8DjxpK9CR0ipoHE2XfWOZNsF1iMxzNbotcudse226SQBFvg95hhaXq8b5
yaug+A671DmJ0Ig+59bGIhE1c3Btj85NjB3nCKiax/z/DI3/T533QjJn/fcz4/9WX7H++F//hvoP
r5+/+X+h/55kdqRSnhvCn6O9nvzDkyS7pBVgYeIP/efkaAV/WBJlxbQsz/L/NDda9h/s1cgw8uUk
mkjw/zM3/kvzxvItLIbWIPAxCIilc/LP8pJscqMnEwXuCHNq8wDby3/keKOqDdZteXG92GfVDwF9
p+hz2bmEirZ5G4m/SWbyQfldq+PHoF+M4xJBN7S6f/ykfxK6TNFLcMgB2Xfqzp4zHzxTKAO6pKPC
fuyyJLgeJaswEAZFWEJULjuMzYGxpbxQHPi/kh1aPulb9vrvIsbdp+JkgpQrk2RTRKG4NdspPM4w
ETd4p7qbOE0w5KW02Wzd2rDv4kajX3KEP+KI02ujNuZ2PUZ5uDU0UR9HeNNWRSyBY7PD4mS7nr1r
pVDb1J+CK9lBx2P73GfrlD+/ZChG6wgPCeYnxV8oju5NkTjGgeejYPPetM6HKcz8LJycx01b52yT
R7O+GmW7Tmhf/XScdv7CIiUe2Wkza0xOD35l4ESeZ3BD8JYn+BGG8rP1/ObYyV5fYrelFbjEHidj
v9vJwG1vI7z8G1fZrFi4a+RldRgTesIL7tVPE0iemrwLDxWXsMOr1eHILCVjZDwExq5je39MFcrw
3Dv2dU25/Y4/Yu6Zl2gtp/j60KC+XkeGMxxh81obPeWAiqIJ1nndXU2tkdx0iRttq6GuOMbVLCFB
Bjq7yRuwt7cuHGch20cB1ZJd/dJHHtXxQ64G8erNQPv0BAjU0aZ5qOgi41erb7EmTasCvsqZ81X6
2A2j8TIMdY/9ccm7uBhzdAmDpsaXv3aA+XzVRQq3s8jUnct5mHO6NLrzUBX6lEQOTcQS8No4nN24
PsAzv6LKWO6i0cAIa3oXj+cuADD8lesZT59dkLYzhBYUqSlkT4flRNNIVozxxO0/JsISztm6Ya/Y
yOY27xJJ1VjIialrFHOKJjnXszDiWFvfVFnWviZp1O5VQ//yHNFUAQLY+PTmetz6vZpuCnZ4m2Dg
ekq4rHZsa7JthRNx+Tf5FRH+2Q/Yz19QucGzwnKazpE7LPVmpXVnjmgqXdGPF7OCJVJX8LCGueKJ
E6hLkueaia6b91XUtnekBSSRAXe+c4HPbOsZ2Evh4CPtcb7dZlOiLjAxaDO2E7FVbI+PMTLHWsR1
tNFqabH22upQDlX1nFOGyLvp1YSrsxgfYvFDJUO0tYageAxdb1h5E4tFvgZCfFzLQz8G8/UIaftY
itbfKyahrUPXKvunwgPkZATBVhN2XI9jWG105JAXbQ0G5WgiZuCxK+K44msY1Jz04YVIyWeNBeXG
qEYWGqqYikPa5Q5eO87inTPKS9IYzn0/DmtTNTdjNc94pEpx9kt32lOH0W/cXlrnyI8vATeZLbL8
BV1kncfDiCNcdVckH5NfU6njH6ya3TrIWxA5wRxeT9YAadBzgCdx1z84XS5PgDtg9w8uXRdMmTvD
8+Sl4cde49gI7yPMDx92tazl01YcWtJXvzSSyT13Zo68Xqnf7bpjt+4BCg4iWcSwPSgKXAk3ktkR
oA8pb6GZZjGNTRh8cRVvCG4U06qparov4mzYiSbwqxvVm4NCWo4gkwxVtIkBze/SqHfWqBsQccKl
J5pmFK/d2LXpsGhAM2D95gxsGZIQzLURXtwiKee1LYLSJm2R8z7DhGvFW2H53Z1hl+R8bGjtzw2M
QFhAYXSRrWZcELI/h5DydtzT6HafOnUCIxS/UXQCa8uPELOQ1ShkGYnwgEKFl8d6nZn2Oq4ycfJY
nrtbpwq+p0xm0bFSirrzrlUnP2/Eq5sElLimmDZWGGAI9vue3NPHQrMtVIDqJ6EEroLOqtsfr6F6
Nuzn9rWwgu5QyfKiYuOlHofmoOgbgKgmCWyqhEG+ytnAryYZ4P02Z/eNmBiLb4k99dUtdH4MUs76
gTnQBzkk/noq8LvEmIjg0tkhpXttHea3AInYiFIH545HmU59cF0VoZV9S0M03T2sRPchqkpn3LWV
UX00fBQ+wtBWz2UeG+c6kpSvh7R/8RHSfLcimIeniiCUwUMqxCvQ969ZERhXky/GkPjtpNdSDnTO
iBZbi5k4g7PGZumcoko792r0l6pNCONrAnoSNc4W9zwKG/84eGme3rVNQ08q+9uHTtccCayO1lzH
qhEbejoPf6KicZgyoeS+wMtxflHwMR1xRAhKCXp5JYFxfJMhBUMQ2mZ6MHxLXIepC8nPqAeCU7GQ
ZzXyqmZZ7u0ZJzFCNkYtoXfKms4dWd+73K0fKKepDyTt+l3URLbYwazz4W66/nh25tA5uCKJUFg5
uwxuyKyLOfKZwHruXxor9NJTnwHn7v0rogQNUw79CyY2OCzhgVmbL2Wgk7dBpJ290hWy3qpgDe9s
k7IT79IkVX1JSbUt5i0EdKhbvrnNLYPI22wH1p2lyBoYlhHdMWwPr7muIJIbg/NQthYxCqsRO9sZ
S4xuRvQEFC8+cqph7SN7vgRnrSHdOEr3m3xMhn1dUlxseeSjOKUZd2Kyy71Vd5RpDHP57SWjvQMA
bhBajPCj6tEiT5GltQLBpDKARVlht9t5XipHYCTQ/Ij3iI26NXQbupKPYJnGz9gzhk2pp/iFUEtz
hlFVrI04tlDP0Z57XuD13PP8LNJ6TazAP8bFOF+YWOVG1+Tt0XcKg7OYvx/HlGldFVlB3UcWlu14
RcOmQUlTPnT2waOzezg1ZRqfOM6Um8m2aFPh2CAfXRSFcc0SQg0s0j3rNqux7AwTw2Q2l9h9U+3o
e/7WTqT082gY5tMaW+OGBYJ3NUTNRLnHFBXIe1hKKuq0V2EqpqOV2u0OYTDiceQEO1UvWXvsQHsI
cdGlp+9l17pcoy7gsWtpYHlLIp2sCAtV7jfRg6XHAtn7IxTUJjj/QduZLcetrNn5VTr6utEBJJBA
IsL2RRVqHlgcRfEGIVIUZiAxD0/vr3afdpxju9t949hXCkraIgvI/Ie1vpUdhffeDKONMGMIe3SY
RvtJfVltO0tqdoqQUX4YOO5veUMik52FeRbkLEmvlcFluZvN3k2DNvN3yrgbVDM/36W43fZI0dyd
NBNFjIU71Ncq4bBVsrdWVl9AtQlNa761k4lHr6oWeXFRC99ioh2YUBNJc0oyP3sZeiSJAi7oTg5t
fkhb4NoAQu12k+pq/h5EkXvrqBrTH6rzwwC4JMkzftp6pHiYNlFeo0WTv6kKJabNVLZmGjKEabhq
B+nFB9VOyZp5PzkXYVhg755G57BUjd66dVOeGY+a13T0akF9m71NcA3FcYgGQnNHywv3fhjW+T6F
J3gm4qy/iw+BxxCNuHYHy9gPaEk+e3BUN2cULXV1O5vPnDax5MHtex3EEyLcpgs3xRAOx4xtMhTW
re1l+YaiByMZU9IzQoR2RT6N8Ys42a7dDSQDHJl5/KptIrZr1CFMFheRf/elFxEpqiS3PwE1q2Zy
6B76OZwD5LPlxcuxRLfGwHDDTPwbF1x9qswRSqFvdFvTEf3WmQTPBISzP8zM8g1Uc+8BJ7WggPZ6
HH2jZ3GKauPNcBfOkHkKkbn6ujR3GSJP6K6yflpGF9nX1An72oSmv078ZfrFSiB8RBPl7ERkgIjp
SLZgDoe2Im+/G4dMFbz6dcAuUnNzRiFFJ9ATaY3XsKEoADx4svmENumceZsB1NurFp6zcbloVrnG
c1kkoXeZ4zx+s/qGlZSLuz5j0pnjEkHqR3NzbmSUndys8ThIRN7vmcxTuEUAT0y8ZY/OJNHe5eUp
r/JXVxTfRqgeugEPVmbF5EBMGbTauCQCPlHcTGm7rjykVi5AzIe8rgtiZpv+oaL6gsgcRud4yeK9
qyKcQNZnxhKy6zq2STbCxGia97bhxPRSyxhgiSi2FhcSiEOI0ClZViwYkx6AgUC1Fx/Y65CU6eLZ
i07ZkriXyIusU6nAeWapTULEoiX2fGswKBmL32qsIwsf4fiieZm2Dgw9HKDMJ+9TqoC5XfaI1Bju
XhM5J9X1zqNjFeo4mHrYdOQNBIz7k13I237qZ3CaK7tqLErQ0rw/hmz1Zx4NY2ryoGLtEeauSxZE
clRZByEVQpSKd6Y38EzPa/ZLeUDVkRzDwiJETaTTqRHSDIiEquizqqo/WF6BmYupL/ZYCUi0yBqH
Meu0d5J6X5vUEIszKNYdrGQizK+HcCk4/6APv5E0XhExV8zGncFpnOKo9t9NJNc75sfWj0ZRsvt1
lB81HrjAIubnkhvS2cjRH/YLIXIfivjKH6636CcqYJwkYTK8ZWVYHexSG0/W0MunbKkzzkoyz1YO
VJVz06XxBeT4sjEp2r4sYqIOytLw/52u+g0IAwuiA/K/hgpfhDKYzfDTnLj77JmlJ0RdYOMvddob
DGqxImiG7nuDxO0D9j8fduXoP98x9gFWlhSxJwXs4JX2prWRGklPn/FM48VkoetCbo9ZwiOlK57S
YcqoE8rml+WW5JwY0EkR0xqH1hZ7kI/G0bRJpgfu0F07v2thImZPktAyqfCvCae5VuJHDQCjz0wc
eGorOvdnFo8P5Wha+yyenpWPQ9QoCNFrMEdZ92vJjdARsj6jNPzRRP47QvhAEF7eMNhY5w2QXcaO
8VM69cXe78Bdc82UZycbBc9xUx18lZ0UcCrYjM5ychnKbjyp8n2RqZ0zkyWXpXG+D80yOYyEgu3s
oX827RLA7VwOa5HT4LE8RO4uKcMPgJXc/RIX2Zct0ju83UuXNfsSN0h7zkicVPuY3PcA9gjgWh82
ecXW4zTlstgYAEX3zDhpmMo6xTCLVpnIOy9YWjUcUB3CHPYOVh+frALMk42kl1QS+aq1153R0tmv
SergN25YfG+kmLkYcZsUEDfCGaKESnu5RZyr37Bd5UR606IsLnI0iJn6FFeANVB93u702HQm0kiR
KhOL9NgV9Xc5yebCbgXrS6TMcsMBfzS1CurGKraMmPQhVdnd+zlBYc6a+bIg0kUWIMwvm++PbUEP
ydIrp7soXNWHIVXqNvWl3IaQXAIicLEe5Hoz1JO5dYdu3dsEBGfgYW3XMJ+GMG3pcCZ/fixM6QlE
CG6z7eCH7sakxKBKGOXBzIic8obRxyoEtX+lG3kuSscJXO2OZ28O1XmwK9K1WBEs6N/ZCeLc9gDI
PWO1CpLYvs0JA/Mu+USz+T1HDQhcU1cU4qIGjiZdfF2t1VRbrk0Dage0OURS5qYyipFom8GiywYv
xM21z1ixW2j+RmcI2KKwh/OLvVIVL5RXbLhtv91RXElD83ett+ylYZ2kwm5DrbWth+FnL0bygifb
zg4118FzY5nz1Q7jn70tIGNjl7cTXz4U6dT9MqSt93x9VWaULR4NxMGu6cYoUYxnvIGXyq4DnSLD
wpLnnmsBLzuV4p0DHKmHWUsgOIUVGGhtAzVbb4WHTjp1VYPzNt5SQ68bjKVzxfrXvK+VuZpXvod9
M+sVntrCxTsgDm6cHApS1+KxeKndhPJSjuukHqJVzQW+LUKi/Ap7l5fzu6GVw9uDuyZh2YIVwMkR
wUQu2X5OcknDAR+n1d3GJqfUY11+i1v7Na2w4HkTQZ5WblIvAj7behZyF6gx2wnH+dpJgBRMruVc
JzghMGjRtBBOHxK85W5Ea27c5k7/kNZwdLKz4ZsnPSYJr2P53KfYhIfyGPqtv0eQCO/aZ8fd9r0f
9JVVvJC/NL37ZXdMl5alMA0He6cJf2k+7dCjkraTo3E8JB2JmuR3WTBwYmIwW0Df9TJEH1FmEbXl
2b9o+V9s5Jwj2nj0yfVvjznXC6CI6mBR+h5iJkMbnFdnA80Q6pm7JWby1N4R4F/KsX+ICsYtfV/p
N5v90p58KowxiaHsjaVJPS87OCG1nvVZeEzMaBtC9DKL+wyDmVwuc5ku1eJMzDKFWx9cN+3xi0xQ
MBC9GV5RkrGQTnxQ2JW0CGHlC2/2V7W2k9cB7dKV52wjwBzNbtieWdPhEEtNpl6HJRUKI+3Ukkvi
GAfWujCpcXXha1q8L72E7R4y17Mfps+FqOKdV6V61/g6eyM+Qge1bG69zVqZSAe2yuAWAyPEHx1x
z1Mng0ROY9wWgr0UII5hhYRmMwMFAVoN6PqwaJSI9Tj+lBV6DWLu4oObRM4FFRRi+CHGo5bmmYb6
H/GZ7cfJVizQtES777kEC8iU3xfaDKHiMmZCVcvfHqOuVQvv5wZ5d3pMW3Z0EFiYh0MGHZmkYgsS
IvqRLTIj2qQqj5gMJr1pk5TlrBG22KlClDS7kayKDyJ2CFLNbLklaxXdcJz1QQFHHHWL2UCk9lCB
cy7MuXVBbzZE58GdT6VMjbdQaNBSmtZj0xqW9eJLCSBcsNzH8lYV6XlqKcm8UFv7YbTME8FxJU9n
WbClnGbXg9NCbG4YgU3hjyA+E0l3ppcXb5A+5MHqXLJNYk3pGDrteWTDvysN24RKI+EduZW9q/FX
74gRogCy3NraRKRHQULXhTybQ8eqM1ujkhPNKmVKcfYbKZ77QkTHfBbihYO/fOhdVDFDVONEMZu6
3om0sOvtZAJDIlZPT2uaf83V5y3r2akxg+EAYRJWzSL+pVzOi1VCCNErQu1L70sC3eexvKV15a6t
yfkO2UZ+msStxAGsvfB3mCfFC2XIz9SXuMOy5lH07QtBA0Mw3Ade/TLuu2XW24za+YS6gMdVMvhS
bjnsJ2Mpf2mZeHulCSuDaGBuhqrjKWI8GERzttyAFWPtNHOkBzOpY9slu0cMmg4DOhfcVVF5JACk
+qru21tdTxgb4+51mDE/mqL5kVh1vW4S7AL4PNzr0kUk3Rpt/eFEGNxIjvXGnS17p173Dhp+LWls
ovAljn3/oPx7uYOsylX9aUrSlANvSo+z8P4klP8rOy06cpITk5NggsY+9Arie15wmbRLRtZXZ5Vn
dwlvYNZvbkRyQOypaQ1ZH31bJ74AqfAwSoRKU0Ft3KSLfWqB+P8a3CjahJX/4XeW2rsaLiRVkrOe
h5wizLdJxS3CPD1MqI723Lq0xuKYUDW9pjmBBsLi8Ss9SFj9pIw9jd0IfSp/7BIX0g6LKQBJ3dmi
UG9VB/djYSpJTvDSHjB2G9fhnu/H5/ESa5f/HaF7gdNk6Qop9BD0WLBnPMlkyOo1OTQPxlKbZ+iO
CALIwTpaKqIpzjKfyRD6C3Q2T5bANhg2EIa8cbSOIgQkj4H6RHDfs8lLtDLluG0Gj5SULn+p8vQ6
AxvCjaIdABkp/oMlg9m7lj0IIkxZ3VZQ4XAWMhp1Np0/cCZjG65OfmV3MVMAAErVPBJzabkcyHA5
9OvsG+5voC5MLSsAHhQWCx8voVgVj2Ewkz0S01JnuMU4Fi9d3IY3skyXIyISBV8b5CKynFcZuY9u
m/rb3vF/uamFuzw6K6bdO0ei0mhm+9GnLiI2u1+jTQySonmbezQlAGxWutUEBuOCN7LHsB3iYGHB
8tzAKlgL3NNPtklgDi4kVvmRG79JnJV7UNmUNFNbBQAfQIFZXlDH2tl4Shu7AoJXhMSKXdMlIucI
+8oy/irwO4VQXzRld9cwe8EQA9GxlGerR9gGgqswN3hKj9HgqID41AOKmQpWPP6sncLISLdCtQA6
ZOY6wa5Trk3wxYwcXSw3NTb4lYeS+82s43sqRq/lQU15+UlkLqhv3YvqzF+aHks1v3aKEVVuiG3F
+Xbx55xISwN8zteSUZhxH46PybgM6GBLPHh+05nvsCAN8g4L+7zwKL+h1hpAI1kh4Y993D5wLgBF
JsQv/3Anf/iKvY6+jqGBP7AUyjK5nNoSZjPTW6d/k3g7HgZklfjsMj4EdkxjfCW2Kp1XC1I1Ihm1
7b+Qy9ge4qlaOK4wRf8cTU++9rGF1hiPpbyUkaxIOZ0cp6IaxPQbSVDoazsnGWS1RMWI4Uoljka2
5SWvEMmJ8jG4JNdYxpItHbWz94imW1ZupQW/l+iNtZ+Nw3vqlV+oHY01dJcv2nJyD+oEAoJZi6+c
go+FG8LBaWWkjETa3lSnQXQJJ0XFf0FPvMVlxqVDSWnKd7wZvEt82Wwvhu22n3YuEm/dirDa6n6Q
mAntarsMjntQYeRe2LJO6JtRhsiBnXDjjt1WJ7l87F2HEy32Ih6U2uPT62PXvufJQjlku7EGYeDf
J12kJbb2ABRc9oCqMB16Vprszal5ctFdU2mG4LtSRxrgINP80hnu9MxkLd7WVUFs5uAjpzbqogNz
597hMkSRR4HnTuhNrFB+VuArhg2K4vrYGnnxKjof4hJT2b035fZDTmJCu/ZCNbKKJkjWrl2qSsda
m3YE8qSZki0bxR2qv5JwS/WrjM1oq+owvfHg14Rp+v2hEpV4MIf4l09ENqZoatpVPw4/HY1PsHWi
epM5y63HsxAIXfir3kSXFMZiXrtdsQT1/K4T8nvNemWLCuE1cSWrvrZeIxSaw5w1Oz9Ry1s5xGYw
ReRz9Gk/4uiwYK3lzdEuJV2HtzR7usB429pkiffa5Kzv3Q+i4OMZGBoRTSY8qEuqGH5NjMCenCwk
wjstpfPCsmnZkooUPo7lmGw7hIs/QzSkYCTlOvNDsu6bpngrE+6OKsOu6vl+8ojoz94N0s2LNYAz
+BBsUdxlDVvJR58YDnQdWZq+xL3ZPXmChc9GFElEDrAwkxNsDkqCSBFTHNncyRJDULjY0/M0Z9Y+
kT2Un8mnQQNDwgbxQLgVq9O7vfd+U3s0Hhvv7vjUCAJW2qrNN5ivAFv7dmaagr6VxawVpMk4bCqp
X+jMqFI6p9kp+BUXpEXDtpgByc2Z+GD/Fp4oRNJzTjVJHg4NzZwU7kniZVsPKaJkRKjDBWCU/OER
3lpE5rhNE3vGPtp5+0zr5qQXK9lmfWs+xaMYdiwZGHN2eiT6iqql3nXlGD7Hw+ReGVfyraQsBb26
dE6spq0bP1WH+sCZ9cUKe7lmu0ZuYLV4AhmFVsu5XCYk3nNZ5Du2L/SAbN2mI/7fZA1lmqeHWepL
tDj9g93rmxEtQck0D65M5x6cHJfCynRldYrKiGFcbQI3Clir9FvMjNkaGPufGh4j3GmXlYpX2f3v
HOnAtjPycG9HSMlx92uxI2rGOoGG2OcEzf7KEKFaG38wRugDskze+Hw/MNCnu4khAlcXe3WoPxZt
2xQGbtq+m04aw3dKYCaNVgxvzWFMx3CH/Z0ZOI5t9Fi4e3czZi4rxYb47HnBuarqsv/ZzfZ8S2fu
R1176aqLaQzAqJ688s6R0PjqM8AAI/V/PcfJU1ermnFx2toPpK7gga0AYGT+Nhl5fsHXvVq5zH4v
RpG8tH7j/WYD559lbx0TRGN6Rb9N5IkCyUoSSGLl62YyqneDhexDZdUNrNzS4qmwjMDMbP0xonQj
dZRUHEHop8somJrhixkonYeo7YcIO8gGYRAh5gpXFYv/6VBB7gagOTnmKSrAKuKoYMFk4Dsl6O9n
2EzNhx9Tb6zdajBPTJ+5bYZU4ohlWEmb4Iy4akcr3aPZQSxf9fUPBkM/ATh8jpOfc427zast4vyQ
1DAKV1ynybtF//mjm0nb4BQyZxz71On0Gi3dFGzlTNGzAHhERU48VvmoZsImw1K5D11ReBuh83G/
lNmwrJn0dVurjSpnC24aTcaIXwsI79gZ6zm31381OBljCUTgzSMbLzS1SWUxxYjaaa8M4bPKMBQQ
6Uk8Vo45nIGlQpbhPHpC5GGsFyb9RLxO0y1HRUxqQBe9x11pv5KBlqF1QLXCtgcUlWE4w67t7/Nx
WD3WNRUjcyezKRQLr44c8iYLqgTk2MqLuAkSAsKK1UC+1coao6AjW/xs9jlIzVIg8ikXlxjtClF9
4NZuuVFe+ye1ki7oqrDGp5MiZ2iyfNkI23rxmO2vE9Pydy6n6Yb9bnE2cnGTA+HJLVTPlZCLdyXP
taLfn6bPIbdr4ApqVI+kksCMgRboX83EKp5Y0vrP2PemGwvsu1cvLk/G7LJXIxz7mDYeIvEoyvu1
Ddrw2ZnZMs52994yh77DM4mgR6mdbVHSNDuuUvQuBPc99KJ4QoKXnSdqrn3qt3bgjOoN0FUctMTc
UUqqKX2t0evcRkS/08rsnfQN5wY7AkMtiJuSQa+1vVwaHoh1CeDHJrrbO7RxtouLMT7KAuRUESoF
oFJeMbIXQW8XCsLUXB6YZWCSINaNN2Iaj5ZGOLOkDfPNxvOKdQgx8x0fJKoPrKk/DNd+Uk346k96
vMVNBHgspIsjMBovyyjjoJjSx5g9YYIaau8oj/fH9+fTnEIqIkiivBIu2IBPyQ5Q9cbH0kuYG9BE
nf25mLMVzZN90Z6Py9sav1QLJdycT1HEwkgZ8ljWBUsbU0X9Pg0n8z1uajzocKx20nGKV4uA22TV
sZM+lGl5tCq3PzETQBPiyClILFG/YTJfLoow3BVtcg0bnkU1eG8XYzF6pXpdu2O+xdGd7mGaI+uA
dLkuzFpvR4APSIWB5ZgrHbGXjR0zf+SYHpDKO9m04eaotuwkzRN+g28N13in2wh7UDIy2sMyrq+c
WxJglj0f0RNgHvaj6WXooukKhBr+V6+WJySW+QYhOiMp3yqfaoqLp7GbxSYi6OEnhD5CF+N+Gk5T
QSZ57FvqjzvZ4dvQZjhUFppSJtJhnfHmL6QVJtL/ARZiDnRSMTWIK4PAWUGkdynjQzrK6lDEnni0
Eje52nhNgPnEJIj5o93dmA3EXznWE3Dmmrgpm0EkcgfLPc1u64BGGyfOs6VlajjJExQ4H6AgMF10
Wwn7BOn4X3XoO0cKleiLISE1RHofRdl1+pjQhBc0Aj1pht37fRT0w4RbQKhYZXY/F2Tgb0w3kp/o
05YHZhv2JvJDY7M0fvodG1h0iKVlcxBW+Qso6XjDWoD2/o6xsn3tPUsTSm3c12QcEkL/NESsz2E/
Q2rv4jT7U1n28FxyvbKYmcOH2q8lMEKdF/uiS3GtpWF47Avb3hJ2zVYBwpl5y/MZ+1lTuxdWVvlG
VaonmGJ02gc2Bs5z0dOA41fJnrPK+EzbBgxww/3Z5+GRQDAsR7ZsHqJ6sn7JcmCsmPHOrErSkbgT
EwNhUFMgsVnEAfQuBE7XIAFzYV28EmPfBFjd9XZpGGTo1Cc3whfWH5Gq8IRCR5fgIgjnw4TSxzeX
4mDLMg6yesV7ODZ1wWNLq0/rzLSAbZR4Gqs2fEp9v9rAztIvZZg8c7tS80h6aa5fe98UnscuLc5O
bZZPr+4YYwXrAMs7Rt6xs6asDaiRsx9+qkF51kYYvw/QpdI7HGFk7MB8e0FXwxGVGNnWM23n1Ap3
+VXqxN2pmO1di8B/7dNyrv2UXEq2O/Mz07Buj53tru67z9612bd/ENfMa1VF8nmpreWAl4cwEDG3
K5ou/6iz0WWmwSaGV7XGJ1KMjE9aLJzsVclQQ5aX8FiywS6m65B0j4RDdijjumHb44zcoiaj5owS
Y1eyunluB5LooqGVe9MhZnPdKmuUNJXEty2GS4Zks5SvWczPANOIvU1ytzpUwxhem7RvHsCeZKTx
8e+PMEkxy/dI0mD6+M2BY1yGcCat1s0NZaxknnMG/QtasTRNRT6DgRqlRebJndNShaANw/xnTpg7
KxQkw69uzv5Dor66DWWYfmR+O1ylzdKFOS1iWKInck4kDIb/X+Tyu+/q+qv4bv/b3bz9VcGfQfHR
/Y9//CUu4L95u4Nf3a9/+AUFU9LNj3De5qfvts/5o/xF0Xd1/53/1S/+0/d/SQjvmDbcif9YCb8H
h/8V/8r/r1r4f/vDf7NR+/9qmkraHtkq97iru0x+/G67//7PnsRgjTwe55LtWETQ8ZV/t1Hb/yoY
JRN1hUZcCAzV/8tGjcPaZi4O19C1JBwCvvTvP4bbvyE8/jMftfg/wklMD02hxQvElBhFq3NPhvk7
GbqAIqRHdZehgtUjjLVFQ976oN+0MddfWDPw7ZgxnPdaqp1rjIy3nbALvDEND6wxxG/8bOUe95UI
kHU99AX8PYcD8oP1L7PYxdWU0l1Wf9WdqVd+W7frfJyjK0P66UndcVJVX5K/S23W/AZ+P++muPWe
tCGTcROb2vkKmbRDsXXceDsYxXb2+wu71pwGhglAP7rdoV4i1inom2bAKdtE+4hX0Q5oP+rfWRz6
vzOSY22spGQVN0bYb+3SgvWYp/n0O0qc8ANZan9c4OIFEqjnbkGis+dmmnfc4+WunWoyb0XOyCpR
D+jXx83MgnlfxWBs6rnHg1gDsEz6drmNcPY2fjrFFrwdd2beVZJOsYSJfh1QO3wnQEEunWnYx1r1
L0tr+j/oMNXN9mqIaEIOCT/VKsTUlNCqse1qGm8Dyh8d5FykAyO5eVp3lcjeQXeYR5zc3bHMxBdw
HNSmWZKck5hlXuIpQjToeymgWqZsYPPkKsq8BGEcAnI4XOpUJ61zjqhyPolGYXU9tdL4Q1Bodynw
9r1XWLQufOB8n7IbVmHN4ESazpVAKaTdnpIES+OA28DO+zM5Gao1N2YCnw9DcawzINENBqKxGBEi
LWCRsViLECSX6/CDMspnpxDpNmfIgCClN99ZUDCMdPN67zOZC3SfWXf/ebvXIqmD0fb51qO7Ninq
5GoY5ACIFpgeoJ7wTeE1DSTFN2UgDLehxc7VLbH9c8KMvO+FQtXteMVdAs7EsVGE0LPmZkAroBF7
YUuf6kHYxVy4KWT8LfiRYGEstbxa1pAeegpAPnTzrEljPI/V4v9GYRK9ToC++tVoF28ziPajipH8
jYh0WXGTwoD1G+7rqE3x2Na2WVLHEbHsVg7DcqfpNVG57QMBJMba6iO97XUqrouNECgd3ekaTzn0
blfw1Cagn15zzxd1gFdi2RoFPzM/tczAaErSY4G/ngyl9BOiOu9Eja628whw2Z7S37Vz1ye1zU6T
HvSWaUpMHI7DqjGik2zmNBgluFtGxOWrhavjGvPdgTUk+31jhrT2UGPT6ErPHd3sxXLAFNhsRWZr
oVEtR3horU2aAjx7wPd00ZDaZPmllqz117406j3OAWdLy61YONwBXtVXa00IhcJ0bZhjAOPP2DbV
eCkG1uiqRtHom+5LDCmawHuB5Dl1gbnErvH/sN/Y/3veFacetTPntCWxAjmKo/fvTz3kstDsW44D
XLUiXg2yWijYkVhD81SlPuN1FesROqrdlu85A8aY4JymuTqMhxiGEIR66pZh/BMWcU+Wa5mf/OEu
MU1g2p+ryC7fqzpvtq03JvaGBZxTbLquQa+DVTJ7IvqZ9zn76922mZrC++S9cA/t/VwYIVginBps
p9wwA84+/u6a+tsN8E9lX9yza7uWW+bO7fgHuIxlC6htvoODh8g2KB7/+L3PRgdRI4tI7ZDRs5+T
4Fpk9rOhpg/zPuklXLhfS4wpZ6/psSMYfMbocSfN09Bo1jZGJBtrI5eYWh3I/oSX845wTvPhm6Xb
nXI1zQevHvcOFsjaXuppLfrmQ7XdtqIV2xF/fRS5UISoJl91PVXYVqwCRYpi+WCSdJHPeX/XFMdH
QVlKDZgNjF4bzDnl0NguiTxmxwI6I1V0RHE6uIgWpD8VLNZG/6NSWfkxD+ZwR8SXn6Kw+6uM5vqa
R0gq4tEqdlU3eu8V7N6DW9jhbS6S4Ylfettm6RNI6DZa3oEIGN/v1GYpSEsYySPdVe5onwUT5kNE
6I+xGrGObCNSgZ/n3CAgdlyids0/e4TEkcXbjJizXTNCkcq4ZDe5nfUdd1CP77kNm7dOYCCKaETe
8Lr6xPOUzh8XOmeQdFl2ojslMV3L9IR7OXLXPQHPb0YnxYO/KOPZbkfBwMiPuFuUWX2j3J7eiPBw
36RXlTccOM1NseM4mkth7W3Lic9hbTYQtJ1Dwe6oG2IV4LTomBsQ7sCM2YIUMY7j4zQW2ZXtSV8T
PESKTewg5chnwhegYTTPvcj9Ne57HJ/4rj4dbYcvVeiQgxvmr3GXIr3vFskKhGST4qMw9XhZbMHS
u+lQBcbtdCoj5Z4L9rNbHKTJ2ZN4npgiKHvbEASGXKlQ8dpsBn0mwCt8aI1RP7oem4LdZEUzwQEu
kCfHLjdNM/aMLZfs1o9xdXGnpQtieoNVEdn6yOySBev9FMnrkHLFO6DqYF9DvrrAcoW7th5z6NTR
fJlaF/6n8oBRc02siXJBlsyZFbmcXuH9HLMjK6YlMIw/6n7CAT2jCG/wjo2NWDn0C6uSnOrd8tfB
2P91SHJSOOhXODmb+xmqmphzJk/EwkEQmx0tJ+ctIe/l63Q/gxvhTMdyrDhztWCTQBI1Erxx5kTH
jPg0EDNzWkyr/5C02kGVe5AKjUZsi78uhvR+RzCrtYH5Wezd6Hamax1libH3ICUk9Iz3K8j0Ne2G
b8wdEA2r9l5ms5IPhMs5YcC+y/8NPAL7i6qsTO5aU8FhHbTetvd7smcfHaR/3aCljtTnqFPJVcEz
bXNPJfpEYww1TaNY21ew03ch6+wkaP660hez5YNl0R4HrOMGxK61x66s5SPy/qoa5nsBYVBJLPeS
Qv1VXGTuiOym9yQIcOoOk/Ix9ON6jSEILUOYK0ViTD+ditxC/Oob0yEEdUUOVFHsNKVPMKgiPaR9
L7pVr2Kcb4PvrMupAv2J5RmMs2jTg91V3SWNCvGD+HHn2rVSPYFaDgty4OMW1mnjf9eLFrcJuMXX
kPfDLWnn5JVEiu4ZZOnUBhEcyEMXYYZjKWaA3DWdBNe1PyKdQNl2dQ273zfIFC/UdGSIjI6g5eWG
krdi1jGYXl1cu56UkJUeveZzaoZ309VYBJVxJzywzkPDpaydwk7+4kV84yldw6ExiLVfxeRCvkS+
YmOiWwj8duYYN7lU9sFj8fZcpJV7m3wl14nH1YUBu3rRNMFwgk38PLaRIDUl8bpkfzco9PuWBpzn
T2l7cQls2biI+pB7JuYnrrX+y65K0rI74q5YovKibcdxQbTogn1gEYs28scMymVHKg5vcc745YjG
B/BCo4yjXw/jHtncdEw9SBQrBy99oGs3ekzQhP+0JnVbom56geNMJmNlMB9k6HBkXsXScwQZ+BjP
IvtIbQRKi8kMbGU3RfcZAVX40H3XbkzPgWVXZeGO3/JpJsDZ+RfJTVeU7klon4ff8Lr8noGXPBoQ
y4iHIS1nhRKArDqMGc7tbuMjZ6sE6AlcHs0eGqvl2xQGEBDSdxjRUQAYgTbJ+VRJV2+kLcz3qs2c
4zC3PfZWOACRBVaFeI+UP+wtB0/EjN3G+/JOUbBv0ALgkvTdIxDGP8Thfc6EqO24wMia9cOqPKAe
U7zt/5O7M9uNG8uy9qv0Vd/RIA95OKDvIhhzhMawLOmGkCfO88yn74+yM0uSs2Tkj/obXQ0UEpV2
SozgdM7ee61v4VhbZFHp3zAUHje8edhYe7F6F6EZQz6d3mlGIe6NUiO6rk2KTxgFok8gVatvMc+7
6ygRuq9meswc9U430fMDjJLmjhDwkzD7ywhvMpt+3Hwtor0VA8EJuHoS1PlKxaKoA1LBG3uoYALs
bEL1lqqHLQ24hb6dmiJaaUxRHkKF+xSjmDgMvdK6pBF5X0QVGhvftKMe1eO8rZ8ykpb6oZ2WQ2B8
bdvA2zh4kNcmXqwj7OnwUIyCoK82U/IbelrijDKmHpbEfzTfOtJkcLbGtX3Myoy3Tefr0S3DCuTg
0zwiiBgCry3Ut7B/YBrRa8JDqniSuGbitkx+K4rkJOzwZ1lFtSdtCxuBXfPdu2QOD7EJnUIVPWtc
AE8xJU5WBuXIZWzWwRZv4LRCsltvCm8aKJx0nT4WoJPBcQT9a45PMoZ1n7ITDLHbjc4Jt+m4lgXT
dV1rrcegDLUNomiiIDHItPiuRp7aalShS2ZBRAxQXtNfrx/AVJ0mS/0+9y9WneZpT02nWJegy1ge
i3NNmwg2BU2lG4F3MGUwQNBEBFxpoQf2XdpkbKpb1nbIexo406rfECOKRyPQh406e3RQOKh3NJIR
qNNjIteyYpIcAsVAXyWK68LyUoFexuH+TjK7OdOemM5m0YJEJzewxZCJ6CwOAGjlfOcrkgbECc4z
Xo1ZQABLSTBMDhvTRWliZxtilpVbyVJ9pWtZ/92IP3s148q+GBim+VNgonAbjW0VxmyLlOyUIn8y
1BIDVp3gb8uSaIMJouQtQsyTHGrFTeVXzFNJtIaAChRIGRn39I6luQVwrqaHp8KG8NAIml5qe2/H
j/l0Mwa4KvGJL8pMRN8j6V/EcZqt7apQry3plQ/cXyxeEJYu+8nyD0mQFfeoHHsmPQldCIZRCpN7
nuiHSdaQdlNHf/DUWH4yISotG7U2djW8mD0rQXA0E09Z2kE0k0gT1PZKzaYi8ndNFcHZsELko0Mb
XIdRYd7gCxhn5/7EgMZPyao3vOUUETdgZbFMUCzT1WY9tYZ72svEb2Q0pJe5KoItPokUT8xI6hBz
QEwFznBLdFCxAdmPIYvMiPWAxnNrzBEIYcBOdky8cdWF2rBlD6kyYc2JhGTuqnpXMsmKHfb1Yc1U
yljFqHs/ViE7P8QlEklAi03cqJytnySEx+QhMQSISrAKER7hln46rbqiie7LbpxRYoNPfFSYYvLl
JQphW5nW3bzg0mCHSqXFHxNlLPaxUbeb2CvYkMVoFhDqU/MDITzDEq9XU1vk+4h3BiO2EWG6DHNL
LJtE6c0lPmeewJhwQJ5+5FAYPXmy+Cg5gSQpP9E1Ka5yDyQ44HGiZqG+fSn8TN8GMW8IT09rt27M
kUclJNAVESkbhqxaaHaMMyzKeZv1PZnLfoxxo43hpGmed8qYqWdO8FnSmIniObyHnwi8Q5VCXRLx
oK/aPLgHP2UsA6vHOSmncU+HL8Nx7NxQly+FAxo9FkBjF6bipadg1i2mfWe59AmmVThIrIIIdKjN
7Tg5BLa0OAWetuurXPs6tR0obFFn3wMPkrPZ2+HO1kdlSUtdKxa6By4uQ/HzVSR5/EBwZZWgvRTe
DRoi58TcN7miViHZAUUGeHqTzpI0a/0uYua6RANZPKTmLDwrkvwQzWB7fCZwqFHPb3GNJBujq8pj
xuhnW+NtKxggMgO3mDoYzsRgONI2PGH6x4Zy7apRGD5lnVWtwpTeRwAHUFN9HcpcfMiF3A/1drQ5
n4SQPtQlqPgysG9IN3IgxVjRnakmxq6Mk+RohbUNU1qRWI2R6RB32f6Ol/tXpTAzPxtsGqhV1Zk5
yC+an32UCc8zdMbX4GRX0ojML5XfoT4qZWY7TJ6of9F1+Wc8yUiKKzhLpNUFhcIkPB4/z76hapUY
MliNYTQB2Zn7lfR0cAC0jtpi0wkmQyGnY+5wqiZ5BXhKaBCOuWnvQ5mjRq6pEJUfEN1/NfP036kf
r2ogVAwYKv+8Jb8MnrKvof9UBa+Ypn/+5M9+vPnBtlU6IIib5nb8HP39sx8PnEaD76aa9pwtPyNo
/mjHqx8seuQz+9fWSVaZWyo/qaa042eijGODcMEmr4Lq/RvteG2+4V6Ct9UZCYOe0OFT0J8Sb3oz
SOsgzKXRuDEZyX1M0YfelxauNVsQArCInGp4aBT1M/ar6ptd6dljj1IKsylthRU5HfnK6hCWWVJx
7pHd5PsuhXqgERLwlS5C++n/y9jnhJIir/PvzetBz/Np+scU6N/pZpQg3N67E/dPadr+x38+pcV/
/cfhqQ7SsHp1S/74+T/vR4tZqcFmWwO0zgjmz/tR/wAvl1vO4l6QP+7UP25I+UHTwWTbFrMgRzyP
jv64IcUHYZmo8Q3N0FXQH9rfuSEN8zWPWwHgBM6LO3J+db54NWai9bWWiQYYB7huyD17pqTo7NEV
hN1FYcQEvcz2ZyKmFea+i7Y24hV+kPIwErS+y32/XMMfkRdmhoSTIBfLTZAkbJPZjq00Hs3SQvE1
DF2YglyqFnxanl4vyrwZdyk4pUVSB+MnFFD1xqJjsqpLNdjCaysvUS7Hn3xCn8HP4mZJ58173ybx
wfGR6WdTz4543uSnWVDt6e1hXcGB+mTPxYAVIsp1vecaoZ7LBXsuHOK5hOjQ0y/y57qin0uM/Lna
sGzNPk6tDwQUvGfzzX+uTGiRi3MzlyvNWJJYUJZdSCKBLY6FGJS1Z+feZqTWgSg/4b0lBZBIBrJ0
8jk1A1svDtV8LpUQrxFvOpdPZdQVLmqr6QGUIeHYU6Nvtbngiq1ghAcFqvlQ+7XHNPxHidbyooDi
liJIJtVgEeBoXuRK7x1kZBWfjZig9qYuFNf2FW0ZPReEc2mYR1n8iaZb8ckPgYGocwlpUZ9aS1UG
MDXnUnOiPdagyQyrL63eenu9BRq0oSaL1QW9a7nrMZHnC8T4yllRUms4TYbF5G5qE+c704Fpm0BD
njfQSnUwSfh5UoowRkVldM5SSZtmFaqJ6pIix28JC3xXy1avmhUQU4UUFl0Q+m5q7pTgigNwobq6
KZD94H0RN8xEUlSOXAVXVHpxF4dwjRe2Uxb+RzrVNsLUjvAfqDg1XvVETVPkibHtX86w/52TlsGV
FNQ5WlHNYUdF3gtOW0V0b9kG45Xne7jFaWavDH6luKr4iE8tBlY63gq05WzELYXVsBnY3PekSoIj
FtAh0moXELG4TgPN+z4WJp+phicMoFVD/AdjBqPByutLcWOZtffE5iAmq8pT+AfxjjSZQ0nUnTM6
VIUlPhEPO5ur0qG9JsQYchE2UYSp7YRcTgBfvQmNhMjiEmHr4OUF88gQf7fMNdo4SVU17Jv6iRIX
mk+LCorckq80MseniWbKR53DSjdXNP27SpOKRxpFOxLlKa1xUeo2kRZ6WJM4R6Jc0zGcyWzdTdg+
2ws7EYR6DR14B2KvOm8tFMs2rsjvRvrMLtHHnhoNRJOUQRsQokUNc6uHVtwv9EJBYtLIOhOrSCvt
2VLaqt/6scx3CtLMOTxn8vHP+Zk10zI9uddGy6/paDrOTTIMX4RK85q0b/nFIKlnqzLruxl8ybCm
Rf8wwVW54qTQ4tPsYrgblMh/YmuHM9JER1aMXkOTFUUbhLTGubTIl2NAWqd814lgmnkvznUagO4e
qKnY5pHBHXYzCactVj2DgTn6iHmJKABRd1B5KkGb1B0apbmjsAs+EwfUf/Y9FMlm6Y0XZCn3V2FW
K/tmlOkVdiiAj36lkMNjaKPxqGAPoaVk6fj+0knNjwkXCWJWjmHRi9D4BSpK10iD+Wk45E3OCcgZ
FlKUZBmYIvyFIQqjI3Ja+WgbPlLabG7qwYdhUNt4TBkKi3cP/M24I6ZIA3nbUZHsQILle0DIBS5k
tq+h21jCO0aRNWxHE7BBUNG0R1pue0dJ4iDzUkVFm11WVg1OiOCVJ4afzkdTb3FU1bVzk0/J9Uim
59IfBvLxDDtbSwV/9mKQbXE2Zecc0oIMat8wwi+5CIx9S3VEi6lVN/o8IurQYq4kwUXMgfJ4K0JF
ugkilhVOld7lUa9WJOHBtQL94JaNoexN7OIPiV8ntGuwnWwk82FAzEl4ofDeO6WqqV06tVLROPY6
FyNNfSN5z1+VfgcipMpxXXVtTEx5HxhXZmvEZ61Wgm+aRY0H/5wk99YWzmFCprhVHVIkMEv3wJV8
ZU8TEZplL7KcvgTCALfo0+jky7SPV2Cjps++gp0/itPwJqWQ2kGpvUaXjeebtyU0cydyxAPrtnPI
q5jmkZSjeT2pTKxh0vQoCx01RexWjxkyoWag15cH36Mo9m9oAnhnUQBx5+mgaQi+kIZPXeELhUb6
1GM2/0QtXLmgRCHrhEDADKOBeU7+mbLOTAt9QQgz6DoddIsI6MmESDD1x65SDNjsCPwWQPG8ve+j
bp5Uvwf3GoZrP5j0XaN0aMel1jRrS4mSG0km4yoMPVQOUxFU3+jFhkSVWt30hBtWY/weT6oAI5fL
ZaQPwzEA+7b0Rw9SiWobx8lOuwdR+9GakSOUVVaxTeek+fyOtwMiiD0vXmqakaEk0IuLyTaRiE5O
Kb7phKjB/eT1G9cjUyfVJu++bO36izch+tSmTKy7vlT2kz2131Ia6LOLuruFp4YTzTJkvNHpoO8R
b8ZPKMOQrWeO8C/9OFAZ/YC4WSPz05ezAX3XtobBalBY7cHqNe3QpQytHUVtN9Aewg1mBt50Cj+z
CzWfuW/pDVcRqWkbDGvRvjbtkrPZlB+9PgNrwXKC8WrEoD7k9U0vK2b5tmed68iBe9P1tFUBWRA2
3IQHPPYXqEuyXd0pGD2mGmWFFZnW0WFd/fw/u41/peb63yHfEqauUTr981rxqv3afgm+VdX4cmP+
88d+bMxtNtLMyQ3uQMl2k6Xiz405wi321gCVkWCRWTb/zc+NuUYNacy0UoEa2wEvwm7+58ZcIxpD
wP5ydJ1SlhLgb23MZ4HCy0LRNHUWVlO1dAJ/+L8zXfTF9lwWzqi2RVuuWMofPHr4iNEx4vgtqbRz
omP83NBzrGOR6V9enKm/UBCgPXv30G8qAxFpZECodbkiO6Nd+AGm/AA3fBF7n/tSsxfvH03M3+Tl
N7WEaqHGoiZXTSpiMZfML74pSILIbAxa6l3EkMUvvQYpqMVe2Rbxeqxp1vpRtOFKlytiigG9W52F
PROOfWe297wuMJ5P/h1TgquxsU4Siz2QQrloVO9TOceCxCUMZHx2B40G1+r9T6/9xccn8YSBJa9X
Kbih3ihNRJXWFvQrmDNxk28tXWeunzfAIkrg2hRCk0QkNNK1j/Xhymmj8Nbw5KUYStVFr0oIdFve
x5Pp47NTCVjMjhBfNiKPP/tWR+ZpGu6aksJi6PlvRdqzDZjfiMSzbrACZuXSHsudXwr1rBCZWM1O
sy2TNXcEDmFN1yNQxojBRSeDG0PiQRn7zzU79bgPVl2bulhhmqUfxteUCDdFMt4a5VeC16hmhsXj
EA7TBhjQ6DZ6ap3yyoHTqpH/4Nhtu0O2g3Sunqf1Nl9moCNrVJq+Qfrhn81Yvc6UBLmYw5ExUyRH
AiPGJyzUoKHRz6ECbKqDQKGHuShTLWRMTuUaWhteAtNkD5X05VaFE7Bmdje4yMCcvUH1c7RtAu8M
J6rxQXgGr9Q62zd1bj/qKkJdPwvzS5tNKP25AvUWkIfHIfZAtvSB+FzICU1+26j7Tjv0IugvenWa
O3d2Xa8hpeVraYppn7UcQsUjhzRCWyuIrr+GYURrCgYNMRcOO/SyX6O9uVZqzGz5GJDDnTywsu1L
tk40GPGMcWlkPVZbjUiPZQG2YNunXuQmaV2e6FKthjY/WwnX+/0bUvACevU42czKDd4e5GtZAv/W
GwCy4+N7KppRW7VJkiE2YVKM/a5sIFxlmLU3Jq+uM9bH4QiiTHkMPAn/vrCxu3hhmR9tS//IPGaG
52WHvm3tbwPW3ls9VpMNGQT10nRm75yex59o7rYnC8zb9+ev8K/ubv7fazshEebl988XteNTXAdP
X/tv34qXq9osLebnfrabjA+8o9hfWiyRc5+Tt/fP9qdAqKzNbUdb2j+bnH+satoHS5UguHVasGAO
DH7dz1XN/iBMTSOKiTYUWT0IlP5Ou+mNLs90WDktzPu0UU3yUqGEv37ZkzrsBbQ1EUr2YCXTekN9
mhz9tHrEu81Tb6mkv7DQRSRUexh8GFSodwgv1WNed/d6Hz20RQXWfpplxF275d14RbQm8xdTm5N6
yEgui9pYVjK5b+zZX+bE9xhcXKcb9ySbUcq3MzQQxpDoo8sXV+O3C+fzl6N9rEkVLxed5rmb/Wol
U5MA9EVuuEMauRo26dj7jmfqSjV/l6L3eomGc82VlCbGa43/GfQWXx/JVyrN6pDOubVGgwW7BljR
49jkrkY7+P0vpf+yEzHm0oHhnKnPQWFvXygUjX2qsON2gTx+sbzSQgWafWqgQmCb0nZel/vLxOxi
bOxwo60OzicLPbZm0Nckb/RQbNtiY4TWA//VOcvSkyLF5EpZ3ftKf8hN60kEriELE3F2/rka0hEf
Gx3HISuPo+GzgUcqTnqwSlnb1jsd2c6SONhhRQAzYGBvfDK76aEsw0e9tCj/Y1Uu3z8H2ts9Cl8e
PAT7RBOqr9Tetu09UJLdCI0Rw6G9CRh8aulQLosACz2NQCe/L1KTyghkWYBeYA4QMbr0a0LN+f4H
eT7Qy82SaVga+k6d3DZD2Pa8CX55i43BMPipzzwqaagYgJ1Q9SvWve3X1IVa8iVp44OBARUp9KFq
p3MO9xDAl7WhPZNA2hXXelvdzgKTQZYb2gpPU+Q/pqO2nhJ585sPOwd5vvywlsmkhedAsI1l5KG/
uUszOGRKTGrSSlWJUpbMMC21Pxudelsq5on247kmUjxyzC3u4U1YqndEb2GWMpDy01OuJrSfGgAF
Ro/LKQlAhCDALirjNzvQX64un9MBZ8ZEnEcJJ8ebLZz0SwuovqW4XZjcFnZUrim2e/SDw2UvW6Jq
asT+UY9Hi43qIq6mx66cwPni8Mfm/P5Jm8/Jm3P28rPYb8JRVbPQksRKPNcDkjxA/Y8dDWyNvmDI
yW7rd4d7fie9PZ6pcjcZXCm24m9uKEv3CPBBfe5C54fTBbZ5YTfAJtKeu8K4JeoaWC9J726XK5hQ
Uyu8MgPQs2rwaI1M6qMIfb3fp2RdO9n97In3a2eNn/s8QZw4sEkEAUoMCDrL8NohcMttMLkr+nSk
CQJD1qQdCzAbaE8nFoCCtRV8uANDNHofGdw+wyiPSan4a4/afVE4mBMbG05WLukBS4LDsYD7+qrR
p6v3L8TrVywzEW4KUzBgYa2CVcy69/pJ09UEOAsXgu79ajJ8LPgXQ2S7cXp6/0Di18eEARBzHhoj
HIi4iNdHkhMum8zjmdYjCyJD/C2TGgoOu8A85+it69TBp2jo2ZpPu6Ydb/RRPHh2OneUvMfKI8lL
1kRNT4tMjbdVwtyiqU5Dnmze/5zGr7fm68/5pi5UPYdYnKKMUUGZMxYe/qpFclqU3nss0AsLUY2L
eChE7BOAzxqyUzWAVbAL0PETDIi8n5QL/HLKahhKfUuHpTtVdZUC+uvjLQN5b+OXprGf6OfeEYCV
z9vWiy7HgWAULeyABvyYwmiFW40DgypjejCNZLaVBiEGPdEF5DbDAhZNSzMv/zQ00ZMXzP6koh8f
wS7ekS9vumTNdt9Tet90g31i6dvSPxClOK3jILl7/5z9ehOx26GXwNaKaR0ryOtLGzcO2w09c1xf
etgs4Fg23TLUCQcuxPr9Qz1nxr5+kp/3HOSNCOxmhOu+PtYQqSC29dxxQTvp+7adPuEV0Q9FRdAW
qngDGBjxdNl4qv3vvoXMIyfLeiEcFti+gS8zjZrJRZHVleaMv/lw87HffDZdlzy1TDJ5mt5u+5Ko
01KJLcSN0mQ/kvsklcNUfvzNGXi7U5nNdKoz9xM4hkYP5vUZqETst52Z+MwfgpntSccbNpDrSRxf
YQC6Gzh97xfFU1LKj1E/XkuQbcx/UGQZWQuKJC3og4fZyqqHKyYbwTFRiJqvPMv4zYbirz6pSUCO
nG8LhpNvXi4Nrd4E7LLn2mbOWyVkOAklEa1YgMQEvoMZWGtV9Q420ub3T9LcTXl1JTBuCQaSlHms
ynQ6X58jJNPNlPu55yJauvN6i1cMrUsnB98ubjDVLsO0/M0hfxE9WBzTRN9hGg4rrC7fXBcnHQGo
xhJXU+ltUoEdFz35sC8MS3dFyNY+pZcXdx9BTD1FofkkJhEsPeVzg790GSh5fmEP2feI8Z6WW8sw
Or9/SoxfXsC2YDPtsMGdjZc8Ra/PyaCUGrK7RsHi3bp02Dee9NZexOOCfRcCQjxhRuQm6geBwDDY
t5P5WOcV8Qam91AhHl+g6rsRffc9CoJ1CmXV7/IS8Fd4hV1wUyDQW8gcfWCRfzFZb0mO8dcdgwRw
ZPFmKox+TxhZuUjRmo9DW65jWX8bU/XcjsYD7A6XacG6q0ij97Emdjp8tffPgDWv8q/uCluYlC2I
UyTPDs3N12cgC1F12lpguXVnnUUqr+m1b60MMmRRDAlycVILaxmcCvKDlprHn+RggUjHqVeNX980
VX9jYGFeqkTVL8PYwJldscBbJNoSA2chAXdTh+GjpldHv26ahTPy8i57f131pjYblCBGGr3LXOAJ
b0AGAcK+7XSSZEV40nzdjRPk8ETZdhGRlL2KvH5qp6/BPFNvRXlRtaHb8UE1NSVodjgOUXSME/pc
aGGfuqZxFV33gSj1m6YxT8ScbkpqkNUAvm0BvH6Coc1QGvYGvFnyMsDUIRtMB3fU4mEdGPWSjBWF
sYyG6K/4AsfxMk9I9CGmt/n2m0vxy5XQ2S7zaFLazaqRN2+G1sy8zCLBEy7usgRea227fFui64dM
8nykf3Wb5d9Jt/MsBZsL2H/eQzl983F1P41Przoof/7gjyaKIz5YUsVLLWl96C893bbzgRa/afKQ
0An78Tc/myjC/EAhPy/1FmIxi5LizyaKkB9UoeJE5D3DK9+iXv8bIjKqvdc3if3cxKFfTt8HmZs1
t2teVoFEJjS2hNmzrZzK8LfEK5socPWJ4gkhTPCVGSKMC5N57Y6stvaWgbSN0wMI0bSGoAGbh8Tp
XdaYZuwWZsy2Kg3prS5l3wzlhrmm/tEhYeHk9WT/pIoimysd0K++tDCaQLoxjMjZ1jlOvI062iXI
ciUfdmPNJk9Kn2gk22v8c03nVl2AJIAx2GrK2dHa8mC3VntfMBbG+WA7K01NIO9n9o06VTzCunox
jjnplHFRMuOou+oLLg64RRFxCdQIhu8f1ah2CKEl5fEoA7xNbm/MSYhtAlJ8At5htVV6WYpQbD1p
g2CQk74lEDbcCqN0wLuMAyyXhKlsT7jG2c4de9NDMTkVBCMtozHtgIeQB6NX7AaIP8xmf+pSdCjo
77rc7tsb0toKawG68UZzlMKmmcQsll0nYYVHAdfX34Nn667peSND9rPc8I9liHOOhlYHlGfoE5/A
cqJmeLFr3lC45I1l9mLMI2gUvjZi9EnQKmjXE8Om8bLCT5ddawZ50IxtSw9+HNFZM83YhoMBtc2M
9l4H5M3NI09jtN2aclrrXZDcd4ko5bWdVo1Ya5Nt2+RoCQPHLQIrGClTDVnMM+sOAZYafFXzwreW
KeS7TQZJ8k56PS155qr+mjDH744zHFoaQVciQwZF9EoRLwjJ3SoDZnKLpEnkY95VP0CbN8se+3Uz
pM5Jr3qyicsQuAzxCoh/00WeeNGAAlftN7WR1V91qMvbXChBuAm7KdTcJCcpIjYL+yyJiGKkbOXM
INKwsW+JrBmPvRfSm4dq44Z1k9w28ViCMnIYvudZAM8VAYRqZak7h1OvyCfZt9XoYCjVprOXhdq6
K3O5B0dJmwFkYJhp6qWP/YE0ifp2NKJwGWhmfYl4zYP30/uoWvSWTJ+kQqOU5wE9ppIUcn+DGis5
0oW3XX5X5Y5pkh4rbP7xQouM8MzdCngIizLrooBQuhidMNrB8uhhFHsgilFdQaT0253f9THBXF73
0HBtZ6K7BznFFwNQlbEHoruYlB4LLtHPC/hed0MYptflSDhgj5AJScF0Bzsg/CqF0q8qcEuAaHxk
dUEbcd5ntWnklw8WOby7RJlaWi/jt7xtMXrhy0lXNvTBbaxEEbAaS4nvC4T4t33O4oe+ObYei7HR
MF+lprHrk05ZD8PAPkkUOJ8V0a5kRyiXWuL8nRw8ltVAzEaq6TCuqEmWRuUnW9x7ezXFYiT7dDix
FWnv4Vai+QBMf+U7OszHAlQTRDjn0tdL78lguNP82HT/qxe8/3NzBV1lFPTemngb4sROXy6IP3/k
56Dc/uAIG7oJFcMsU53rqh8jBdv+ME8U6BpRbz3/+R9roc0Ugj9wSAHV5Dxe/8daaH1gcyNUWuQG
S+w8XP8ba6H2upJikTV0PhUlFN07Gijyzc4VJKaa9dg8tgYg8j2OkZi0oPBkIMHcWwPEw4D9OWmG
mN6w2w0fwz7299g94K6rTeBqkNYWqejsL1FQa67XFNZNlrZQ/5QCToZFyNeLM3v1Y0/90p7/uv76
9fO+qb/Q6JlNSBLA1glh9I0GsPsC6CCFueeqBRZYweN8olHm/aZ9w97x1a7h10O/6d8UppEWVQEN
M/TrcDHRHcEqVdprDPz5iriS3J2cRFm0GgQL6NmXQ8c73Syd1MXpxXy6kNV2nDKJnBJKTO6UoIGr
4BIuDsPggrNn6sNlonv+yaNNhR01h0ZRZeq2Rs9YoHmtkvBjHKmSF2qpMDgtElYOPMwj/iWS1K7y
IMV23qQtW3/VP8a1ZS/gToWrpBDpPnXU/CQJfz9VSIAfgrZvXE0p8iPYR7ECgFiuq6JZqdmXEQIr
0dr+RmmAaKH5ApUIePqj0bNLsTqqgERPbPLt/XAdWe2XqHJqSpJcsDMJJciwjBRBxqYzjaTEzR9I
3rQi+ihN77Id++syKqpd3bt9otwbdeYcmiRKCWN3PtWTUDaSxI9qNMjACUxxjCb/lKbEIrO46mRA
REAp23Cj9xBUOtt6atJucqE+ZbRior3esd6Jbrwc1ECuaxiKq5buL9FmerMvoCzSrvKEC4X9IofD
uh4qdVv5+TnBXY450XP9qoAeT5CP4i/zqNybsHUXvk4GGeqKwS0Iu1uHE+TTPLKNleihcxIABsMM
q/iKL8ZOKiyanaxM9ZGYDHaNfo/hHGnYuEWMcN23jr7nqSEWoT14o4P4whbdugiG89Ap3fWQDg3z
LwOnuNmuqemKrRooZy0b+hUsDoeZEdckYBm9dFoat52uJ0cnmOUTkbaqbdPb2Zmpbpow8HYGktSl
TaLBChw9QXehKZfINedaT5/OylAiH/NXChEGyy5Id5NeoWMNwoSyjLt5kLqyZtKX4w53EKjG7Xjo
/UAl4KoJN2qXfjas7NyQnVKxcd+UYGCcwD6rquPWJpBxZLmkBveGXLBF3pp60y9j0riWmYWcFL4F
ylUivnqHCM7OIRaMqzmzkzamvCOMMF5W+mgvAskOVU/aCMeqYgNRiFBKACYtLRvuf9LfQDRSD4qP
Ds3sB3DBIDhRLTfWYcyL+DbSQZfCdtkMvQFTDn5hbA/KMh0DJgNtdGHaA21ztH1wL5F0N5FK0aqI
jdKjmsTUvDJMlIViQIacOgdfEnmS2jehzfCoHIdzM4D4LcAHNMFFV2oEnsrJ7cl2Guq7KSkvnwlu
ltre4ImyP1JnhGuqm1VGuFwcgvsx/QreJAHEaXZGj7kiRWZdBukXlG2rZqL3llhatyxFHSyhoFw4
oxlsNITrYVSCAnf2zDEvB8vfR14mTqlZKgLn6mitfc8keSbX8/ozwzjgxkhEbod6BFWQiBulhu0M
UJFIZKcbvnQoSxZqVhG7JwbdeQqSkH/na+3Q1SH1SxwD3krb6jSKi2SNE5SBZTDj40o92xKWmO1E
LGh1MM1xqzRmx+wRDpR0SE3npuqWzMNg1shXc8zaxxTxxJK3X38Y1b49V47NywLV6kLH5L7pA63e
MsEJwVRn1ozKH9SdU7bVTeml7VXfAsIJc0BHeN74DyMCmrpJD3A/VuoRYfFlMY77SujjChroecyi
Zh97mKLN2LhrxylYVQVJPFiM4bQK5Ez0w6sLEJYtSkmo6Y2RYFiskAlFMTIhxiXhzgegvYgUaD6K
H5I6onYeL7ta3qeZsre8ifddZCzTyY62WQ8hAPvJtK16BgrkZH8n8WKr4ljeSJOWhNLF8bZ2wgdd
qYyVEXrXQAcg7wce20JShxdxR7hAr0TaLmVHdzFVv5sq6uLXZcxGl0cfca7NKbZfF7/A67H11ZO2
5Qm2yDwzhILgC0y8PUMzoLwoblhq8W0zFexqM6W88OanKwBAfiAdsDzAvkW0U+f3Jr2+a5RQjhsH
1dx6RV1/Ia1pjhhSQzfqEn8bek22FcNQr9Ac8GLI1H1VYpu0Cv87mluaQoiPlmmVAorlcfObhM7D
n+2Jv9gwzM3Rf7TmnlftV1/3TUMIEBqS/FhqsJbANeKg0JfjiDkC6ev0Y4P8g6H3F4d6Pa34eShL
BVjHP8AtzH//Qomn9RhXm3iA691a3xsLfMIojUcd4aFbyeL+/e/1ixSEK4is9x9Hm5scL46mhBDN
BiBkW4AhoKOk/kkHtgSO1P+qhdXMYI0bYOxJgFxaTNtGGegWxwVBtqbfnJwI2wNX0q25NROzHNZR
3Tb71pu1vcSRuSFZNy45SaoLtUa6YgSbo0YUUEVcDWi7NX5bjmkbDjtZzSzU5bxkG6zd73/Pv7p+
tNylhv8LGaf1ZgSkkQKoga7XtrmTX+dhakLIwE0VBvI3B9Jet7F/XL6XR3qzFWbSDvRe+Pq281s0
7J7zTaPCXxDTk8MDNj+bFO6I9pGJO/NOoYCQ9RutyOu+1PMnYMdPmDA1r82lnR/dF5c0TmHXKKwj
W7OU/jI2PZW0IxGzdTOVq7BTZt5+ScPn/TP8V1/81WHf7KkFGOpKzdFXK4bkNVDN+UIgY/oK83ZY
qco+G4cLDyn9VTLvcqweVvH/w0fgItOQ02z8o2+NxomqDXWRhtoWNzVxMCyJoCNOSK28pddIhTLf
vJS2yn5TN/+bvfNYjmPJ0vSrlPU+ykKLRS86dUIkARIkQW7CCJII4aHcQ8fT9+d5a7qIJA2w24ux
WcyizKqKZIZyP37EL74S9eUbA7Y/bN3o1+tfRIkej0G4Qehvd0X/Fdeu6dRVsXNVSp9NbCRvgAx1
pXARk3hS0+MbWzawmIsQjNuVobo6NA+e0+Y3Fk2SVYa26fb1l/qHnfPiKhfP1DqmMxRwqJHjnazV
yAOuWu0AUwIz+vtX0o9i2qFHtfpb4GuivloW3zwsdDxXY2h9LvzoyL5944n+uFJ/vdBFzKP+6DsQ
ui67swl+ZmP3LocVvUfzGR2HuXc+iKSDnZ7o9FjqRNluuuYNvMEfSmbX1Pp4Z5p0RO3+cpfG6TTK
IMNwGlmG5rCManhobNc6ZtnkHBpn+lg3kTb2wlcjgzO5lgmiTIEsGPGXxjcjwG4FV05OB7KL6lok
5WdfOZiCZ/anXPn1GwWz8/tic00r8iLap/qOvYtlYFiDiMtFcWu006oZir2VmtkeWpK5Rnj6dor8
adv05qFv0wlgdEbbFgbcDpV10nevgqIHI2ajhupImhpv89pi+ElNg+PXDM5ZPjfNmBxNqaliCBSD
rJOrrET9YJhDZDkM1FqaBf8rhI/laih+MrK0aMvJEpzb4N60bfv+vBz/f6PqYW5+/ud/fPtRZijN
toxvv3e/dp30zIt5+C97Vwv//kvQVysL/+d//Ff141v5rfoHSgD/OEEne/qm/nFsC/5n+8df+tc8
x/kn2AvGJSjugsw0/w2KZdIDxscB4RgBlvYg+/6b6uH8k//HBrLAPCMwKTP+p4cFCQRVCfgfAZh/
ZAP8v0X1sF4em0yLTOQpuDMmfvDByfZebsgWzVy/zia1T8cSRJVXPlVNKLZMqxEMj/GqZq0/Exca
hvXiCboTJzjszrVEj23Oaof6tmo38TR6CCZmTCnYtL+85D9khheB63yLIWT1yANRjkwC3JYXJztt
Cc+0RIJGdglgy4DQjBS9dCg9o5tBym+uM538tt/gu96uhI8o1P/qBsDQ2LyqgDH1yxuwOdDDkRb8
/kzgZdQ1rEHKaSJ4vMXfzgZkhqhrH5ECpvg/5Bb38fotvDyO/noF4BlNy4WoYoZazfnX5KZ1M1sV
ZSH3+D7MK6Z8D33qnTL5FoL/ok/3fy7kcxmGe4g2XzwqDnJtxxRM7qua2W+XdNEu6BoER8toB4EY
HXM/rkmP6VwO4xhhimRWN8Zk33v0NW8QkjO2Du7A39rcYxow2eZ7R1CF632xj7xJHXssH/aqhM9v
NFRGQriovKNHhz3F0G2pbBa6TPadNACzpjEvcpb+F1CQR1O14QbXZkiEFcxmas8ZUsCS3s7xx2VE
izYtgZxaobdzp3E6Ta14tpxFbNuheKqMMtwUKobsF/2kW/PeWYLPr3+hl71V/eLYEmYINppeMAWM
/oK/pJ/BUplFkklkkpw4RHJn/oKE/wZxIxwEbRsT05T+UyCH6I3k6xKVy4URdgBSw0gYlAth5OWF
yyYKGhTk833Ypqgb0g48BuHSHWy7sZEAbVt0t5dhXSvbuy5nNnTV5s06CCs+KOpX2yJNdlAcI9Du
7CkkJMQmiml+1nKc90XOJES35wWZHOTq19/ZJV9E37tP7x6BQEgD1GMXy9rsI3eYg7TYR5ZdbaTh
eddJiuGnM8DKHvt6K1DU2yMuVJ6aKTwODpJFtNBRAmhXcekf/wpA7rSrvRsfRcJV2NJpiQweOph5
Gr9wMsx2l++v3/fv3xooOlAJZgs2Q4BLRFkHi9hUzDj3o6EAx7pEJbBhyOTrF638JoLu3yFG4Bb2
30p+9Srjyi6aHCbwAFgTFx+7t8uYJqjC6g4hanjGEW1DTeZ//fleZj1/XUUjw0h5eDgCzsslVRUN
RnGyKPbpHFT7QElxhZ7B0+sXCS+hT+eHgT6ABH1gUbXYF18fuY0gAEVT0N8unuMgRlfKbyOIhpXT
wqZlk0fGyNkChgZr8YVSziuerQR3mGbJ8Q/pU84dvMAtrfxQUumg7JCYh6JlkYt8tDGXMrI14+0H
w4eqC4DixFRTHTNk+TZi6vPVAP9/h6ASmhFUqjhqeHsTyYO1Z2Exl8kI5/eMv9amnnXDYAlqSI9g
BFp6RCLJRHteoKqB6wxXckJdIk8SpO0h/u4qVMhXadS4O9tuP02wQcimaYzFXf5ULtmTlzv3Jd65
VzFmGivXyZ+RD6gPbZ9iwhVVzLVxrOshxOyKOntWSRyu+pqYSwsYaMIQseAs1neVtFhmNMWTP7AG
XZF8ZOCEKFoRPUBQYQV2gvt27qssMg5jOiA5bXePVsVuR443opkj2s/N5LUr10Dcb5oqey1cLlZE
ufsN+wvCsh3QSR2zpzaZwo0j8SVLkF1FjNr7WikcOhMsYd8DlCV5yBYO4sXHZ73In62Uhx6SLtxg
3E5u3HXvAUn+9AWn50jfPRkRWBtCAvfYN+1WcIBscpRJ6GcZjwGk9Y0bo4IbpQ7O9Li/YprapmjP
L9iretkTIyjtJouzBjw4m6YkfcrSLW+8ovmQW9GDbMuSbahwTY1D1IGxkuVgGdx14fBpqhbnQBx6
V2WDG9oQ7+OgelJmy2ilB+NrBIDLInz0cDEiWCqZYzBW+Dspi+cqUjaTqeEay0BY/OK5gNm/pz+M
VqvLg7Zj6a1G8CsOKzDEW3cDZvQkYjS/LckZIBwXK/Ue1iLO2dA19ZE51+RXwuJS8yCejQTlE58v
OwfIcFi1VkiU3qdBQMVE4JhhjYvQHPjh51pPECu0U1awUUKcvjHERKRhlQpO6mIpn9DDKd71yE8h
42SEH+hg75Y8ffIxAD2kOHxd+3DEzQ5/VUSSrRtco8mt9IchMzi1PrIpgpY52m2s3Xlk2Zj4vqxa
pBpWTZo9hZhnrrzEuXfAr+wxOX4KTcTkBCvcome2Oi9ctXDfcTXtggnVcav0MT4IH/BPmJmP4vh9
3gIlKwzyyT2JOzZjA8kn85cFrx8+Vp/pbEOLpNZlg3lBygrClxgFQLwj6JzXTJzsIb0ZTZqgFgCN
dROyaOsuezrfOLdLFkOVvcsBau/RyIL86fXt5z4a8VftTOJ1w/CgCNLmto4iifoF3w5/bLFdZHC0
fLCRqAAaq6yDGpBPw009QjzKkZrfTV0MLoIAZrQ6YAUe/4bnYOkC/tUfGF/7e7uQj3XDvsLT91n6
3HUs86dzuMAv6rlDonUVDkSCKk+4QOsjclBwgjT+jGuv1WE0M/ISKQbIhxbyKbLkAGF560BPDktC
wFAbSNkhmhSW2PpL8+jhjXo+nSKTVWwmvAEIVvGV7efPaEPGd3hM7MB8Yk3mwzFQbdXsvMneEE9/
VAXBxGEuvalIula08T+2LfvYNfjdgViLPBMvZPL2KiieMFI8h7MZ8CCq3v7pHJR6j/CCnOhjPnFv
We+f7JrOvsTzk3qn2mcWWwUV16cZjeB16GDbUwx83HM1kepz1M8cjLM5dvw6OJ2fcJzFs94SMvPu
9VGAUtV913Bj52/Q2NEpgyzGNAbklxhvwiT3tDYOy6YKEZ+1YXTUlno0c9e68VT+LJqkoLPOUlEm
i/Ec6UIki9Yek7h69oio/mIA6I7Gd204d9vJYP/m7EyGDAv/KnSNQyHa+KrTX2cyWHkwXm8W/BOx
ymMfTs0yXZ0jMQKeJGJ+AmIsCzkzXNKseQlh4TZwSfgXPncSTrt24k/xiJhY9X2zyzAfxne+ZOIa
mWITeg3HT0tEYA3z8/pccQQ31erkWfjevYUs8ZyKee/E0FPEzIvUK2xa+JuwEe6BAje7YeFTjTWL
Dm/IZk1/kGU6EH3CgU/jRCQU+uu2uXpE6spZBSlRnyqo2suEH5QDVcE5/hY6OsYS89pKWM7KiGrw
ojkOQ/qMUxEXSFJWtdezgQIc1nyfu7Yl4SZv0Lc5p8PIihTbHgO+WyMu5o8YhoP+ReYW4VmSK3MS
T+e1UnXlE/IXz5hcPsRmPnNgKDoiA69anzZxRFwUHVsgVp24nQLQhb4BM8QFh7ZyO2DLnp31K4xs
5Q4pkYRvq7LTmPFWmfWQn3vBDtR1eiiamgNv7uSJKCmvMzftju5YARdCHX41OSlm20ix4+M5htu6
juAVoBvDTGcEZRWnHjPxZkm0FUqPT4blZrvBQtW2CzMIp0FKqjFlz7WsH7Gp7nYTldV3IxLLB6fI
m2uzwss7aboPeSUT7NrDbGPHlvXIJAPURDlXZMROtkl7K944Dh7VSSF33kKZBBNSpwbNUB+VlwZ3
Vo9U6YjF6NodGesDU6uPqMJna5GSJ8tFnRwrdXeBO1lXGAM89UaBCn9gt2taXg4E1aXdCRjq14ti
OzUVwV6XeXXQiE0Kng4rC3jrHtT2Q2SU8pR5BYJFFQC2sS465C5Lc91i+buaisQlR4HjnZaCk3fm
jQ22+pkvJGzd4GHhLSsUl2LwE/Qjj10kH4uoRFoGW4TVgDLnLWbCA7aTDjrJ2D0DwkdSHgF4fqzj
x1wLZdZ0qfCIs6x+pzB0K+rhK46kI1rVKj2UMoxxto5TuPP+d0YP2zyZv/fASRkyMpRJDXzs6nAQ
UHhw32Y14HgvqgxZABNmOq6yJjUcstp2Rps/R8EUhwTM4xN3Q/J8ZwD7oSVNmohwbYKw0xbF3e+M
bW8ZhF9nEB5YhONHyxyvEKwPMd8B3BlFxs/GZ/EFI154tpbpEr3xDYpOyHqyUMVZ3PtE5DZsZPMG
0U+xqRJCppn37UZllnHAl9HctFPJrtWVD4bi+cpcCEtZnz1bUx3h1kv+ZMVEGqCJ80enc6X+wst6
LDiB3MqPn8fcqNfo/RWfKtm71+6CWY4WhjCsFpcAWhylkOp7skTYoxvQVBY/6PaiJglOsX8EoUjG
ZFLD4eFt2AQuHcexFblxTM65hOBgWl63NYY62sOd5l/pih6MCuHAYZuGDYlMZVr3zhSqVVFlABdK
1m2tlygF894dxydM18O9qIZ7dGuNbRyhuWZUA0GTo0Df5xCa9xbdh33rW5SFnNariDS7t9In4dWP
pui1rZx53y4TlrBmwApN2+nKslLoy2aArniQ3FXFeNPM1lcKSLkzB09dt6atPvaG+JJzpiUoR0h7
jq5QzHVWsLcF/sDcDfq6IY5WHdm1DqcLMmO3oufEG8IOw0YvfHAy8dRg+UmCMd0twaTIAp3bRpHX
GFZ0g421T90YAoOwRxQrphIVMHgWNsrFnV3wrJnyT+6Yp3emspovZ227ijQZ+77gWLissAZc6qE3
wpoEi3daFnrs6Abhp9qp1HViZONDKQ0k0BTLzdbNqywBkyBEup5D4lrckucImU4nw3DsfuVHOkhr
tY9haMi92w4oApp4FDpDs69QRJZ4gh+KxNrHJpxoK8qfKyN9TjjtleIcaivvlDiskfOJjlN0xhmR
P0m9VhOWySl2ta8zOQHFNYJtaA1vDW4YiSjOzArjp3Klq5ZlokEU+J7Y9Il6rEuOnmHsx3dJw5Zi
NMTHrrpqD94rvprpTK4is5hQVu/Ee9kP2bo0ra2RmJi6BynZHRX99nzKMT6qbrLBIY1yEUdJ0F69
SRouU9is4Sl1lq+lE6Q/VDZFa7oWAx0QuKWRNuLsDVZTNEMVKcaWX1Hls7mY5lMZD9VNwal3Xv3U
m9suyLMritVnmhA8VeG/D6ds70f2fcWI5dDGnFx5Y/zUjSrPXeShT6Lh1sNLbzULfQYmrM++Rg6j
JYciKCTNvYrwoHC7qAEljGakbaanOSOM0YwU2zKw/bXwuiujXzIibnONv/SydSWXn4uQfBVDFaBT
9rtCDdBtXZRODMh5GzBq0Y7VzhGHzdN6qNz789mLw2rLSoofXi/8z+qe/57g/dVegAUGchM0h2lq
/YhfW2VDPgRDks9ib1QUnZCP0NjuukeJ7ieMuBLRZ8MSPAVfuVsKXMftsifUNJ88+RnA/4MZZhZ7
mEJXpxl9YBpbPwgexJDcmfa04BIaGAcAVP0mHTEmaXAs9EsDScewIwHuko/nRua5RoLJ9yPryvQZ
Z7YBgqR/b4kFko/RWTe2P09XfjOVN5OBIZY36KQ0oAbqHGKICrAIQu+c3Euzds5FWI/U0Ps+/AGM
Wl1XLYh/N9FZYIq1g0/Nu/GSMD4Ky5r+fouciQDzfcCukIZRgXr5SvMiS8uEnbKPW0qOMBjjq7an
I+HbJF2gij5l58BLH38NEk1XSSSNr3/WPzTFtG9ggCgs8lP0c1/eAiJL0sts0e/zoHVXrb2kh1aR
J6W+hLdu5AoK/WCuhyJz3mhXaRXbX0bC5wVF+c7oG54nssaXMkjsbKR7RNTvQzmh5k9Qx9XdsN5n
o19u3KVpvvaAbzCTW8B1efldPZTDh6ix96gkWo+vvwbdgfttcSMqhZRlAKPPvOgD93ZvNmk9ir2r
g4BuGLgYUiOdOHVb5bm4kRBdX7+kfrMXl6Q/iggU4wnT+gt7+0vr2alQm1I0pfYIuIbbQs7hVib8
N6uoH6ZWIVufGiPeCKoAfTuUh9ev/odmIXMCboAh6XmU9fK7l7xUB7Habi9DkjE86ts1UpLtGyv8
D6+VLrOmMIX0PX8bU3Ga2gCxNZnWytx1v4CiUPn01ZjbUxsVX+auyN64ovWnB9Na3SH9behwgV51
v7xWWcHtn6Cs7pMsb6+BYmEM37nqSEiglTOGDynHJ/6wdM9sP3kqp2LeDxOK+VOC8nwBJWL5m5Ru
3THVc0Q4Chrn8dviQkZDZZHZsMdE/rVuvPnnX8mvyMnxikmeXv+0Z9r2y5XlgbNAFwBAPfTZS/xQ
b2OlE1ei3YdZcFIokG0qw6u2eHJl0C05gK3B/+YW+cfGxDPCDD6qDKrikI23kHx+dOFYrBYvW94A
EVzqRvAaPA9UrMdSZ2ujR/3yy2Bzg+Mv8q37Mhro0xQkz74k1PQmwM3eto99LW+wxWs/O522mKr5
REaKLm9m1I+WmmhMkceBi7FttNmqmSTDOY0WyLwuz7/77cHrgLIuLilIF6D54twDj37uE8Qjy6TP
EVZLtmlApyZAwGvdVcyW9NRRoEa8ss0iX2uPUkCnurY2kaos4op5fWxoS3laWXpsdz7Y8sVUx9c/
2aUkHO9GT5KhSjg+GvRwBV++m8gaJvQozGaPgdsEhk4m66BLQGKNJX2xQOJfkToZrQNsT7thMM+P
SWt17RYS080woFUbc9ItuRJXjdkbW89kSjTovHnRfhptmSy3tCTgpod0QpFPeiuenUEgL5ddAB4J
yraDzqEJN/jlM9DLIM4rkk2S0hZh+tBAgdcZV1WgHnsbEEbqlzfQidXWyrFUQuoNKi/0hddf5e8z
VzgkEcvLZnKPu9PFmwQp5zQDQkL4W2LsM/JibFZCVg3+Gxeyf480jA7BbgHRAxsTXEYapiCxtAuB
g0hFVzAn77Fmsexk0FXPxdLS4QjoSmW6uyyRbltVoAhXdh/Na2CMyWZs0iekFJ6ykXlTUFLvCUpA
3q/Y1rpmrCje6W/fgAmncVrQhsPA6E14kX4dFx+NAR4DUA85L2QgLkZTFZWrbS1ps0/b0trYhZut
VDU167Il6wSZL7fO2P/Q9dIsaD/1Mn2ey/CNiPUSiqYzgQBYBPNEZIrc34+Jwu7boLGsZm+69U8n
miXsN8zA+kLhuDm/dTX7Jerxr8uBrIyY+zoAV8PLnKe20IPx7Yb5JXRy0dTzRo8ll9bGbNRKPBq4
JNQAtDki0FF+Vy71Yz3V4habOboCZvIEj3K+LVBXOQwU3ivhCirzksoeC+PhNnfGN2TCfj9HAy3S
waAYkrCGkbzcWsqbgrLFkXcfGDM4praBno5sPEQP6ida2QhDmsUbQ8s/JPxcjRUBYBoMFSDPlxct
SB3GWtr1Ps5pbMracSnEJ+gptTtB7OjopyZI6luix3o+9a8jh0al7hnSbze22O+Ym6yihRAzKNp0
2EHTCHWsK1or1k6SzTYYzZFdUnY7XveIJyHddN0TqSwKJ5vx864LdDTLPPq1evzi2n12L6io1mXt
pAdsfPAUQ/9uDTLtYyHtBd8BhnqN5YerhaHDLg10Mg8nde/pCSUcM7ws6ZOcZxt1AeOEmdt3XQn7
MEV33WQyoYi/OsY0rZumHXcg/Kr/TdjwHQBqvFwXWbOLVLMJERZRLmEjmbv0DgAsTQHKl53tuZhu
0sfkDKTIzSL7ibY53WyPD12NMtyMOG1uK1+NV8FMj+gc60t7ZDQ6Z/B33LbxNl1nfzmPNt3Gwq2G
ae1Vybj7lOZ8hNcj7e8JbEh8JXkFcaK56hfxXiUuI1g0wPeos8+rfgLzXQZ6S7jpcJ2oqFxH4VJ+
cRE03jjBIN44My9Na4kaoY0eCpR6EnYL5/OX6zPCNieCO1zvzYIpWm2r6c4S9PvDgk64IyP3U9V4
+O86qTj2cGagYnBCTgZ97Ez/N09UkIDNoNwkC8uUs4uJUsAACAuyr6bVX4m5foQQnK3P8wdaG5ZB
ny+e8m2KJOGj1+hpgEeTPacpuTdL3eObdDsXDfV7JUf3k1l4m8aMbtRgZyvPXzx8mIkqZRI98x+G
HoVh/nTbvNhXIQAbETBufP0j/SGzQKoEiLH2NOZU9vUp9ks+PDCrq3LMUPeSIcV5QFC6eiRsMRGC
hW5sl67AnlAsxwkT3dWCJeQ6zj4xPGiO5zHMYvYApxTmf5zW94WOb9J/wMUiYy7efKmY6G8S/KNW
gVnO+9fv/ve4F9o+GQX73qRMvSwR+85Ajp/Gy94I3b0VM1/UoULMtCPP3agiLt+Ier8lzyhWEgcc
ijL0CznYL1YVXJwYt1cqQVrbzWqGVgWkleP4PItpz5+3Zyg0EF9AcgAa6fUYcOiggjlgdbdKKrH1
ALNoh5G3gsflQXm+OfRWHPabRg3pP//lY/pzmOcGwv/7LJXYZ6E3sMYtlCkA47JCv5XXX/8fLqe3
OEglx6KY+O3YgToBb6oW+9HTqzYob2aDhMptWTvUjm9lkGeF6l+TkYAYR0QB0QmQDemLi7WaqoFp
o8rSfZqm3k2ETQuxUAWbyY12jJpQ4h8FGUlWYe4ATdg7ZN4YHyzLqE5u7QafR7eM7nI0PrEieIfW
+rSVfuevYIbL7cge3dBdaa+LsMGJEGvPVdNVGR5mWC3HQ8l0c+mqXZvx49mgfD27vs9ohx/zHk1f
9AzkxqhttMdwVj9Qw7jp2qiRk3QTD7q+kw7HKR53dCTlViXSRbYoca7AchhMVMS7FkWjNWWbs4cL
yDu0VAZ5y8gxnhHJu4o6ebfAhtQ2i+GmT/mD1DaeLI22s0bZ388karsSHYRNkFKpxZrBKMjo6Agq
2uoZc+pNJUrnCoCqBw5MRPnGL2W1qxo3u+pzNYwgLSpBlyx2ELyXIXxi7sFoYmT4jQ9N575L0szG
crdvr0Ng0rR/FusrPAFn36HF9MZGcy4TdQgfJGFQfakLgeFp061f13KUSBUZBac8CIpQG1czvS5A
jVStyWSbXCq3S/NdI2WF9Nno4gQxwz5t9AeshbsJVeczv0C9C0pxgJNlkX4v7BwLaaCHSCCOPi2l
wd3OBvw0ZDEZhFeq2jFEcNe6K7FD/MR4mOvRvYn0z+d1965L7QcvAG0yTj5IEq/HxE+VkLnyNnyj
4XRZPAD7Y0Oxg8ljCDTmxVInclqeI0W4S9WyV+m8okX0xu69DJ7nSwQgDLEOg/1mXrxgqjCPRkAS
AhjIm02N1eN6UIiuimYBDNKhXDQbxltV0WVSwEWJnagS0mHXYeMiQiVGiAdmim86PmVyy/BLrRsk
SBi7CQvAACM9w/HaY43x/drtRPtGW8u6zO21mg4JMkrBdFa13s3LVTXLskAXrQ52aPYazOXzlq/t
YFOd6wvGXnRsoi7cE+0eaDuIfeH6w8fXo+YZAfcijOl7oEWO/EEI6FcDxH9d2WwbFdjK8He5L1AI
nWV7KF1HUYib7bJSQxYhmWa233DliE+8SPdUT6BOq84OPxgiWDbpEMAIGt1818OxfDRbm1cpW7K7
tNmVMA/fj5gTwrgOeJwuDW6kdH3tjS4/4aKa4LNSYdY5Rt0dxhYNPEajeCP58mye4cUzksCiGe47
DoRKBKAvkr8Z9S9XcoTuenbVzeggbWY2ibWOhnq4Oj9EBBHvzhyT4KZN+QMGj/E6Wsxlg11yvl5I
wTYOvYi1k8bJIUpSbT6f43UBngsWrv2M0X17MAboUH0I3z1LnHvMMp1to7LhallSqLDSVyAAFnTt
p2Bgqg231UNSTMtjbrH0WUD41HrGXhm7skFAWGliO7zznVCyPU38y13jD0As0uT9bOC56MdjcTcv
zadF5Q5BqL/yxp6bdRHYS2Q63NpZ0D0adfXj9SXj/HbS8jppwoOpDGgFI8b4csk0UYRADXXTLhGK
3klvqDUGqDdZMn5AszmGreqit9shyZj5c7y26Xitc68JDwIK68rI6F4J5ssQl9lmeTWk19DczW9y
zgPGy9Fyza/4NwO+q0yE3epAI6lf8dL9vTCH70veRNdUeeba7IDsecis7qSNaVCpbLU2/PpTX8z9
bpiMh5KG9EYs6q3M5lIqNCRmUHOzYxF9ZAOfFXd/SW3yrJsRNS28nTVweIdwFL7a08gQjBuPOUHR
v+/rsNt3I2ZqjlHCcV9kijFTF6KJkTWbPI21k3JdfswQrGKUwLYTsLlxAvNyY2ePDQvTT4yNAhy3
MRVrBPnrfG1lYb7uzdDaziiIT3OKRaftfhgH59E1rGI1R8GHOM1+UOtgocV86rrsjOCQANq4xTsg
vOvIJ7dpgZV3NBSU41XabEpMfvY+vYG9y8hvx2CShT5wSczrnO3ri+dPa4fJhUvTm7jzW1I4T1nK
jJK1A/XtGbZBeKf3iurxBUOUbnijjRv8dnJhLuI5INTo5NrIeFwkyGVPr8rsOyIscKoNWr7RI8Cy
9LpZKmuNX/i0w0I4P6V+l17boSLgKdIva+SlT4Mkgw+RDWOa+HmI4psx8W/jxWt3FiifyUfoM683
cmZfDzmQV/7uuiEn3BgR61LlHB/2yG4mbX+uW7nc2zVgPkvi0WDVdXvoHfZAQ1F4k7cm/uWJk+xS
IPEfx6FQ7xn4xxvLTof7Bp/stWuD0xCuRYvLX+Q2MShtAHNFRyay9x38mEMkZiLHEvUIDVTBjYJd
cTuahOW2EWLX6tthYlroRHz46M2srXbgmDFSNDPXnh3ku1rijiXxvz3ZZm1ir1yZX504KIDIWIyz
07Q2dpEqaTsj7riTvMhVGlj+NqUXRAbKhljeyAr+sFq00alzxqPrU/JlpGl9vxBlAio2VIByco/3
p5BpWS+1W28Cjw3xd1cnU0UQ6aRYFOreZZXuiwpk8FJ7u6IsSUAadgOwOTwZ8yw8pIsn39gN1u+J
JWXbmVZLwcswL7pIQULgbdJOEncHjsnZZgiO0GAJ/ZusZBBVLWZ6PUVutk1aHyn2Xh1US7jw0enY
1lj1rYMR13R3DOL1ROWMeAgHlTnwqVF9VYASrG7fSB4l82v1vmwJ116lD3cvVpw8WXHnVfW3WYeR
pPJiENcsOt8qvoFflFt8awjvdWYgkuZYDxBi2+Pih7fFkIodU4ZnCed7s4zeswgKRO65d8Pspt0c
xss1fS17a/UTjZVaPSCRQ6QyiPzno7URpFoqTNJHEGXONioB3FuAfMGIsJuiiFMyZQle12lhXo+d
2+1rX5+mpQAM3pCX4JrIUVv2+JjovTrbxA9V9vNTtRDfxMA6XyRLXCjVHkAWc/YIwm6L7t6nLBPo
plScmYXihpogwFeg4qyPjJQpwAzX/q8/LVjvsFaNHZoLVPM1yJBNb2NyNgEtWM361M1Tuz26mQjY
LISLzBrJB7pp4SVO7THtzPDWkgzwe8zWjlGXhIc2YIdWKX8F3x9MB+IIjn8N+BvMd7dXSatOmQWK
qOrimnOBxzQ8Kz8NxrJgE49OWY/5MmLycXS0y4x3V3jhvlj8j/4cfC/B665F4dpHdudwA6fG2RLB
WMXeHO4HWZCyZKTR5+0e+bw+kKZcweAUaFBvW6eYDa7TyOko2vkc5931f433qS/0P4a7/28YdVno
g1n+67Ym/6X66tt3VDn/cae+/fjZpr8yOf/9A/+icgb/RFHMpt3voKmAWj/J1V9iZJGFaxdRAtvc
SzWy6J+cp0h20nSH+8l453+YnIh2MskNNbsYIAzDc/vvqJFRWFxk0kAgwJfDGIUIhuraJbdaJmUz
ZxxKR5VlSX7ol1a8C1qv7zZO3HfzCuW8Ij+UOD32q6BReD5nYdXLTR2k9pG+WL5FSFkdl7Ty/FvL
hCGzGrBh6ldgSrIvCHojuJSEMGi2RqmSq6X2Ibp4yja39POc5FR7XpmhgzA3X/zCTKtNbWUYdXCa
J9TRiD+FW/idwad2JKRaXYCGTtgMW3MebWBuofvULLNA4Z0ShHltXXXFprKTcFkvYzTeo+CZZ4ep
pkextidztg9yQi5ZAQsDeTxAtLhzbIm8jNs0UD9mD2frCpXbe/I87EaFHAIXbcSx8dbSkIiQOcgD
P6eZWS/AJUJ2uusa7vsqjV34aHGZPEr4W2BKwnj+7vhGd9fkKPKDuKz6dZg3SCU5yh2+pXk7HT0k
UelrNX72BdxHe1Cxy8E91qbJnMBXWG/a/tGyOlDNFTnrCvCq7a8cyAoPnW/Pj4yPwm5VLXbcMUGu
0QsNA8oFZ1GCrtOcl9620aKodmmNt+O0GNdOWQBJXNxsOTkZao4fbM4odHncWSY7lESc6PPQVfI4
S7TltkWEltB6qRJb7ufJMupiVSRwpI+ybT3zXajfi9jKxcE/IYcHET600EN0PsJ0N4ae+cjsEy7l
POiXlR77LsUItGrGLT/jXuMjJw+hCMv5nQWJCI1TPEusd0kQMnk2AsSr8jGXGyvWfmm9Ob3vMvM5
n+W8rQQwqpE4h+gd3WF6SPZKScuGq4P3+DDHy4mjOV1hKupBfXC7XSasGfQgAHW0CvwRDG7UBx9o
rB7HxrBgNmq3LqPAQdTN4w+kVsnJKYbPKEZS2fhMQVkfAPq8H1aJDO2gcNFMqr2Bma+e7dhrjWHe
OjTwbhPbqa58ls370mmMoz8NAi1YfDYRsw/3kI00Fbq56n3ABonhrhHMFaslDm8pUNDfcNGMqIYS
C4kUKUDbdNMf7tAW+9Ctys9Z51WnwRHeoR80iSqqkQOI0n7lYdX5ToRNsEW4q34fKLc+MUdlPi+8
ZYvIpakBZWb8MSmmD6JDQm3uRHKce3S+ZRCoq8ZPgRhEqKwHk2Os3DqHtZ07HySOsiRMCWTcxI53
flygoVSN6IW6uHwMMa0Eq+tvJfNhCY6dTkuOa8FDkTZ3Q6NAtpjLuMJPG4hunnbv4rRoyVLm7r+Z
O6/d6LUzTd/LnLPBtBiAmT5gFSuqgqRSPCEUfjFnLqarn4fqgdvbBtzdZwMYNra3t1V/iVzr+97I
rIKiS+T0Twuda6yhirN/YEul/8hWHoui+iNlfE3RV9BJjD0l67puVSStfek63rLQURDq8XfgttPi
FTS34jAyqGrh+Z/IRRB58J1pZHfJwr1y06p/miTmSS+rY2XZElDT6jDNEbXWpOOPXXRHCYG6qgeF
33xl5JRCp7OCMJgI20zSkxsInNwGaYNGzPJBaVJ7l0SKjSksJzxUL8fVYNtocScxvyp87g09IzN7
mVlvadgbTk6Uogh3lOERffGj1QXJISMRGU9G1rMdNrbvmKPp07lX3Ddt3PqanYUeVPB8RrckTRLL
RrGjy9nAyqf0kgRXwqZWpkll2kTfSE/nij49x0lXepMRDGeXSGLfSu3UdyMhvrq6+alqw1irkhLQ
0QqMTaQNrs9SH6+Ii8uvRPdaOO5a/TCiDP0sq6LYqOyu/OEJ+7uanRoiziVJiieBk7BDyuOLqXZe
BupKvyn1RYr8XwzvvyTe3+M86DjgKFnL4YCXteEfcMqybOqI3uFo7+ht360pZ8qtdReX06XFY/I0
lJ3JGVfiLBgM2hC8gtCMW1ErE+hJpn3LkEySO1BWTfPTTqBh0In4wRzFbx/xvsY1NagDmVyRHbBA
Q/DmRLSRK78XMneGy4h/n+StdB6eW8tIHyZcSEYGvGv14ljFs3OaZ5leIyfiiKqrgHLExDBItdO7
9hNd9DKYRdZLSjEsCtl0QtJn41f2iO5w8H3Y2BTcIG33w2BPW8n5fpxDZdxkEfaT2ejHHcy7eyB6
fvAcndnOyHCQAS90z0StVGuL2DIs8ADpjLKk+HTMIZDQIkHUzb3VOSVIPFLGlTUQoLRzLMqekRNp
rKNbRKzktoxY73aNSh/0nW3StUwhfejBuCl/UHhNh7bVCeANy3peNcQ5P6RkHPtj2YlLPrXGtTWi
8BHHtz+T8L+JY6KutGJeLLKJVl5yNxf0QivOBYmseCmUyiAv26lJjqshx7uipToCwrRSaaUyiM+P
hFOsWhyiyXTs3e6j7LStjHAo6GDy5yr57Hu2aEVz7kqN/UYAdK5hpNqHSE3xjZV8ccwbq0Kq6KpA
1mluV2X8wbiOhpu8SU/a/aFTigd9kPE5CvII8bdhXfs42tmAs3uulRQMysqeG5uaLI8svno/25Ld
Y6ra3q9CTDFYCYrXZEJooOrV5zhEYtU0Jn6lGQuuxrN5qe1ae4xD8WUjVXgoI948VCzy3HaiDTeK
E7XKymFhm/eO1EzCXfvQLb6zyaxewYPByJzUdsnYMXtxruaq1zmUhRhf3HnUKNehDftjQqfz1gVs
WY9UtusFn8+up5UFrfGmGWF0dqrOOMdRYX0OSWAvFh/YhJB8yU9WvRaZu9UPq0LrxJb24BhSx8aw
mSfWo2Eo3ZeB+sJLdTd/1ItRRr4NQbsVhJ+uslqKEyGzzUmW0u3haovwXeRO+KCanXnKEs4bSrK5
5+UQri0yr33LUpxbDdLhmbFBVwYuKxrZwjHUdoNaZ4eYqjbsc7hqVK/NlPRhKOphWEFz0cKtNmms
sgAt2jiTgaP1OewqCieIil+HnFgoJ5tZ1it40/Ccd6HL16knXPt0jfswyPUDMeX5y4In/5GlJXeM
Xh0JlAYlKkZV0yyNXybnRZDFrpooMz6MDmY7f4Czf7YEno10So1zaeb9Q5i47iuVNdotzk3wkiYI
H2aFoknPUJvikY+R3rR55rdbx1xNs5mpB8sZ+mNUmwKDuNPad1Ga9cWqcWvhE4rR+nqjv004pQ4A
L7gn1ClN3rIutl+nYPjpK6moK03r+52mFht9irm6BpGIbZpO4zvarCYiFRZZFEFTTv6Bt7V/1KrM
fA1Gm/xRPe+Dygtb3aFPFgPbDmTIeJ9TfMRcSsobyb7JQ6wF7kfV1uNNMxfoCtA9BcLXadFlCieX
LVH7jOo6WlIpdUjlJjZm60taZrKrFNmBX4GXj76QqeReLQGNiTrvpnfVaRTqSokF8IogMVyPzqj0
qJhJfTKlPaxVQl2/1bzBd6B2rfPCxt50CPd0xTiWqR6yaehq+KrLYSLbshrjfFUpDcxox2XxBn6U
P4rBSfdDgPXMDNEs4sMxAcHMoCCYwmUS84bebQ8cegS9qBN9G+syqPPJE+Ogv3d2NaW70Ryizykp
WZrzIOtPVTJ3Xq0HmGiy1G7no8OMrdIhGx6nkeNlg+rE/g4jtP5BbMlDlOhNuoWXmp+xjemVr3Xk
aYpwVJ4KCkiunVU4n+WodY84+gAZl0eS5Sml+6NxQ15CGsEAH52aZ2TVgE3dYZgh2gqvMvvPmA/E
0nchbWXA1uEV68B869RYuUzJyGFvqxGSuXHOlJ9OmgV2slwnVr5tVXGe3RgQD1KzP9UY3d7myDAo
g8dzTtCBXv8hVTTdazX9LqsSovm1GEGuqZSyQ/JWTPNHj5d6LMC62s87MufXdWyPfkCgZu81SVo/
a6gdB0rPxtxHSELXOZfo4LupM0VMB+0I1xfN3bFtEvcCWOk+8P0U56HTmDqttnnL60GjeMEoSGtk
eKmIua2rt7wrO5plnE42VOrEwtfCYdw3VOlujZwTYJ0I4JNVgliFgpRqLC+YvuOLjPVwVytG63iD
GRq7piDPbkUxXQ+xm6SdvopiE1yoaDr3GdMYMdaitJ80IrU+2WOM0qNj0DS9upgoQciDuDk30zgB
tHV4sKZmeNVV9bFXuvqW91Q3+hLtz4VkB7W8Uu0Y7fpZFx9Yf23+1pR155g0/H0tBrLHRr19lbXR
/oyh6pDyP5TOY6ni2prNJHyehoybKO3taE8qZ4SK1naiY4g5Ld0wCCunsETXvJGVUuwjECYoAyN6
anpLP0yF0TWHlByKhEg2ggy9sHGGMwHSzcV2sDVkhImTWZCPHk6Adm9bvfNGrM742DBujWsN+/Ge
VckKN9poZHs0+Hmz6eopX8+SpxPv41Tal1qDf1ljI1BXs9NPW7UejI+ePs09iQTlWaVzxhtce8Jm
1JgDiclmxQQWAU6Gnlsr41VpyN+OMzF82UbYfYdVpiDZSpy8wXjYLxMr58QH62yPeanoKEcVVr3u
C0UHgBCDzViUTM8h3QGax1fs0kzkVgm7NE1FBIv2KeNvzYtNe0U/G2vFdup9MsvuZoos0ciEoN8e
tZNBwjYNnpOHBKQ+OYo5biHxFv+4HF+rkmZBukNyi2e4Wc7NKlYngzY9zqO6g7K6EsTJFNCzCcfb
sTYn5gu7nMm9YCpCCKOXPuptWg/UzJ29qu7Cr7mZjWPrOKnqYzOZMRnmYUq1EMzjEd1VrXrGQH7w
YaClINwTetNEPt7R6b1yGdtUmeRPY+3Wf0Q6OHtVcYsXIdLo2S16OXm9TiHFoCravtQAVC1rlPup
iJzVjOvyJ9WGiY0Y2STm17zIxlXdOj0FQUGL1FAoW66keg3HwB6nsozlus2aHwKmIBCzxZeJVn7x
9VXiNrsayj+dJTJ0rYONrmEzZRBJRILMj/04qecMdGatK2npuUE7EqU+JuVDa7nBVzlTZxeLpn7M
1HHizm5buZFlp7Avdkb8MANKQZRH2YvpKv05I/P7VlZ2gR5sxgbFd61eYhuFnVtUwanNVHHoeeFv
U8fo3yjZtAvtkYSpmMKt0rGLi9AbceOxZxJOzIMGqr0ftaB7DbvePOaWNh/tWUNBKgy5R51PDkNn
FFs9rb3WFo/M5M09su36SNAC+h9plLvUiq03ld/cZ2AkJDH3qtj0sdmsg1lL7ypZxNfWnlbAVKaH
jjkPvUEHZ2gDPfxxzOgpQPS3M0Xl501moLJzabJjz/QnQzR3ZBG8uT35JHXaDls3chsfygjXvoXe
CNj8xeXAAl6uhr1o4y+qioMFrSBsrUkqej6IDRG6POgRfd3EzGbHwEnI1i6ieBVqY/aOGrg4zWZN
14jBisDt0O4QsHQ7OFzChzuyoPnztBs7NuljIW+r5PL812vcP6kiKGFApA4db2omgXnWP7D1Csdv
MXCQ7PU+1hk7lynNMcrwXA2FOawEj9C0QomgeRVp05t0kvaeYLngv3S8/RPRjc7cQt61YKv8h/GP
ZaWNDDCUknC9nxprm/Rt9wk0PpAN1Jtue3GcQrOuqYpd3icIZXjop5L9j8SJDnq25/2OzP6ZUjUB
TjZR40ltqAt+ZkQirz8osbHNtdkq4qXGhXuFVOebt4zs1alJPjZ+Abl86LVPuxgLWnrYGl+AP8ih
7jrjUe8H5auJAgZv6YRPtmrIpQsijF+72FjMcL15ctUYUIDAhRenCXlQ4mi8J2iekk+QWJfCGJUy
3Yg2VGMqDQYJI7wM2G5XHXKlB9vOpyPaYuMks5DrsBDZxhizV90o1ftODw/2oDkrfQEt7QW+rH6R
TJwhnJAKeu/IB3IVD9Uv7Bn+QqCIvdSf6hcY1c3a/kb87lxHkTYPczhrLwgJ69qrCaIB/loG9rET
knyx0IlJbM7GJ3J6eE6z3+le+5303d+pn8B5NgCaRacvUTScnTBgl+R3T9C60tgFWAO8Dq+kjpRs
WSdAk6wPJAyZJ1LX2SuB/gRBIvfV2ISo4kFC03kSnpK45aJXYGdBi8D64iybTL7sNJjs+ctlzyFu
tIt8Z+Z+TsqJ7A5tYCNadiNn2ZIiwmTXTZWLrV43YJQLIrriNFE+s98la1z2LWKbrU932cH0ZRub
FODtmpSKaQWWw7pWuZE+P1qiTd+EnlUfZHhTNFuQRzSS5FrzJYkyE+duZr/cDkTioxZ06+q1CSqr
+FYiS8Z+JGT40xnYlq7/+n3V/8lLA9xCYiH2QB1+QqNo+K8srSyspCezQu5jZq1TpYwh4TVxvW4b
I90Xuersa6fJh1Ugy8Afm/LiZGVwF40lnlXFGnDAdmENmjYr4RoEoKi8gv6hB7aeslib4KSvUNZV
74WxUT+aAzEPlU6iezjFA67c8YLQ8DLglSZKYND6Ow1DXQehMAZf6D6NDcGS1t6K6vSepLURSJ9C
KcPSHinhRsoYXImow5wdhAgyjGCjqeEj77hxxiV8YjHDnq2Yas+Jp5JzDF4nubJrx9pFcS3I3LAY
ULk71F1f2dmV1iX1apQaWr7SFOEN6VmxDYnd8QntpuCKyP8B7I1MrDOHS311mpZAFiaZjiaGimQZ
zlW398WYpYe5VukEkxqJDizgVfFtyxbZRupIBknRXXW3p8UgHIJ1aST9oi3KaKAc8V1rmR28RbAK
b6MgE3Y15CU9sF0abWm/VCjnCkwbziLpqAeZwl3hCF4500KFOIkGU8NE29J3Hri0omTUc2zZhAsa
tVt3WoSeiAw9W/buzlKb4D7o3egzJ/cH3WUY+0FQKA8jyAhIQUwcdyz6Q5agjNDVWDsDLc48lQyd
WULdFiJZ5d0lC87n/66DH3aKhzROHB2ct6qf1CngDcBm6vV0dJB8XfXRxpKSK20W/WbCafbW61p8
o49Xf64TxI/4b9VoVfY1R9M4JPdz2y2dB6ZxFJxSK9O2O5+qjQo3CAEmdqQlT4XaYohJIxfVO/ZS
8xAbqpmxxFjBHRYpdWvZkcp77SbGXZWXj647EG+TAVBYvzcR4i7z3lKa8DTMY5YD76gy8BIss861
SAPCAquFRNJ++SStG+W8Cn55JnWhnBpQ3RlOe2GigjaDlXLjKSFgqdA/tV/WyoW/0n+ZrBapywYC
2n7OfpmugkR+2mriYYlw4PQu1pxu1VsIuhfvDGRL4Rljsqb6yz32bcphbNi+dadmEIBtSxZC26ua
kX9nMzCsE6l1zb7JSL4bBqHtUVV1zNW1yXIt3RmoiWyqNNkljkWH2wSAIdZNrJVHQxrME/Uvpjsu
8C55/q+1UyHtpSePoLBXYsp5QfQEZsiOD3Uwo+DvXXtTaaVcPjUxLzClxzGCImqVUuyqdGo//vVB
Jf6RuyQC0MGYZJok4iJcW7jNvxNtqSDzKZCovXdDwiPcS502d1V///tD/kcc93+vYetW5vzrf/+F
1P73v/7l/z8cN9JnlCl/63X4p9ziUzyXzcdfOrYWZvs//rG/hRSbOJxx+6L9svnl/D9am4TiRV3N
q4c3UUdI8reEYt38N9qvsPupKiIZiqa5WNoS3u///C9d+zdUq5RNkpnNr9Im0vx/0rLFz/iLQFSQ
pooyFPcGlLbgg//10Ri1diZdKu93RW+WDAVFtR1EnW+bRDsbSG72Md11BGuzGIfyjx5YwSkUIFV/
95Vd/4Oo+PvuLPfXzPf3BMbyOeDwsddiiDaBzv76OQw3VEqtDGjjSdts19naxqRnrpxXlkR+dYQB
ra1rQFSXjJe0PABiTw+DU8IM4tWNcZM1kXr6buZeiM+GWhyNBHtk7HSC9QlPlmUfK61i40BHSuPv
/SQnnCp0iwiCguB6ngby7ididceg8JO8vY7peBlSIi0M0ChEwkELOJqHFyWpcpKc05uMDapzjfDD
tNNyrYJ+rwXnYkUeXAP4zw9aSwcxPMfUa9tWN2NC0BpM5FgaV0L9l2jTNPL4YluYkNfIgiwMy1nd
QCB65Wjd9UWubUQUriadXttyY9UGiY4vSjqDryaPpAQfSI3c6YZ9KOCLsSdACdaP4yjeyKm1vWlM
z2iwKfUMe7EazdLZGSJ+wWt2bpz5YI3iTxnFO0d9p3XnCeQaTss+NaJ5sAJtS/WCD+qxHnS99nSb
j0G4ymqSqb8EEZZZ/x3XhoUMwtDwM1g/ujsH+1boYDOzkXMiIn0Y7fnIjHBSHCxXJK5k3qDpzPfW
Y56F+0Z9aAubsneD4nZzeKQ184o2DdwQtOpmuCmRRZNPgE9nDYc6MZ5yQjA8VTHBxB7rYvzpc2c/
turbTCLGhH3Li4bqlZT4Dd3gR702BIp6IISg9DvbfeLx8lJBTik7Arr4nBm79ye1P4dK8BpU87G3
jAeU2qiybfmkGSijtO8yz8+t2h9lPwKry3BdjvC0sAGojvVilQbMHWPH7titdBMhs8qaYPNo1pH1
BEWmegQ4f5fg38Rp5+uypQpcJ1AlT7ovtaOXJlApsgDWAPz0gbXZ8KKXJNduZv5iN818SXA4vfRz
fmxT8z4Y+37rTAtuRHXX3tStNXa9IwGZa6sudl2Uvloy+JMq5WmaL5V4as0cr2WtxMSjqvfcpAyd
w7yvwuTF1IoBcrxc90l0nQP7rh/rNRknm14YF3O6b5zqhON01TYR96w5lXfsfTvKXsO1tABrxyDz
w6TjrkXr3AGT4CEV6c6Jrn2o3RUlw4C7bwsKhIif9jgOrvGS9RoG40tFfPJMaUkwx34yFLCEitac
aldreHPSDMGe4U9UjbUOSa6Zs6nTK5T/aqi0e9rW1lppbjJqMQEIdz21I00XDR4G0BdqZ1amkm15
NOy1SqzN3iilCYunylXQW+dSaodItxl856e418W6lvYbyK+9SgFPMf0R2MqQkY8XW2+3hBWtitmx
j5TK+WjKv6zevGoBWJoZ6hdXlYNXQ+/FbrjH3/hepPU+luK7TLV9guAVFxEheHqZb9Ks2IlCHe7g
nhGa2pj6iFl7ABhvV3NAPyl5N36hXRtrXqmtyjcPKReqyt6p4hNx+8MaChp5bdNvzAkCU7HEVTB9
5lmCOqGobsiMtj26mlUsIno02uqzpJDdnKznHOzW4r9Y6wmVnUis6SAvURY2T/bcXIKie5NTXsGV
ywgtoPM8D9OjPUBHjS4Zf92xDAOvz5sbeNplNuq3LhPvOoWzLDN36iTf6il9SSc733YVfw6yKSal
9JsemtOO9YfJVB5ch68nR1AJ4HQAeI9XktREryb1DQFtk+xsZ9gPUOW6bmznpvox0nxbyOTDCfEt
wmeAtEb6qYZ09oq6Glda7fxBnf88CoSCwDM+rOqGUm2YaZNUWYQsqddqxc6Z3Q9dEjhVty7PX6fS
JIRsQU+UJ52NfwmU9XnDzt2kvdRugYUXG4yZy2Kl5u1Hktq8GChQom54Q/98JSvwpgzOndp351lX
e69lfdi2xCrqZbifQ/MPkkvoahpR1yBpdzNfqxIEJ+bCDSKjGKEIWP60KIgVxXRWUYN9vRkD3wCI
4NXbd+gvfEiZa1MhuJqiMCV9QTmZqigIFIu/0WNs2zl7IE2WkFIlvG8zuaXroyEngm8y9RvLPknX
2JezeRhalEPNwYq6VUr42a5EmsBGcbDEmzTSpyBvqdFrtsBHHiraVV1yCKllsOmiYFs11roq36O2
OOeu/dI32n7M3HWXmceh7XZDXwGVFmsNDT3Mo7VX4xH5V9J5qf1YB8OatEY6mc912b1MoPXDkO1I
vCTfV3uVWXfRhx61vxt6truNu4B4yDbYzUq0iM6bmxV0H03KDhGZY3qwmheHmmKRga4SgFy4+m7I
JL1rdyPYNQqhmKi65l6ZjdM0cnJVo+W5Ca+8IuyrGKM/1XQMe9svbfUSjT+0MZ6xuKE3QeuuGj+o
TKHkqO+TmXZkfiP+LP6J9eI7Cs2LYXVnw2p2cRrekND5qoxCTzTuq5MQ5Ch/OtSmdNpeZ3bMVjRn
UY+8hOUrr8hzPYmDnb33Dul2ffEe4hFs0+ROqvJio3Y1CEzZ6kF0wv/yQtwsKpYSSGk8S+Jvp4qG
a5G/56GSUfdnfrp2fe6lvivH6cSWma+7xFglrrbLjRbfgPyQs3wlBtTPUG1g0QNJLz5zYzpGCgGA
gVfQIuiIkqZD4ndbkoPyjALiBPInfqR60+BQiPBGcixLDE1djttL+t2YbwfjNCfOftCzi+rGf3qn
RzMVxnAE3J8lKPqIyIWqmChVT6Rjwjy69V1opvdNYRGNaT3IHAwIhVqcd2/Rqcju9PYpIR7AqJVN
1SboFNodouHSM3p8zLEN6jTrfhHxx0quuKsKaW+zcdhBSn4TznGMYkjImi+w0e/MXGcJHTP69xaF
eHY0R2yUtvXcjM0nnXyB35lmTuhtRKyZgpQq7ebVuJAEFAzcD+D0KytqiXZTVQabEpqi7I0Vkb6H
NMlWkGDEgJjiWkXWG4TKlx7IF5oOtgQi5Z5tNs9NSqHikDwnduOT0rmyqN0MR4aZ+dZDmksOXoKx
V4bIH+qKeJqg3U6a8O1eWenhqR8EEeHReAfySQ1DuXKHnyzKV8QmdDUpiLhjgy6+JDCy8bS2Mns1
PoxztClb8r6KSw0dvlbw0UMbRtwfMdpz+SC5itYTmyp15LP7FNr6SzioD7FUOQ+cbcw2GqdbcPCd
jM3rjKWxauTdqOb3vXbNDR4gwknn+F1RI2+sabouJeKA5HMYup016Hdx1YREeI6H0W0JiKutH7d4
jng3p5JadORfCbGFgcsigeog7uhupeI6c24W2R2O2X3EpBKqqivXIlCBG5gfpGK/pB2E4lQ/13NI
GrSyl/qRQBpCSDmyTEbSMbAOdW49avmtF35YTsDgsk1rMp5ti8DsPH8KEcKtip48QBfns6TQltGy
nek/LFKq3y3SQkVEsyXpAXsY8IYZsnG7VwjH8rnuqKycYyFJTuumn6IDuXATpOtNavTf/VCmPpkh
6laIhN1htgKEHBKAxRGjjyBX/bKKLLp3jNw6qnUoQkRyVr5z9Sp9LnGU+pmWuw/Ay3yTShe950zD
uwwPMMAn2na/I2vxQAKPLldIcyIf4o0XNov32gJOoU5U//AjnS+MKPMnhJu6y8XUEQyZaI8l1Uwb
zQ67ixMRoaMWSX5UFbt5ZN9jPmYwG72+Kdp7Gs2Nm8MnXiluzd2SRMNe1drqWPYmDLYC+WU3IXfc
rIzrYNKcfYjOBHKL0A3wr6o+FWUS+tw1EM/Q6nuFhNGTXtjBAZdVe3BRCxEJrbB6jY3L9w7KdOqw
j68KfTqVjk5meTipySO2MPtZbVQQ87KANwJm2oTWHF7McS7fKJJwz2BH9ROLDu+P04b5p5NY8lXJ
DDEg3YySi9l34ibcJHpwDXW6bwe3OmsDYHtvJuOlKd3oOJnPPWpWKLxm687d+BBA+j0ppjn1XhFP
+ptAW7gZa7pmTVCr+6a3JUnFs31HhWn3HonY3uWldLCsjeNn0szFVWZDdxUEhV8yqSX7PCa5H1n6
4syLIxpvHblBNQtlylzvWUaFHqGfURQEurYqzSSHrQqrbb4s2Gjb6A+NQoS4aTZgDIESeTGg11Yj
x9N7IjL9XI3SQExia0f0mGiVEBZjmIuv5fg+RpKuXJRUfZdNF0hnbtIqn/rHlidz0uJ1O+Xbkr64
taznLzhdgNehlaRbBP0tUKwnp5gvVp2+WfHCtOX7iCQLc6Yx1ewQl1vjsY4TH27W8oUtVogVwrWp
uMgXuX9V+3VQ6n0/0f2OHuvbyrjM9OTDJEkB7dAK7/CmI2mGbN+Bi8EUI/g9RXlnJzTVbRE0L6Ne
3vTC3Meqc85MuTa1eRUlBp9YbvsU71XzrGmd61dK+4p1NPKmMGaizK1bb/ZPgaJdqgmNGYijF0fp
3TQq+9CZcCGG/b7SanMtKCLc5cXinp71y+SgF9HNjLrkwnfrCFB7aEkIYChv49iTurnpm25TtIq+
rvxWviCi87qyPbqRg8jX2YRZ8VMV7dO/BjuMX/PWf4IdGMkFjA6STYukLfxW7j+ALvBkTEzCGnZW
9sKaHx/nUY6XcYABxso4HVSrqM9jGc73nE/Rw0A78k0jvvXSBLU1eK1V9K8OUtRP+/dVSZe3Zlre
H7G8SdHyTqXL2wWLUB+13zdueffKOUwfB4OWVa/k1ZTLO+osbysxNfMhW97g4PdlHkOjpQcmVQ5h
wLs+LW+9s7z/pI6Hfk4h9yl3W3dLXiwSKHqbnH0SpNO60Bqy7wEiN/CEIZJ8ThkaEYZ9GHDyqB1E
ZW0Oxs0WE+eS1jKfh1HUPapJ2T6qZZsfyRlBZD033SWc2cbc5aTTAwxhJD+pfF2cg2I5EZWw1P7o
yynZTF28jyoI9aqOfEgtDlO5nKsKwhI//z1sqbShkT11oveiYs6o1Ml9MJPU9SNDT59hcFgYwH0B
UKLBOtbTEN2bbql9Ba4y+jnhREaVcMn/XgKlTLXtsNwM7XJHBMttUS73RhK704+63CXNcquA55TP
2nLTEOTApcNvs9yHtBP4UCj5l7PcTu1yT2EzjPbjWN6Vyx0WLbcZ4vmnOECo4zlzO38DEh6RPLh0
S+ta+zw0ufrqTLIj9yTO9JdJ2IBaudSnt4FaDd4aA7K6CgGgUp5NX1p9Sbw5A5xOWpGHcPpst1lx
Jr0jJqlBj84VADUCqHpTsbTtLCVyUcQ3dvBh5oLiFOxvM8sNMtMNfgYbLUr3+xONhj3fzlHrcU8r
dsHDVET0QZdldi2LxPpwal0/5gmHxNYaHPZVOGcmBYy5xeCRdZp+Gmp13xsZzr5K1UW9iZBbVw3b
wkpC1wB45YREJSjQPFVUo4+g6CFi29wNivnWFEA5Uu3ZJGbmypnHd8KZwGUz+q4S3JKkvmVdlPvK
kDRrtB45KruC4CEW9j8sMS+Ko4qTIV3XbyvzCXUrE5CiG76KUIYTFoEIcq/swRks5c6hdNDnoqcx
R03jm61SM2h1bXKILOsWa8kNKWN0TGo33RU2Y7bM1UNoaHTr9NEIdzP2DD0dKe5krr/H+H92jhb/
TJNC5XM9R0zFqfR1bbqjRV31hpz/+cCDgXyrfxVSKw8FluxNYY0mDvJS39ZT1qy13s29dja3TlQS
ilkM9K9TZrIBTAVWUZsPOKx75kLdU60R7kMbnqpyfCYdpXgclIp1zMmirSll75AYnRJpZVfROktJ
8qGnDKpI0bStkVjVxkElirKubze9zrtWOuCaAXpyTwkn2wvH9n0oens/aSmMx1y8C4226lxgbchs
3OC5a+AKgIbgsYpbr87zcdVoizi+wl6AD4UoObpPaDkXSENCN2e0qFTW+asgcJWiLSamKWLlj5yg
fC6Djt/wxNZK8rW1at3+xj8n9qEhMq5dwuueWscqjuivg71euerCqcSnMrC/NYKKblSCzzwFHChK
jp64z37obr1hACT+QItxk1Dafq5KjJWlxXf3f9k7k+a4jTWL/pfeQwFkApnAontRc5FFsjhT3CBI
kcI8z/j1fSD7hWW9qb3riO6dbYlmkVXI/IZ7z0298AO8lLNKyQ5ZJVWTbagKsKdM0fs0iZch/Yr8
/wpYHZ8Iwg6mXJ9nqyA7Pcm/q2a+m6xCUQp3QMnTFuy74WpBuEEUXDe16Dcy5nC0TBqPPne5rPCv
ooEU5iPk1Ibu1fo2FqbcOlX8qKHMsv/3tgaWazrjEtFFYIWnQMvLSQ+oWyXP11hzSRAjGG0YSF8T
8EfmeaeL6hC1BBiEwggPwRDML7G7NJmBnHbzCN95NTZwwdZx28+vfpRkeH9g5+guNdYsdMWNbuPy
LQ4neQwMZV6Ggxcf09ZubvxCt+ce5vYZjfX47nP+XFqi0odxqaj6pbbCH9Zdy6XeGn5UXksNJgz4
n2j8jI3/ozrjxLUf3aVkq5fireM3/uPi/Usbqn+8e/rZXvlf/7Ml1v6zWIIrmz/vrf43r7HwRv7z
NdZDHZVdzV7xM29hOBw//vM/fl9j8WW/r7HEFykFgiAcmgsO+qdNlvWF3REgKJzNarFosq7KCyav
rKvsL46zrKsArNguQfI/bbLEFw+7p+060hVLuJ/7VzZZLHFZEf1RVWmXckqhEUA+pZA9euby5z9t
Ocs8MYzJtjoieO2JQSONODO7Q9YjCiYQ5wWlWLDqUdCtkZNM+7loP0chnuFEvWQ6Ne/8CmuLUw0f
LfJx4k6yZRCiuo1hWAZI1yq/T0qzuVzw6ssBmG9mTMmYreNbVRoYa0hJOlBLcpQG5TVJHtB7oimk
NHZeCooT9vfTXUFLl5VE6k4gntIA5W1OGBj5EsYHYly8dEBfncKoXtG2MXBin3TgJMbSSPAh3zXo
XyPWYxj1Txi4e+TDA1kemQrObDG8DbFhxtasaLwtGecngprkZRvb80VplOoU5j5UsFLb2YDGc3ry
PWZbUfI2AMlLGCwSi9tO0GdBWGzpffxNi+1+HXaMCWNhd3ekde2TOrFPpbLGo0icbjf7U7HBO4Sy
orIQAKOOmEb2N47Vfbc677qZArW1aqlv0byZa68Mt2HVJPupgfiHwDu/0nFBktrY+O+SEepBUXZc
oGkoN4A/BPI/Tx+T2iovzDRQ762aXuvRC9eSEnRBzzeLTo9/ymX53inPuPJVbx6RKahVhMpjM6eO
fTUndbdzsuIzttphTxOsb2ozBlUWgC3pYgsBpFm4jEo1trKQpJPBq2qmDqO4c6m+ypLkoQKgGUqb
LnmRxfRiu2VIxsOEdnG5rbPGPNnL/V0WdoiNnjs94VKJcjc56MJ79ZZ7X/X8dSB+U7gbLLQYPQVC
sVQK/C0CWnAMX0Y6fWAh8aCXusJdKowsGKOHxie1K9HgJRtoMWD9qElQhbiUidQpc+LJ7bDULi1F
jJag2DWz6Ksurp75vHqf41LzmEv1M4ui3mRLRdSXDe2gD2R73KpiJBGC4ileqqh+qadY3CyRJPbX
NB/NQ9w2d9ZSfSVLHaZi2ewyhKlPZtATEqdc1H/eA/Ef51zSbtLx0J6G2HCbnrHSyusJJx3HZlnW
YiGu9xnE1mPusw+iUqvLs61GzACOYWzCOklvPGLUUBCx4CJ0vdxh86lvMNv1F35gR+BcYHClYchx
5jX7uS2vFvh8yHy5RujCoOKuiW13T1WL49NpnqygGe8xWDGiYt1+sNoAx42tyIuJxT6J+uwpjZNo
zVvVbwdn6pljxy3q487wvzJz77d+IqpT1DY4sqdBocXFscpt7dRi0/n1Z1HW+Sag7GUaSf+lMnu8
ZRDobcqRvAX0JXLdNuqCgFF5g2YItqrvIOr3huh2sFJK9RJNkxnPYH4MNX9rJ49LGouoGnTBajZu
k1U5W7d+0hKMREezVEHFjlA1RM+Nz8xaBeEmaQc0eapk1C/CJRY7SxEqTYapNt5gdM9T46nHLuj0
oXIn/xmUOOADE+yJ06OHj2wE9TGuqMtKO9EjmVXMcYtF7h06s7hLZ8u4xss1U8Sl8TPqnGczpGsu
1IRhJsAM1Iznsu3FJ3aM/o5UgGFjRA2kCkA6QBnHYr5wQ4OBP5spuqPhs5dNdqNLOWDYowemd2L8
4OMcN3Sa7Kw5eHbttLw2avcSqjemLpwsAbtI4jnMdYYhCXdodTn2PoBxJP7xJhsT+oc+1Jd2msXn
YfbLk2+18Q3qJSYwZnfqVNTjKW6rZ5xu3Yq9HKufamLsNpGb00UwzrNm4tcZz/Fj7/Ey0mGa7/xw
vh2dPNsIBK+bYhqiI2r6W+4hJpU4ZHaO6QTvdEHzwUqNh2CsTCx+OZloIm9visR1QNrN0YaUTESL
IjqNuFvvqsAubp0YlXgWsZ6vLTo+ZBFLZwa+hAQ6KmrD8awjqKtugwDc2fiRm+2xeNWkZeACMLJK
E9FKCEyvJadw5HwSuJNvPEXjBEfhNqvVt0i4IKxjNiesbtlqmyWQkZ4+VnbNvO07n+PFh9BX5P4T
QGduxeU1gHbC/xaRL1e0nnh2e57m1BFqC7fcuyLWBj+16B2bLGgZDO9G0OFNjqFNPYjS/e408VU2
dJy+hOcNIa4V4d70cMlW2LulAZMxHHAVht2O7QjmYyO+06O1rJpV/FRCXN9WAg2GN4dPWa72jjGk
G8WdkCNF9L6y5YXb7ZUfxcgHSjXpQ1+haY3HiQCG1Lye+5m5BNpRbrv4sWlrwXjT8Nb18k67yeTv
ZE8972YcPS1OQjbB79TFr70WPr/UWTKBReqw1VBJFilMdEEM5BmGZ33lmgH0VcjJEart9cQIYl3g
n0O0ifiAbiAnXkfLQ9Mn9UOAdWMzN7DNFR7sgxyLN9PgFCIqZOMLf6ta533KWWbZzgcbR6K9W4st
n3R+o5X9f7n78K/D5n/UrVKjIPrn5e7m7aN++y1r/i0gaf7w1n+m0d9Vvz/+L79Vv1p+EYskCz28
thWSKQrZ33RcmjrWsoEYURHDTxI/Jc0Lk5IZzj3lmWM5lKV/yLjMLybFNGJ/EwnYD/HXX5Bx/UKL
YthMvi4LD3LcAQpo85eBYhy3YpR+6m8HXMBxPO6VHe6YrxHEa+9/+j39A6nWr5n2/OwU1wuJaWHg
IUX75XsFmUFrzNqWjOBi1+v+bsqqQ5PoXQ49avaqr5nprNvh2ZM7Q883QTab61C+IKVfiWi8HFMu
dT79/+ZV/SJx/O1VSbHIHHl5P7g0Pxf/fhkVHhxVf1uG07ZFjZGqgYg+oXcWBoAZj6c2srWqAWqR
k4dlazP5bAh9BvNOu7ZFefuvXxCmtj+3I8srcoV04YMy1fL+juuZMUsxyAf1t83chXtk20dAU/Yd
PAj/Zgzx8JaOkd6Uad/VINVmgOssCtvZodpOensBxbwade7ccjqk6Exd/9K2uX90vmNBgHMhH171
+C2lD+kRfasiv1IsW5MBi26PMMQhwwBXGTE5skH4QCYdghp2/fOmYn8AyPbKrIwN7rBdaeebOMU0
gWW1C6MLZdwNoribfe493Ep2BYPbnZYl42boSFE1xUWgkEZXxalR4oBnCgXeCzCJoxFW67l/N/JL
xdhgxaj3oqRcE/Yh8Z76rn/uu4TQ4wkWfDnqo90+EbhNcCJ26b7YS+KEsybFsBDcomKIdHydcvvA
oly7zkQCl3/hhCQO2z4y7nQR691nfX4hpd6NjUQ4GLBCzdpdFbvTzsBIh1BkI9gSksO14Hev+lDt
YHeNeGoZZWGnGKjY+52sChzsz8r1LkDBrHWO2zN1AFfh0o36HV4h+GvFoW6GdZA2/Hr4Np69Kavh
rqgd0Dlong156FqVreah32iyTQUTR6t6D/WNyKtTjlU2itz1sAgxTO+itHkye3drxvAzovtkKA5G
fY01fYeZ6a2nhLft92osXpvmG6QGuEAViB/vpgH96E3nqGZeTU5t5uodlsV14Dfdtek55T2SitdA
Z8YVnBp7o+EZG0yu78QMi2Ad8NESrc9yObOLb4Gs/GhVlvzSsr6MWfrm6WeDLe5WzEHx5smIuks6
y0PjL/e5Hx71YN9rqxOPKhH9EdBQ93Xol1AY6QWMxDWGWtBEwVNWJjmZ0dJfwaShmCXcFPOtDyri
nluYZZlq9Kat8Quu8gHiEa9CjW9OPaWH3MkQcIxVH1yFfRmd0FffOHWjbuu513etyKrdj+f0/y/J
f39J8vFfAKb/6pLM3vIflyTu0l/uxt+/+Pe7cbkBBfcuowGOPXtZeP1+N5pfGDL8dG0CJvnbZMj8
wp8ggOawBrJMDuDPl6NEAgzwi7sGFgc4k79wOXqLvP2nwZAN3leihgTUwXrBReT8y2CoNoD855aN
pCr63ml1rWtnXyrvIfZLlE8xBKeJyUhPQ8zO6Lac1Vc24vvOew0HjjHLCC7pBJ6STu1JudhZBGHH
J2IdLtoBYa1GCen3V6ThPVWo2JI22JWzs4/nmq5+XYQ8zGnJFm6tOnenBr6WhKI0rg94DY+Jkreq
dq5ZGO6Hyr61fQtG+koQecUmZzeVHjkJ1b1rlPczcjGf4tMOi3UCfiVt3+f0fgpACWVAJ0a10/Zw
pUsXt2Z2skr7OrfHp1LC0W7zM6y0bTlN+zRTKDVauIH+w0xwIQ2p/dAo9mhDfJP5NgaXcFkqOPVh
9jHsxEF62wb6IJHsoDDsX9vae4BY8BLb/MoC0yYLWR3Z1WzxHn3DdLSpyuxkkzr80yfvH5Udy5v0
d2/iYrfCjAiP3P2FcDNltWhC1L9EsKFUzdUPzn0wVDfONN3oGpB/GDJ3mfXWIE4Sic2/MWfazD3/
/AKosUytTJa3emGr/sKrjCrPxV8e+VvCReeSs8nt6t1o4rTuJwffXChubD9R+86fz0hAn/o8kieq
QuOYKTKh9OpzwoS+m6lBSAGW0U5bfrb1i/k0pvUBJEayVm5gHE16/oxcIobuabbZYwjFo8OyZEXg
13YgdofQX7UqCt9BbiMvqxGIGFgevC6N+Dbhkl4N43zbmdF+bkBP8uw9y0pcMvu7cuPuMgegcFFU
ZXD51w/S/9nk/J/+rT8ZQv6XOEA4MpAImP9ydo6V8a1to4ZGIvzTMfnHF/92TrrYOpaKfzmQtMvn
iZPqt3PSNb/gDyFiXpuImZdW4Y9z0v5imRyuS3FvLrZcXsvvXhBLf9G2uySR2VAusJHIv3JO6uXE
/dNHXOEhJ+LRE67wOH1/RdHDAyaeOu5HTpIiFDvMITX4uFjQ8Xrg81ayxGq+BcycY0wL/CkG07To
Bu1RjMZiCATJ7ylxyocf+jHIWKvOh9HGZCG9T6LBeHCWOiIYiyU0NA8v60ybwa520BCDwfC2WnIg
N3kTfjA0mEOKndQNwakTI+SP4IaApuMz8wlfuAys3Aa7IRRzUD70t2osMuh2833QyQln/wGQbUes
bo+ntYvq+jJ0vXw9cj2IHTK5Lln7YwArTacTxIxcDKRsFxODki6dzXvfidIXOY7BfSGwYipTELHr
TsEVVB3WCZPRz+9B4TkocmyNAJ7VygCcjFyq5OjEwiOeiywwhCcWBD7Ihvl5bBqq/TmJtzkBrKtc
jJcBHoCtlYWkj8la4L9MA0wGwFqBP1rvC10HUFfRoRUi3zw5YSpI3gcF3YhiMPU+gsIIHgXz2GVL
jH0Pco0hrE0g+nzTOiZjFJnYK1NGIy1hIC5i3gDWIvB8Wmyrl8Aen6Yoh2ivxQgYbG7ycZ3GuVms
57HKsXDPiVwyuBEWqyF+i3I7+zSFzzi37qfSgADSM+UzvQm9s8f5RFNIRYc6BBi517fBuFZ5ABTN
kAARBTpAVqSDh34wL7+Gjd+06wxeOUvTMSqqFQYqpJ1GEb4wvUQ8T7ZKeJAN38eaZN7Dsx1cb50E
7GEWryaaqIJcTtTsINkPaWh2H4xih3AnRTEicTS8ve705KC3VBMqhw6gl5YuqDc8r81ja0txxnBp
n3zVNQ9hHhZvAeEgMSvcvPIuufIkLSNZiN8qNHdfGy8srA3aMPTlXlyXr1YHoHE1W0ssbBzn9T2Z
pd7ZBiPub+Zy8E5xUjTnLKwwdrt5iO/FI4X7lrX0+NTYID6Z35nGJ/RvhyGhZdUv2IiydwW9du+O
3HbMEL3hoclziaKhzVxiFVuWrwdaWoZfvRHmrHYYxxNLx1KjZb0fhMPw5KmhvHPaYj5KK1+e26RC
ZB8auGRLhTjCtDxzg1RxrNa+KZL3gIdr+VKfe8yu07Q6mFET11u7V+6xdyJ1ThlD0kvZ6Wg+B9Vk
vuD0lRNrpmJeSJ68gS4uWdq3yXVWrqyIaWzMerBWunIDDFkh+DJfffqpmL8Owbi1ELzKbJDfit6j
IzWTuH539AgdEC/J+HXs4xxrRkhbYzTDAyP08hS60j8kpNNe5ARws3QIWv5YR+m2gi/2PDeavUvQ
ALoQZKEBqGlRVJsz0gLMRoDO4EYBS5BYTJmwHoA+Iyea5m1RkTHVDyikMUSzcK7A5c9C+0+eoDHL
W8kcX8GwWxsWdysoyLqs1kOQVZtwzklZs+fItNbZMGbFVjBKzWizq+gz7srwcdZheGkmVhJsq1bi
UzFsMbwYPCikqgkJoz6pqu5rJuOw5hFpDdxJ0cyjPWdOdQY1m007jBAMIrO5BECDWmPVaoeDpetU
d11VyYQRNS+KY5s1zUuzzPTpxD8SQriZNdec032aqsvQS5YxbGcAQWI482i2IgafLmaGIOHYP9t+
UJ+kH4ZfrV7H6YoGbN52gt0JH1gfKW6mM5O5QTXrbw3yhENAmWdWkQ3mM++LC64SJ1kHIFo+bCPQ
A+I8pIf88obhKuq6oF17TjA5m8YCQLc2CAgI1wSuA9zj51T60HkpYrsmDiy5SUyv+Zzshl51GPUK
Igq3jN1nhzqrqwtfRTnYGXCKpOhA8N5kQ5q0ewE/N0Qkji/FjlSLRHbOkS/hsgsi7ODKoXXuoH3y
05t2s+GjWX0fSSu8MFskGlYDZgWV1cjh5KX5fW7wuIHsjlC3D1X1NdIg9VZMpt3btqzF06QLgDco
KMXJRDv5CACneiEQw71w4zRgZaJbWIZuGcibEjb9jQLN/1hNepk5oaOp1hoduaSut9BXNFF/NekW
4w9Ey+DJszoTWxqCj+9mRaLlJa8wlCwOEYUifJncry0YQtrtVDRXPLdOdvBtwbChHhz1wNlUn/rM
i68HvxA7BlMEMvnsg4hSqxHvpEZkhOt0Tq2dURXRKZ58/TzF5rBKWQDeJLFnrlNRYZYZiuhM/Z2v
w9myKGVVsbaA8z11gZk8lp4sNxbmn9LU8qFF53dOiLTadEksD5WTmQ+QjoxPEZOVshKB6DYgo+SR
bQdbDshS/kNmBvjPi+ihKEzj7BcTucZIZiqClOPkbMSIZgO7RM80MMRisOWhBN1GZk54HWk8Sbie
dLxM7lJ3XD4JqSzfsED5u5EEeVwgOunWzVwM2JrYHeOhhziVDvO3NEQPY7CtrwEfFuFNodLmlJX4
Q1C7Rq8YYr5mZTDvx84b936EE0irLHrzu4kViTskdy5emT3LmPmAFDnfVWgLFBYYYfyW+jd1IW43
AQmyvtJOlr2mYT9DI7PEyKAnTax0B6FjoUSWHC6NdO0jw7b2oZqZ/uRGHTJ/M+ttu6yhMuJvo1VS
kEllNrbc2xxAa1Rb/YPD1XKLy00GBM9gT8V+wdKkMIfmbYb5deU26ATYZTXhsS/88Dowe3Fv2l15
Zh0fA20IHH1icQu/0AkJ8EztRc3YSLGP3dG9BowStISrLxJ9zwzTKxXDtwf352MVS5K7Vlve97pK
peZWppSgvS3ZF1kVK0j+S22Ua2zCeXqORjKsVg7EFO7vjPSvumkjnIIgm57FDBYeRVZ5TkowFeSU
6QpgdGPJN9VTNGNxCcInZTdhvRtougwiYNiO20E8bxqSxPy9DDW+G3Bw03D0iJsrEEnE6rkn9+sR
OW1/R7BstW+TzLoZRCggaTpNiwbK4HggISLYqyxtv4JwKm7rKTA85pwd4VuVWV2qMOFZnZFyn/Qk
keOpaoCcLI3ulgJ2gNLi9eFLaLVokNOhZ1eMi1c+mPFYPaNzLM9eA8NgVPV87XYK+wvXlj1unAqs
7qquozmDMaE/CtvGRkyQ1XRt9H5+4ZW5uSfQfezX9dAarKC0+jbPbmuRtGNPby2qx2lNyJ6xtaey
f48FaImdJ2FEDQAcDnE3D7d9go3st5+yspFjloxuYSbpB8l+YDUQV/DMw8lqv4ry8uwu0pGwyh6d
JL3DfgLmIg2ak5eFzDYlIdSEbvTGPs8cYBhwWdpNLjEbr3xfec+lxdJrReBXQNdqg+Nf0bLLp1j5
1ckj4+POKwp1h3qzvKJ5SU9NMKUvBsvveK1AlX/DBRjuUb04RDUQv3U9uqrHVZe246sbTeZ0UYyy
nxgbW31yEebCYrQYBNMB/4rzzU8D1IS5iRQ8Rz9G5k8JhnQlate7zquAZSw316dhNeozCPy62/Zx
MiP1mJlbbBQh04Q89jISe1F4EeveRuxgdscvs2HMd6aXoUEFaORxt4X9kwWq405PIr2GJTaf50i2
n/LH5Vv78ZIBNIOsHQL/bgqn5n0s3OZKQ6N7qMFZWlUQqFWYkeMdgg4Elmm7IfpSn7yWtVAIa4Dh
yRswpsOGCCaku2E0sb9s0sVdYOZ2kuC5jRdiBKrDdVMVLFvTTjgvZmBVcFqrtsE1G9WYUU2z/GYb
FRa9okbrSKjGbZQN1TPSbuSLleMdUoz+T9hhJ6xQ0xgcvb5r2p01QKNZZ7CmMHbYs3EkbtM8CM2q
JoGbaa2cabFFLDp6hIVtd4pCmZX7RLktiboWrnlaApBa9SAO5WhWCUG32NEsJ6QOnXo0SmGXl+VG
lotmJ0b+QPyMRp+ak6JykWUx0+UeNEa6Eb5VnAGbzoculUt1gzlv75hNfHCdHIAvalRxhxTUPgyW
yt/dYs5ely675TsAbN90tjTuza7uznjc6mcUO9MxsWRGqcqFv0ZBNa9Li0l/MvYmJYYhisvGnMpT
4QVIMYAFFv66SIv4LSvSOjyINgpukArwIyQJsimehzi+7bzsew0yRPK44JJDhnU2lkiAFdrjYl3P
jnMZhKMFUhABBrpUcI6jiOet7c7CZireqQSZcE9BguUMC3/EFmmjZtte5BSqPDQtQKDeySOD1jTE
apGKKHMOddvw1lDGm5kH9dcZmD5yI71FiRrVOo/8xl+hZiOsIweIbWPla/1+JRxCSeahjUk7bVS4
8Cihm67MRG2R94SXjUACVeNW+chcSyEDHbN2KSOzcqu7sHbXqUqio5dQl41BUlwF9Q9VHSmAyPe1
+Zg5S0/Ruk7Kap9bfE0+U31jd5Y8ZaC7D1hl80MPHvSYd1NYQUjPxidGtcLcw4kqjgaRAkwU3Yi9
kZrTqxzUvThKrO/Bs+5GFO69HiCu/PVR1f9JHejv8yg21/986P/Y4rF9S8K3JRztJzHoH1/7+yzL
+mLawkXUScSRWkZWf5tlaf3F0QRosCpHCrqoRH+f+Evri83An0BqW7I6VjYv5G9UE/cLf7Ck8GmJ
gHP5qr8w8Vf610mWRd4dPBN0I8uAjInbn0f+oT+VNYtZsQ9iJwPizTYYez3KSlpW7bw1ky9urYli
uioTcw3NjNmHmUyKwtnmUBwcPZxgdEQI+aiQsf1X67B87OZ8k/dEZGiCNjehYoCvKYHfw6hrj2Yc
SWbrbUBctkdKNnRv18EtRw57snaBaN3RYyPhb6v5RjBOJ+gAumAMhbtYsRoIV3jdxq2ZDAc4YPVn
wJBl3VLNsu3MIm+TepZ7bbZddAoY6W4nEVPO6q7aZQLdit1m0bZpY/cyBoi79sK5Xlc4yPfYq7yP
GGk7GFead0QBvr0vps6813Q5N0mpqj3vjN5kciTLx26H+QLluNjQizU7MescYgdk82gF/uotJaAT
U3eQxvvMrajCg35KhnVo90ixnM69HdIYmnVVwnp17fLdJOfs2k6QR87qtfXMq7mIYs7R9MDugZw7
gKXOdBsapHE4dndm9XpFpVFvRluDOq8ZYauADAlM1wjODJWmDAWyElfnOLSbMPHVQ8vEFL1V2vvm
hi0jSWPxJUkFxIu7mb3x6SCYvywOvTCb2Gu0Xo17P+9E8UZNN+F8qv1XLx4dMKhueZ4bi0N8FoZ6
SOEvX9Tx1KBiN8wrNvYITc1WYrJ1WxKYxTLqU9moD32D1D0Nuv6xZ2sAmzFwEkDZM6YcaVgnU7vG
sRCV8a2RLdFNiUMUPZ+0ZtXlg34eUiUuc+DNiD1DuRyD7LqRJkQfkRrqrcmn8sDwibzqwgnzvVk4
+WuPIOtGY8tZpQgZ3+uy+Nq6k/5KfJTeUxondxm125lWQj0ByUohtIbmKY8qfYpTKCaVpcIN/LWT
X0Cs680x39WVNA6eSaAyOktxywVNCwBKusDqmPCJdhKsz5bfXTPMSq7S0WZSmiZAMkCpWKdpronY
cKxYP7WaihtPxhAeiyqa7oElj8dsaKwzRVxnw1Yv+zfCBYcLliU2ISxNjPdvbl+HzB9OPr37AYGL
fGhM1wjZeRTDjTTi+jWltKzXSTw31ZqEQ6e69swEsYA/EJyOk5CbTyeJQTDEgIzbHwj/JdR3JEnM
4NsQujOce6WyJ7sAsrtqDN6KKhlRezUBe1KyRGQBPRfsnES3eqFjhFoGPsUbjgsQJ0kkous4pHFx
oZWfh3ZuTz0a9DM3PaM5gaPtHk6YdWEnbUNLU1nFNwTzwY3ZTnBvhBULvIYV4IVRmzXZNNq4RH1H
bMxgDYXFN83jG4F28Mrv5+Tc1APic3/Mt21qgZRw7fGg9QB4tjWG8tYtB/+GqEYmYxnzlL6ExwKV
1SVVF2ddjeojjU4i9nH2FpM6WWEzXprI9fdIktpTbpbDVciU9dUp6Yyp1xbzu5geS4i6AMEp/h+s
OoPCJuZi7w/435Kpqu+dnEFUZDNdjsgG3evI4tmahiy59oN0uIXRP96yCRtaHri6XZfwkuns0X/r
9mBUZo0Wug9PCf5vEvuA47XaqM6W8rJzhNn0qQKICNXFLD4HSSO+QrMgDv7sGvd66sRN3wjnyfIr
w1lbxJpdIu8mdazV8SXOBD7SuZTfgc6RMG8N5ZNTmNbGgGr5FIUgIBOZdO0KyPW8ldYEAwIVDpKc
JNyZTTjgew8anIk1DbLRiODe1pm/C0O3JcXEHaZjkeTyFGTRvJ8y5exdomnZJdfzJrBieC8kS7zQ
wROm24jurvIwQfKv/rFsB/0SDVa2z4I63LVIQa6FQqtBSNuCHGlBulgieyVOA5G4m2XnTvXRnl0K
vdjM4iCJVbvN+loyaDC0OFKpEZKHe4qI6jQJLxJqzgtGMBXCHLc+2rOVnUt0I8Cgom+iHl0m8M1F
Gdac8dxqoJBeSzlXIxwnfRdUkG+zcTpC6wweqjjtP/PGBDdTy3Hf1guZR3eisrZqmukUTbJqQojV
w7AzJqmCdVvL8lRqo11yV5d4DSI3UrfmiTQFyBtyA9G3OitbvtT40x1G8ldW0R+ywGXHHAVXjKXq
A0f11ppo5rMYFZlXZkxAanblEHnzclvXLW5piwTj9CKRbWMyBmuzVRh3OSb8sAOo1cbpMUTrvlB8
g3xbj5gbwrp+ZZ3GydyRbrx2BwmVazbRC9XNPNEniHkrqsHZ5V7W30kDEuG2Y5tzQIqKzgisCdX8
6K0G1KkzA4o065ozg5jyvYSfwtaVPAuWQdnFWPLryfnMM9SCiTaPpX0VNsR3TEwJmS3m06U1iH0r
5/mAlWNmmSvSF7rTD6p2/rf+Wzjq5jBkSAjc3DjgPWZEEqwrpwA3btkF2C5D3kHu6S7suDDvMbFD
ragNzO6hhoK6gkQAZtEJTXvDZsFCmE9G2cKY+j76tbqwUPw/8XxUJ+2W3UGSkMM10xUfWQvyzRWl
vmhFObPXJH+VULGzn4BhSlOG40Gf+fe8ARm/U+Fm0Glr980V5JDYTRVeWwHEDf6iZO4+WvvSnIsz
+ALzhLM6exmwEWx7XO9E1Ro9zJiBbO6DUC0jOw9x5ffMkBJqvYELI0nsim1ZjcgocIdoa7m5svdg
N8NjboPUhEwGXTMcbdAS49iZDJFzBYvDy4s76osov0oDYvw2RoYvAJyjXIdHs7FmdyOqKh5uvHGs
LwavTlHSyegz48TBgW+rYZ2OFaNnqaJHSR+6jSl3kQlb1kOj+3Q3CmRb/Duy3oxg2Z2MBbrsIjK3
eJCYiLsiOphZRN6tZuXCNO5mCY3JS0kUXN0c62IsNh2y55VrjjTFlBY08EmwRkc2fgzROH7H7/1B
/1e/At9/U2VvMjGzg+LGM4KFrNbBydJRtM4LOZy0rFOKVVhksy1q4hkYE+oGaMiQcj01ZicvZOU+
iHkAFiaA6QsCZTY+AIhN2ACMTssmwDDo5Luw6aLLOM+Hm9byjb0PYvueUVm7HxxLoYTMFVO/yf9g
lYOCs0YIk4ez5G3osofIKWBlSjc4m/9N3XksR45t5/pVOs5AI4EBbPi4IUUofdImk2TRTBBJB+89
nv5+SBb7kGx2qU+zQipx1F2sQiI3gI21/vWb2OtwJGqqhYRREm4qkXHhmuMsIeHVOQ3EEMx0rYoy
JrC2e9hLJD+XJiBD0Zn5vcKQeQ6pxdnEPviM3KbmtGCLmmCRpp/W5BRNpciBiJ5jjOtEau1PWyvB
4Q1gXp8PkYpQi3SndCr81px7juwtgsp0XKqrFr6FnWpHplU0SI86bRV3WN46le3N0ZQijJGEs9J7
LcQAqVUIo3DTScYUAfvypl37kZNuzDYC+KgNJpmjFZd/o/tFtcrbMNvKmPXNOgEyoPmJOUEXq33j
RUfHbRQW3YFviLlG2sYhwQnWynRw06nxOH22ktA6MUo9umqIWoUZnsjzHBdJrNBQrkJa1xYmyc5k
pmX48IeOzaumh1ZONaDOQL+741KuzkFDFtSp8jHx4wHMoOJaIisTdpN32vTSbdIgAVXdVL9SEzgi
hlWg1U5pWjLDHAPW5e4wg0I5LxzSXiedhotwPU5baOIJ+OLGAFGLq6jdyiETBVkbdOShlcM3YByD
esU5fNNZfkLqEX8g1Xzs0z6QaiTkEUErkyvEnI8Z2WhHJOGOypDY8hdCJ2UYbYF0hYF1d2kpin3T
W012JrzBPbJ6kd86uEEyq6TARzIh3KVX99llp9rDQtbJDyHVizlRYUsbsuiEx0Pr42yicQUgUmqU
Ehhg+zcayjGJoibB3UVUyZKhwJjeFh5ZRIY+uEbqzlSJ/AwpwBMeacW3Oi9RZ1SZTpyirdyIujYx
OoRHjP6bdN5xrJmEun6qReQPI6go9FmcW8O68EzzjkrdXeoCVxQA+13a6Ju6qi9wu8RKJ0QVaNui
n+mD1583dUJ2SjgcY/CNdTcZ4h7zW9JQ6Eo9uKxRVwxs226hP4oqB4KS8Kvl5R5TFM4bSUmvBxFH
eFv4Fq79hWc0x45p9muPyb3KKEAY56QxN2clvrejubrinPReKJ50yEOPmTM0s0yTzDlaM7FNhxAe
EgRfMvgMVZ6nfWMc4RUlrXSB+qYMhjTHF6f2BwSPcvfUlN1N6Q05Q0zdX2hFHC30Lo8WmIQw8Wdo
MFEJtDlxWp2shTwuKpP4O8ZUddqUc3xB/LMhTHhDg/0eOvSvGx/5FAkl6Oi3POj2urO7di1SrVnj
ewxJz+/L58yrKAXjtu1Qc7cExdfUCyQk5XhJTS0iEvCgos5u9iV3tC+/xViJ8xamKA8yUpNYSLGQ
6eUJ2GuxV1LHSl7dF/XWWN8r+0of+SDo61j/t5JVHdtjTxCO3UE09gl11AhUIS6JXmVAwl2W2iVh
KDQYxb7XMKjM2IzGFkTddyP12JiApbWbeN+tYFjdAS16vKyNVkwx+CFgWMURYe56EN3sfctj7dsf
xSySbFXlZje1CkM57Aodf3stw2yhCLlxCbcjABGL2R0TBoETI1CgSJpqo8EbW/ZWD4XDGvutIR8u
skIzZpGUbSXh+6tMYsFU2P5bEjA1sm+olHHAgumTUgofmpjPHzUeTZpWOJWBkrLGhc+iDJtYXAe8
v2TlWuS6Pq0tVd3YFu7NOdegx6aUlpEMsW6KPIE+EgZAeOKFFUgBTSbpPCSi7ztPY9+F2mNDmilq
uMzHJrUe29VaMdzjnA42G1tZf2xq47G95STHRpeWtxibX1IympFpxPRubI11ybVuEy2/7RjS3Btj
A12PrTS518ldMrbXGCnQaRMP0K+8sf22x0a83/fk0diex2Oj3owtO0kN5nU3tvHVvqMvxuY+Gdv8
YWz4Azbp2Kn4LdnDMRTpERkIR5CgHuECfQQORFXbsx/vqHsr57c0SUUTBOESzAv8hhDa+pgbbkP6
wSVDWvaVpR0moLeVcCwMfHDxEWMyCcwvfSNrI+FAsX3yxLCtXDbCVG5Ly8NHtkhN97Fv6vaQKDhy
ECyl3GBEbN9QGKTfVCs7rv2ELGaZ4BWKp3ZbEHqEgbyUhVzTQEV7YPbhCvVqSStQBYyhDVcyD0vL
TXBi7Tkr1RYNlZUzJDsiybAKwnEce71h3MjC/Z6GtJn9bdjvddp+3/PGLdAeN8MfL5gyGgu/W7A9
UkgxLUaYCwXPe6TQJnun17qeyNGJeTHcqDf5TrrJt+1peY68NzmTotMff6I2XoIPn6jIqHRGzRBb
pfnhE1sAFsBx31lCsXHuo7T0K1IDg/407PxBTKmks6OizytjqiB3vVf0gew/qKXPg6J3GHj1vrNI
ghb2nTCpqOeDo/IOF4TByEvS8qTrEleNS8O0edUZCZmO01AzLYx7w77AQS/Nj9W4wF4xGbo1lQz7
E3DKxDCtbd0N1rKh/ARsiIMFTu/5oi/b/MhK9eEOEhgWv60TrZtct5b4AEtXsd8Wx1ChwnOmXO6R
wCALJ10K4gvPNoad1voBOve2I42q84tvaNzH/SsW0fV+Uf/HaPy/IPUUcj4cN5ohZGf8h0DH8uZG
+4MP+fHuEdT+LWT/6QG+g/fo0kDbUSYZtqaqus09+LuYTVcVedw5yH1RRsXaK3pvHsgYlWMzA5hm
7yH6V/ReHZ0hTAvmKqR9JrCUef8Cem+N7uZvnhBIikjsoHrvq8U3Dg5aVOGfG1beKmrNeNzjiXbj
rezaUyuLCb9QYaEemVJiLWu1KGHw6OZhypSWOapRQXzJxm49sUjpnJldROcrAViWttV/g3NhgwJC
FMkwZI3DaEKaor2NMaE8N0NZ66ZmEPM6UE0Q6hwI15WKadYoqLdUGXFoGeTCvccEU8ogVqTaCWiU
egiVsN01Tp/cZ16ol3Oe4myZxkmBEEjHdwdZU4nLTNsbxl3RY6szUVO765e9XOENLaKoyddlKjnS
FC9RDSfSTAF0DizDP+8yU3eniAjyS91EOFNbxJAZYd04DG8L41b0YbzpOqWXpl0jQmgDwRBFC0Ei
9Sjb8eTbPCCPkTAjppNTO6zMbZf4GEHpbNEPgS51h3YQa4dK7bpbXdITbKl8cUHJXV/LTqFvYsmL
t2YMoV2qNHuFhmFYjkgxwXaG6Rw3KBaAOXTqEhcrUOidkrVo6gIhO6Qf78FuCYdZSVGJ4VUkjIY3
RNgOR5lkqM+t03QX+CUOT34bx80owstvBxFqZ3bdo8bwysAppjGZb1emNubS1XVcbTyMfE57xI3t
xO5QWExqopCXYQS+jEqhaa9MxZC+5bZPNYh8Xr4CkMQswDawKZ77VBIby/DEfaC0OUwLK58qgmxn
dNEuPM3EoAGCrxyb8zhzbKYoYXUcJCBnk1xFbmWCMJVrDS+wgqF3Ut3FoOJ402p1+eTGTnepN2kL
rKxV5FmCG1pTE6PIE+wBcHjAHyCKZpWtYTmQB6V9xnSfsEA4K0yddLvR8AGQotQnRoOIrknc56k2
D0h1UxcEl5pPScDQe8b8QXemWZBkw9zIBUpvyY6J5ax06KgUoN6NPFozQVrq4Mnpnd7AQ4v7cqSI
xu1KT8yaBsUpunrqU9Wwfg0QwZQAlQRYlyn/VleQOrP6hnsTwyN69oOMbNsiEpiKO0a1wsGrVh5Q
LMpgcBSbDUGDzsAt1UE4xUSSAfqmiYRyXNt4jcDQiqw1nNTyAcvwbi4VJIDNZD/m/0tRSseK5OOi
1tTobLR0GIJN5TUG/tqdwzSm7eMrguG0R3Jn/FuGzw64F7O7jBYbqiiOHfoikKVQgzWatOvMMz06
2MAw4YRJSMZngK2RNZXTsFKmIBD1oreZ9U+8obee7KYwUOCVNsxIM9KZ1HWVeU54SblujKZkdh/X
3YUU2eW9XejldRB48ikulcNChzKRzsA+sCXLCrs5x865vG4LXZ8UessEYeCV2UTMJeedFYw2JI3T
zMmarLDKSj0IqhkJc3MpTmEnDkGTXfdxGR4lSqh7cyMwiAUIQOHX0DGgpRJiPRBQkIBpRmAkUCn0
Rp80gWnMjTJtHuwBCIs2EtPTadUP1UkEF28LY86zFqmTZg6uwH23HL2pl6SdymtcaaDPCi7jbWGH
wyPpkxi0iEruT2Rc2U5qjP5PbPBGMMRUM7dtnPkXTSMx5I8aQ1nLrTGsNAxJtr7V0jjSQoJBtomE
B0ad3KSpZ86bARZ26TjOZVWz5cD1dYcFRvYRAyI78+eQsCDXDZoV3FGop2dBVOjzMnfHoJmuW+Oq
MTzWuDxY096DdL0MwxTWkdH0XHvkox5+Bq2b3SJCDolodAU2Eip2/VMioAviMOXqiqvTjVFDrnIG
0RhTtwivh0NJ79py0sKQs5epBbLg+BIqAJkaNuNeDdJ7OnUGilrNTZjLNVZ5yIuCOyXVshtsgfDd
z/NipLLXWqUvNNAh8nbCALpYZdLLLkUmZ9/KQAnCrbAgpHJJVDYdVwafVyW6ryMv6AHYG5Z/wE+1
kjo64R6LHxG1qoZrbV9CG82z4gT3c8SZbWL34Yw8CPu0yM3ovvNc79mTinSWlbJ/6YqiJK0uUnnd
4JxhLYPcCaB4uqk5x8c1y6ZuYvorLZHpjqQU616tyTsAot6JDuu2gXeqN1FM+GdaEU4ZCAwD8Utx
Z43ldJuWEPRhJmFms2xIfF8rlVNjN1FH2hRHd73DdV0NjtVCAUURaaUidlO9ZYMLK1Wkiytqyeiw
KJvhuA9IHarjOBnzvDU5nOZGHNybeZjAi1SP2o7wnQlzSf4V7Xx+nqVmea1GTAhpUmSVtKtKx9ks
lIFMUsCimUuSwSGPjZ5ex0ymIGJX5co0KElBMkhyUqJbBhGQ+I1R7IZZMJ5yiR0dempLc8rghthA
v3R0GYrxkLAPEfJYKFvV6s6FkjLikyHERLwNeFHD0IySCLnJkI7IimNNtaSstolTN88aL58lZg9A
r7axM4uWIAv4zKuhVV2au7K8UjtdXVmhbvLoRhgsVRbpyrlv49bKyNre1AqMAIxg624MM80OyV+M
mbf4NUMGBeWs6qNcmVFEd8eDmjO6c1N5ZjcOE1idjXzMT4Cxq3Ru2k81AA58LQyFnFoP9GdZBr0d
4G6ch+vBL9MtEvSIyPpWPbasKjgi9lY7qr0abTHWYOWNzX0GvzKxHgzYEQmtg5afaXFkbUHLTFyA
qgRzkcyB1ttJ4hFrTkFuk5Kc5wFZHTmR4to8Dl1tJetVdiUnCNDamsuf4rx6E3uhGU9aEQ4M7QxX
nihmYJ4mkOsf8I1Cm1hAO54aRZWNAkNE31UONRY27QPx19nGqIzuJGEaj4Y6DPDN00tzrqYmmW86
egV89TK1ouYS5l08qEE/TcfUPEPztWKit7H75Hi5h7xRUo9BKcx4GpFNi9FTVim8QFED3TZab87N
JrcuJE3FzziXHffWxJQZcYTfdHeSQWBXiIrch+IRoKuEzr30rMwkC8JQDwGjwmfOt9iQBtrf20NN
wtuQ9SSY0/eAgjeFVV3aTEvzSVCSTD2Dnm6JiYF68dxyC2uBVqX9NtDSL8w8iXe2MCg1sjIcc41L
h6GqU1QJuZS56i65VO2x4roVu4PvFOc+E8Kc8sUIAwYNETsVIpgqmmdwuHxm2VKdLusKqsM6KyrZ
nVk2YqpFRDj8aZll2rUwW+z/RAnsscATqVFg+lmw2X0olUe+aw4xPsZdWc0a5iiYLSHJV6fMBtHW
O31b3LaVXwSzAuwlnfpD5JyAghOgotPWr7lD7AHysl/tCB7jpQbip2zDxmT9S6vWsFWJg3olEIB8
0zQv32Z5RKJ2QT+0DXrNnjVKA/9UyOaRX+rWmcII6MlXcov0Zr1MxJz3bsIGKHBpnoRWoV8wFPVh
jPeUBJO2KL0EP5sBu2dFooXZWDpZ34sWC5uVGYk0nTF/yixeb4lFrieviuZE+CXO+VwF1512BCEu
DaWytlEksnw22K01TFI70p6DWLL1WWJLypWtSz0sdEl+tKyorvGGH3iTh4zPMInuGLZM8jonjygK
AgRIZeVBmYncZwGvZlsNIHS9nSn+ghoTfrBm+fPBTIvz2mJ6UwDwHSsJhpaLnqotmGkdbkU4FFvs
U3VoTQyjdHZ2m4utnFBizKl6bWlaxLYezbvMYPbEeF56xhl1oEYj5gwkDEHB0OTpQnKSbl6YKo+J
xnsZ5nVXK/M8kNOdSoyi2ASNG81JTyFIIxPdJpUjaMhJlrZYimYFFkLcVWKKxs/bOIBtazW08B6W
Y8YLvcHciQ5I5OQtQMpopiaHdK8CX+OcFKbH37LWtMpZjpvDcwpyukUz1xP7Az1xFjk5znuBNOBi
0HGRi47xKA4RhMHDDkC7RAWIPTTuTS6u7fN6wCAKE5BQn+iym+28SCqOQvLWKfBJmocKAnG910yn
X+IpZXYnSMGly0ZqOIrllXiHgpDQktFzjvPa2jlMuacf+simaB4wrd3y5sYCXsVC9wgP0oThvoyX
Bb696lJG1jJtcgy1UJh1c7cQ+dwQHmHPSWAOay1AVobfVj23U4ng5r6sTzhp7RANmnxDHTBGG9oo
lDCzknhoIgLCW2eA9wV0iLSP0IUuCOttqtWAJzFBbiXGp8BmEHX9c3RO0VzJsBif6JatH8mxoJzS
Q2cuDOeeOtVeyjyTc9LFANZt270jxrC672Wm6iR8Ks7M7UV455apeU4WKaAd3UFw2KZE6QxSHE+Z
AHWX2AFu4AErt4gUvXPGYTyXogMqdQy9O7Typl1pWeQeGUYWsu6Gj+cXvqmo4319mYayuM6LAY0H
wZfGWKHH6sKTZUYW5gsR3g2oZkNfvtfZYlY+ZSlWzl1QnkBDwNm2weWrLhqcRoTkB9XMVYdojWs4
RTQj2PQydal4KeEMYig77UIbUnVtGqW0SUvkCS1MY9i1gdFc5lKGkRM7r1gbrmXNza7xLnn0CI00
BIJTy6kztkcX+L+sG9RWUSLHpwjIvENEUsam0TConuSWhZmfasjhiS6pNYGYnnrqiwHamQN6fVZE
ucsMR47xtJPJ6HVit8c4uA6qC4jk/hXWIs0GmE1/4NlVNopX2E85QrkF5r8OmT2iR+IntRr4OSHv
J5ESBmvUUgE+WTKKA7kBy4gr9isUVoKEQivGiTWpvVmdxPGSsBziJ7CuXovMyBifat2RFPFlQ5OD
TBwpQUJZuSke70xWrwtedR6fxnCG5PJx2FhFF44guqHyaowd+5rp6IQAcYMopgCIXxXdSYq9LLgi
lYs+xT8uuVRiJVgYWhNsUk08mzSDvJWJai5nHbKLYyBWEwMFrZg3YUjWJQSy9hvJpPi5uEOeWguy
qKrHECB2+u8051HmJGq0UnssS6qo6LqZbARkWwy9p58xSU9q+JCBXL5o/H82ivh/yPoVQw7qD0RG
Qht9NHRcOn4EIn5ui/XbfyWPv812f2IG8ulHvMCMo2cWsDpkKo0wDJPT+B1mHH1B8IyFKPxC+AUC
fOMLAj8YYdyIemoAoP9kCctwjnEKxWwELSiH/JccYxV1ZAG/ReJfjEG4qUl9ETpz2ffYP+1SG7hw
76ELXtV9emJfKgt3wZiHKo80MWt0vFjI5Va9wtPPrqcDrnK5j+fOtUNAmQ9uZzUavOH4joqeNJaV
F8PqlBZwD5YNRYVTkrBg3fcd6A2pa5Pav67bO0qhuQSGh+nmhYq+uRX9mYrWSZUOsdArEGGvILY2
4tR99CBhJfpxD20naU/SgiQz4xmwCg9wJIEStjwGcnMoUbjhnrI9znok3pHXL+OxFDSAejoNm0dp
yeNTLPA/dcfK+LTDCN/GhjJp72U7uSor+TweTcgp9ayJruL8XZrk3SUPVXRmkNALVBRWNE4QWtk9
I2riApcJU2wQdV64EVpjtVjIvVhJWnwYostB5HOsdkowpbw8K+uC/sAtZjXGKWNKMJTGSZcFvBTV
lGEzSsMk125l2MpcpnlDxACKDHCQdqGV4aLHzLfA/jIwCqzJyxPVrzaVoZ4CjjyEprHpUs617Xt8
/RXxrfP7q1QaFiImeFhDpBsAW088g+4DcZmL0tnfuDGRjjn85rHUOs3xdQq6kzePzeblHnobaEmf
9vHe4rkjHlo2YcFrpHR+uLfgjZfo2pm6dUN8VVRwVTSt3HSNvmInnZMHns8i0ziswmQZZWfMA5e6
oh0h9K5nvcwULS5xV3Ucez1GdYSSvPBrssQCJH+1o27UJl2Q9HihajqD64AiSvWP8uRIrrVlkSVH
So9NjQU3LYP7O5zrkbdCLTIvFPu04hKiL37WCn2rh7cSy+ywi/tFvHDJicNOfErdCqmEcjgojy0b
Ey2oTG4hrbJB3hR6sWhUbdPL9rGhQeNDxWR3UBy96jLIECErBvlDh5pyZ4BABkN9mBsEb6XgTlLq
5hPTBIKwuSuRiyyyBhsVTIBz+FwOrVps3cdVv4oiGYdychQpeORpWA/HQ4dvv+Xs+kxfpFj0xhwQ
7/+x9VN6aG70MMI9DZJLURQnBRKhUmkvk+5uCPTuKBM9lEh0Mbe5o0IU8ZCiBercy5SlEXCLtIaG
J5W9Aul9lDvOsYn7M7eHeU+lp89s6sGjHOlfZgx3P75NxDjre7cDjd0hnjYyQlGZwS0jnre2dUMq
WxgbJJhCpuGTi1erw/I5hXKX02cNTQHfoNjmTng61M2ZWxYAo92pj5JSCct8wdgfPq0dzIIyW6Me
PPMEwYt+tS3xukACFG4Cr3nO9OS/ubsZEX04b1yewDBlNnBeMBiCfzABLGnSmI5gVJabBWFGQoXN
zQnrMBZrVK8F/mkOwu4lIqRZBptNgnA4yYkrw5CvA1jJPeBAUwLFL3KUGZlpcs+S10GfuDLrAKtA
Izrt/eaCjXWpRt3GD+qLjE5rgICPFdCjq+OoiQupo1rVjEhD+mOfqU5hkFvaWRZbYyOeSW1jHFFV
EhNPOuhgQEQfZe3Wa5pNa9VHmeGQJGMkeI05VC+GfZebgzJhgn5pKNEZUdcQUvTsGfWZN9fV7BJp
5rPtqUTf+cYz7ISL0ghuYrC/oikhuCjPGYiQ17l41XIGbr4usAcd8K1Arf2tjQlTwAFjYhb3rSet
exiyadzOSwWSWTuVG29K/3KdZPTIMKI0p5vHenUC/2xDlncwyWSByspeSQrSWq+ur4OiusohdYDU
3AxhfuX63VkNa3HWjE2LRDpnkE9zV17peJfrXruSoVUnVfDgyNlF5FWHtUBeDopZBPrMCKyNm8jr
NGs3rQZ5MrIuYkXQr8TGjGn/3EZX4qOwdj15waU/lhXsiJqWt4x/DQy9AhucVyYCYLDk9LhyhnnZ
6wtU9dPIRIlf3gTDxehfFfrWzKuP7CxcB4lzjbkbPBSaHGYTWCPAjbPCYe6NPT2UimcizqZdZWxq
GK5oaG9z7KMnaGyTlRCRPB1UyKOg/tV1EJvnqasSkIk/VFIwjLGzBmZ58JBHGrxu8YyH7tqR7GsN
1NSR0kfMlha41yCsIM8y4TGk4Uo3VR6uxMBwIc0u4tbYhm5wpAkcZuE9TXLEGTATFf59NbPTegG/
Z+a4ZcKb6SYQLWav3SquMVvEPRaNehVfES5z45b6cVeo36LKYlpi3OhDftnFdTXnrl7njvk8CPXI
qT1j3sLBm0SKe9Qji53UeL/PCteK5ro2HMMemSDGP4NKVizNQt5pJELOcZ3Zpmq/C3MPJk1d3YCp
EisMWWNKIM2m0KqrZrAOG5I98FQBfg/XIUx6JFU4YSsdNOrgEqXsTS3qI5nEq7gb4HkliA4idSW1
3ayT5Q0O8zOI+99iZN5WEUJXsLdGLZ244S28oQn0u6mN2rxs/HOs2edU6d8YhT4PPq4ZrFjX2Rdd
r8IGImivggen5FtHum9C69ke5LuOCZ4ruoVS2w+QcGd+bDZwlvStYz/FNI2mPdckQotPM+WUeNqk
3gaNvymkeFarmDGo26bHIiewruKunJKBOE0h7iaGOmkQLIjgKfR7mNf0P+WNaV+2gMnI08m7eWZW
OFPEbe1emC6cTKsg4uRcArtwS7wda8HtIp0EMgJOf5wcHcsOnPh+DLztV74BYm8udC2eE6w3ujvw
fjhT2gd8GBHwqzcV7kNGz3Mdihvyb+OuRdB5Lo/qY/bK69wRIYl/+sz171ukVnH93AXpNM7s+05V
o4XdlPf4GK/8wl2FvvLYtEE1ZbBGa5fasx4mMeOUdsbAF1FTSgATCOsE7iQW4278zScjdN6JXnuU
CqISLbjATFGsRZsOR5jnXHpubs6GQLm0Q+k27fvrNBz2Hu6DU2GDnTEzVjGBXwMxRnPwb+KJDZqu
pk0e0npYWoO5YnY0DhuLqQy1nLqKgZlGZkEhkxuDZ0YMubHCcaVWirXROgT6VBCrDPM+bppD1EFP
JBhdYgWUTfNArIKgJ1y5pDTBUiacO+bIVMJKJ2jA3xmCZQq4+KAdp5n6HMqgIsrSrYxDTSOmOS1O
wjZj94V8n+unPQl5cJcFSZUq3lJaD0Gt1UmyZjQ8Y1gqTUvNruakW/WTf/cGOl2zpkzLdHsTitHN
36ovfTm+QYOaTOIUEp5bOlvVUw5ZG3/u2ATJiQybtdQ0sY9K8BOXJVRxkHou9tXBT2hHv0BX+f7p
I39kvo/6OK+fin77VBK/iucaSSjuUzr+dpP6SXWZ/r2/9OMDfdeV/jcWlaYto9CksngnVt2f1v6c
f3SUaEeKSf34RIqJfgB/RsApwyht//OP36I0cb//2tQOZCh+tiHEy2/pEfm8N6v0Z+vw46/4sqA/
/jvvvgDPTVKNF4JIu+QtjWffWvyVJfhwhH8ugYCeowvY+0iy9z9gAG+XwB5XyNDGRn7/Awn7f2UJ
do/kWTN5qwr/oXq7BCMh6Iu3gTBYAw2neeXT28AWBxYiPRtf75c1oOD9tdYA4Fn56iIo2oEJ9VBo
kEQ/uxGMAwVaII7Vv+oi8BQDIf2Vh+HDvfTmYdAP+I4WxpvqZ2tg8WsZ/3DNfvmg//mN4MOZP/2e
xyR4Pl9uyw+b9L+wG2JIr0Mr1DQ4fy8/77YCSzvQkIxpKlaT+5//rd3wTxdhfCkI9cs3gTgwmKCC
zHz+ICgHOiJjAweBl0X65XZERQbSxYb2qw+DdUBkFno1HBz2Px/eDOYBSwA5WFd+1XX4bksBRvy1
XUE9wNcX0Nn6vvUB1715RbIr6AZ8XMG4bP8DjvOrvR60kcT7pUVQ5AMo6RY+shzpzbc3DWxrsflA
VvByl/xyW6OmcHpf/fb2gQbsSoDE973vw7PAy1G2bCImXu4A+5fbGqli5a++H1TmMjgA67ag1nh7
C+gHXH2L1wI5s+PPL1cfjXOmr357ikQdbxpNoEH+bDtUWRy+uwU5ff/zyy0CG5Txcl/+/RJBwdiH
VkEGkn5/C1jsAqYsQH5/vc1PIUOHsvWrW4B5YMkyYZXKh69uHwDOc+317w8/v/61tn+UHMpXL7zg
9tYZE6PyeHfhLfPANtlcyNZ8+fnldj6VmfDLJfn7tz3PPkobagDu/P3P++0fg3bdMGijXwuEf+HZ
/ws9xO/ICx6o0eMec/Gfys+gmT/7C69Qwx9//x1m2Ee6MqZ89xdHCObls1/6jPH///Nd8b2HQt78
8hUa2X/O93/+/Qv+8aPffdbrt3r9w5X/VOyKB/KY9i3O99McQ3X/4x8wDjwCujbF7vGp9N5iARiN
Uez984T+4x/vTvfNDvDD45flLn49zLgyLxDDVw878b1d8fawLw3rVw+72hX9Ltm9PTBkBouK58tH
9uPdg7eLPl1pUi5oML76EYc7jPZ/+7ddnP2/3452WFL471aIPnwsJr76KUe7IgG0DN8v0gtm8uVj
c59GHw68r7a/euDjXVh6u8f26Sl7XYH9UzrK617/4FOQ9Pcy/0f3+Mnu0es/f4ZG+d7XP+Ds0ef0
X4+zf4peIIqvrsumfqwfvKei6N8d3FAV5fUP/v6ybOok2N2/Hmd/1i+F81fPersLdlB3d+/Q2+9l
6VePfeGHof9uw4IyMBZiXz3w5S72o99Od4/167HGFfleR3714Hsvyc+2lu8v7K8e//qprH6bPCXu
Lnp39i/F0FePfrJjM2fDqt7Hon/vNb969GUdcPR3MPfv2NaXj52+eyp/H6R89bi8lX9nAZ76D+k9
yZnrMsIqtHy7/kDIpGT+hE39v4o6+fPXExRvfA5+xkbpD2nxvhzg0LJJG/j6tf7+dkMSdUb6y+uB
9vv7y8F/wtP7OV/zD58Fx/L1z/7+FzklKHW81K9H+v5NgCHVn7BMJ7tkXKdPDv4TlunkyaXG2fUf
r8J47j+hmJw9RZ7/xzMf0dmvPnF/yrr9DgD/hPfhdLT69f+QXfUCMP+E++avpGPtG4C/f2v+Bc/i
L37CIa+CP/VE/gm30OUTj5b7scY3foc1vnof/VV3iC8u0+f70d/hj//wRD7rN3+f2f+xC32dxX/2
z9632OPfeIiedsV//n8AAAD//w==</cx:binary>
              </cx:geoCache>
            </cx:geography>
          </cx:layoutPr>
          <cx:valueColors>
            <cx:minColor>
              <a:srgbClr val="FF8585"/>
            </cx:minColor>
            <cx:midColor>
              <a:srgbClr val="33CCCC"/>
            </cx:midColor>
            <cx:maxColor>
              <a:srgbClr val="00CC00"/>
            </cx:maxColor>
          </cx:valueColors>
          <cx:valueColorPositions count="3"/>
        </cx:series>
      </cx:plotAreaRegion>
    </cx:plotArea>
    <cx:legend pos="b" align="ctr" overlay="1">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1F295055-CAD7-4E83-84E2-78C8B0B6E9BD}">
          <cx:tx>
            <cx:txData>
              <cx:f>_xlchart.v1.12</cx:f>
              <cx:v>KM</cx:v>
            </cx:txData>
          </cx:tx>
          <cx:dataLabels pos="inEnd">
            <cx:txPr>
              <a:bodyPr spcFirstLastPara="1" vertOverflow="ellipsis" horzOverflow="overflow" wrap="square" lIns="0" tIns="0" rIns="0" bIns="0" anchor="ctr" anchorCtr="1"/>
              <a:lstStyle/>
              <a:p>
                <a:pPr algn="ctr" rtl="0">
                  <a:defRPr sz="1200" b="1">
                    <a:solidFill>
                      <a:sysClr val="windowText" lastClr="000000"/>
                    </a:solidFill>
                  </a:defRPr>
                </a:pPr>
                <a:endParaRPr lang="en-US" sz="1200" b="1" i="0" u="none" strike="noStrike" baseline="0">
                  <a:solidFill>
                    <a:sysClr val="windowText" lastClr="000000"/>
                  </a:solidFill>
                  <a:latin typeface="Calibri"/>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microsoft.com/office/2014/relationships/chartEx" Target="../charts/chartEx4.xml"/><Relationship Id="rId2"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chart" Target="../charts/chart8.xml"/><Relationship Id="rId5" Type="http://schemas.microsoft.com/office/2014/relationships/chartEx" Target="../charts/chartEx3.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198120</xdr:colOff>
      <xdr:row>1</xdr:row>
      <xdr:rowOff>163830</xdr:rowOff>
    </xdr:from>
    <xdr:to>
      <xdr:col>9</xdr:col>
      <xdr:colOff>502920</xdr:colOff>
      <xdr:row>16</xdr:row>
      <xdr:rowOff>163830</xdr:rowOff>
    </xdr:to>
    <xdr:graphicFrame macro="">
      <xdr:nvGraphicFramePr>
        <xdr:cNvPr id="2" name="Chart 1">
          <a:extLst>
            <a:ext uri="{FF2B5EF4-FFF2-40B4-BE49-F238E27FC236}">
              <a16:creationId xmlns:a16="http://schemas.microsoft.com/office/drawing/2014/main" id="{992BAEAB-8559-8D14-FC95-B88606E92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4</xdr:row>
      <xdr:rowOff>68580</xdr:rowOff>
    </xdr:from>
    <xdr:to>
      <xdr:col>18</xdr:col>
      <xdr:colOff>175260</xdr:colOff>
      <xdr:row>17</xdr:row>
      <xdr:rowOff>144780</xdr:rowOff>
    </xdr:to>
    <xdr:graphicFrame macro="">
      <xdr:nvGraphicFramePr>
        <xdr:cNvPr id="3" name="NAME WISE SALE">
          <a:extLst>
            <a:ext uri="{FF2B5EF4-FFF2-40B4-BE49-F238E27FC236}">
              <a16:creationId xmlns:a16="http://schemas.microsoft.com/office/drawing/2014/main" id="{041B6D6E-46A7-6373-BEFC-8E0048070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190500</xdr:colOff>
      <xdr:row>0</xdr:row>
      <xdr:rowOff>175260</xdr:rowOff>
    </xdr:from>
    <xdr:to>
      <xdr:col>27</xdr:col>
      <xdr:colOff>457200</xdr:colOff>
      <xdr:row>11</xdr:row>
      <xdr:rowOff>45720</xdr:rowOff>
    </xdr:to>
    <xdr:graphicFrame macro="">
      <xdr:nvGraphicFramePr>
        <xdr:cNvPr id="4" name="Chart 3">
          <a:extLst>
            <a:ext uri="{FF2B5EF4-FFF2-40B4-BE49-F238E27FC236}">
              <a16:creationId xmlns:a16="http://schemas.microsoft.com/office/drawing/2014/main" id="{8E152FE0-516E-3CE1-9D04-640930FFF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457200</xdr:colOff>
      <xdr:row>5</xdr:row>
      <xdr:rowOff>26670</xdr:rowOff>
    </xdr:from>
    <xdr:to>
      <xdr:col>44</xdr:col>
      <xdr:colOff>152400</xdr:colOff>
      <xdr:row>20</xdr:row>
      <xdr:rowOff>26670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AEE6915F-4BD6-C7AE-1E90-9D7BC6A125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7607260" y="9410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822960</xdr:colOff>
      <xdr:row>31</xdr:row>
      <xdr:rowOff>60960</xdr:rowOff>
    </xdr:from>
    <xdr:to>
      <xdr:col>36</xdr:col>
      <xdr:colOff>472440</xdr:colOff>
      <xdr:row>43</xdr:row>
      <xdr:rowOff>129540</xdr:rowOff>
    </xdr:to>
    <xdr:graphicFrame macro="">
      <xdr:nvGraphicFramePr>
        <xdr:cNvPr id="6" name="Chart 5">
          <a:extLst>
            <a:ext uri="{FF2B5EF4-FFF2-40B4-BE49-F238E27FC236}">
              <a16:creationId xmlns:a16="http://schemas.microsoft.com/office/drawing/2014/main" id="{6A975392-F50D-0082-E91B-8A92F2F82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30480</xdr:colOff>
      <xdr:row>66</xdr:row>
      <xdr:rowOff>41910</xdr:rowOff>
    </xdr:from>
    <xdr:to>
      <xdr:col>35</xdr:col>
      <xdr:colOff>624840</xdr:colOff>
      <xdr:row>81</xdr:row>
      <xdr:rowOff>41910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D35814F-19B3-43FF-B40C-F37CEA9E54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073360" y="12111990"/>
              <a:ext cx="40157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601980</xdr:colOff>
      <xdr:row>15</xdr:row>
      <xdr:rowOff>167641</xdr:rowOff>
    </xdr:from>
    <xdr:to>
      <xdr:col>24</xdr:col>
      <xdr:colOff>586740</xdr:colOff>
      <xdr:row>21</xdr:row>
      <xdr:rowOff>38101</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A33ABA93-E699-C3B6-3734-C236B7DE4B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436340" y="2910841"/>
              <a:ext cx="181356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7620</xdr:colOff>
      <xdr:row>31</xdr:row>
      <xdr:rowOff>7620</xdr:rowOff>
    </xdr:to>
    <xdr:pic>
      <xdr:nvPicPr>
        <xdr:cNvPr id="3" name="Picture 2">
          <a:extLst>
            <a:ext uri="{FF2B5EF4-FFF2-40B4-BE49-F238E27FC236}">
              <a16:creationId xmlns:a16="http://schemas.microsoft.com/office/drawing/2014/main" id="{2ED63DAD-3515-A0F7-EADF-A8E761243EEF}"/>
            </a:ext>
          </a:extLst>
        </xdr:cNvPr>
        <xdr:cNvPicPr>
          <a:picLocks noChangeAspect="1"/>
        </xdr:cNvPicPr>
      </xdr:nvPicPr>
      <xdr:blipFill>
        <a:blip xmlns:r="http://schemas.openxmlformats.org/officeDocument/2006/relationships" r:embed="rId1"/>
        <a:stretch>
          <a:fillRect/>
        </a:stretch>
      </xdr:blipFill>
      <xdr:spPr>
        <a:xfrm>
          <a:off x="0" y="0"/>
          <a:ext cx="14638020" cy="5676900"/>
        </a:xfrm>
        <a:prstGeom prst="rect">
          <a:avLst/>
        </a:prstGeom>
      </xdr:spPr>
    </xdr:pic>
    <xdr:clientData/>
  </xdr:twoCellAnchor>
  <xdr:twoCellAnchor>
    <xdr:from>
      <xdr:col>0</xdr:col>
      <xdr:colOff>0</xdr:colOff>
      <xdr:row>0</xdr:row>
      <xdr:rowOff>22860</xdr:rowOff>
    </xdr:from>
    <xdr:to>
      <xdr:col>23</xdr:col>
      <xdr:colOff>472440</xdr:colOff>
      <xdr:row>1</xdr:row>
      <xdr:rowOff>175260</xdr:rowOff>
    </xdr:to>
    <xdr:sp macro="" textlink="">
      <xdr:nvSpPr>
        <xdr:cNvPr id="4" name="Rectangle: Rounded Corners 3">
          <a:extLst>
            <a:ext uri="{FF2B5EF4-FFF2-40B4-BE49-F238E27FC236}">
              <a16:creationId xmlns:a16="http://schemas.microsoft.com/office/drawing/2014/main" id="{0C9231CF-7B8E-0DDB-8C7A-23A037F6177A}"/>
            </a:ext>
          </a:extLst>
        </xdr:cNvPr>
        <xdr:cNvSpPr/>
      </xdr:nvSpPr>
      <xdr:spPr>
        <a:xfrm>
          <a:off x="0" y="22860"/>
          <a:ext cx="14493240" cy="335280"/>
        </a:xfrm>
        <a:prstGeom prst="roundRect">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CAR SALES</a:t>
          </a:r>
          <a:r>
            <a:rPr lang="en-IN" sz="3600" b="1" baseline="0"/>
            <a:t> DASHBORD</a:t>
          </a:r>
          <a:endParaRPr lang="en-IN" sz="3600" b="1"/>
        </a:p>
      </xdr:txBody>
    </xdr:sp>
    <xdr:clientData/>
  </xdr:twoCellAnchor>
  <xdr:twoCellAnchor>
    <xdr:from>
      <xdr:col>0</xdr:col>
      <xdr:colOff>60960</xdr:colOff>
      <xdr:row>7</xdr:row>
      <xdr:rowOff>91440</xdr:rowOff>
    </xdr:from>
    <xdr:to>
      <xdr:col>5</xdr:col>
      <xdr:colOff>45720</xdr:colOff>
      <xdr:row>18</xdr:row>
      <xdr:rowOff>38100</xdr:rowOff>
    </xdr:to>
    <xdr:sp macro="" textlink="">
      <xdr:nvSpPr>
        <xdr:cNvPr id="6" name="Rectangle: Rounded Corners 5">
          <a:extLst>
            <a:ext uri="{FF2B5EF4-FFF2-40B4-BE49-F238E27FC236}">
              <a16:creationId xmlns:a16="http://schemas.microsoft.com/office/drawing/2014/main" id="{13F44DB1-58A4-BC99-9482-B89C1C576631}"/>
            </a:ext>
          </a:extLst>
        </xdr:cNvPr>
        <xdr:cNvSpPr/>
      </xdr:nvSpPr>
      <xdr:spPr>
        <a:xfrm>
          <a:off x="60960" y="1371600"/>
          <a:ext cx="3032760" cy="1958340"/>
        </a:xfrm>
        <a:prstGeom prst="roundRect">
          <a:avLst>
            <a:gd name="adj" fmla="val 2836"/>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clientData/>
  </xdr:twoCellAnchor>
  <xdr:twoCellAnchor>
    <xdr:from>
      <xdr:col>0</xdr:col>
      <xdr:colOff>129540</xdr:colOff>
      <xdr:row>8</xdr:row>
      <xdr:rowOff>76200</xdr:rowOff>
    </xdr:from>
    <xdr:to>
      <xdr:col>4</xdr:col>
      <xdr:colOff>594360</xdr:colOff>
      <xdr:row>18</xdr:row>
      <xdr:rowOff>53340</xdr:rowOff>
    </xdr:to>
    <xdr:graphicFrame macro="">
      <xdr:nvGraphicFramePr>
        <xdr:cNvPr id="7" name="NAME WISE SALE">
          <a:extLst>
            <a:ext uri="{FF2B5EF4-FFF2-40B4-BE49-F238E27FC236}">
              <a16:creationId xmlns:a16="http://schemas.microsoft.com/office/drawing/2014/main" id="{639ABD80-F42F-46B3-BC2B-77FB29EF1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18</xdr:row>
      <xdr:rowOff>68580</xdr:rowOff>
    </xdr:from>
    <xdr:to>
      <xdr:col>5</xdr:col>
      <xdr:colOff>38100</xdr:colOff>
      <xdr:row>27</xdr:row>
      <xdr:rowOff>175260</xdr:rowOff>
    </xdr:to>
    <xdr:sp macro="" textlink="">
      <xdr:nvSpPr>
        <xdr:cNvPr id="10" name="Rectangle: Rounded Corners 9">
          <a:extLst>
            <a:ext uri="{FF2B5EF4-FFF2-40B4-BE49-F238E27FC236}">
              <a16:creationId xmlns:a16="http://schemas.microsoft.com/office/drawing/2014/main" id="{6157494B-0E7E-C4C1-65DE-60014BD87F7C}"/>
            </a:ext>
          </a:extLst>
        </xdr:cNvPr>
        <xdr:cNvSpPr/>
      </xdr:nvSpPr>
      <xdr:spPr>
        <a:xfrm>
          <a:off x="38100" y="3360420"/>
          <a:ext cx="3048000" cy="1752600"/>
        </a:xfrm>
        <a:prstGeom prst="roundRect">
          <a:avLst>
            <a:gd name="adj" fmla="val 4164"/>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clientData/>
  </xdr:twoCellAnchor>
  <xdr:twoCellAnchor>
    <xdr:from>
      <xdr:col>0</xdr:col>
      <xdr:colOff>121920</xdr:colOff>
      <xdr:row>20</xdr:row>
      <xdr:rowOff>30480</xdr:rowOff>
    </xdr:from>
    <xdr:to>
      <xdr:col>5</xdr:col>
      <xdr:colOff>533400</xdr:colOff>
      <xdr:row>28</xdr:row>
      <xdr:rowOff>160020</xdr:rowOff>
    </xdr:to>
    <xdr:graphicFrame macro="">
      <xdr:nvGraphicFramePr>
        <xdr:cNvPr id="11" name="Chart 10">
          <a:extLst>
            <a:ext uri="{FF2B5EF4-FFF2-40B4-BE49-F238E27FC236}">
              <a16:creationId xmlns:a16="http://schemas.microsoft.com/office/drawing/2014/main" id="{EFC0506B-907D-4F0C-ACE3-8CEBAAE67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68580</xdr:colOff>
      <xdr:row>7</xdr:row>
      <xdr:rowOff>76200</xdr:rowOff>
    </xdr:from>
    <xdr:to>
      <xdr:col>15</xdr:col>
      <xdr:colOff>289560</xdr:colOff>
      <xdr:row>18</xdr:row>
      <xdr:rowOff>30480</xdr:rowOff>
    </xdr:to>
    <xdr:sp macro="" textlink="">
      <xdr:nvSpPr>
        <xdr:cNvPr id="12" name="Rectangle: Rounded Corners 11">
          <a:extLst>
            <a:ext uri="{FF2B5EF4-FFF2-40B4-BE49-F238E27FC236}">
              <a16:creationId xmlns:a16="http://schemas.microsoft.com/office/drawing/2014/main" id="{03D00FEA-AACF-EABF-F7B4-915404DAB911}"/>
            </a:ext>
          </a:extLst>
        </xdr:cNvPr>
        <xdr:cNvSpPr/>
      </xdr:nvSpPr>
      <xdr:spPr>
        <a:xfrm>
          <a:off x="3116580" y="1356360"/>
          <a:ext cx="6316980" cy="1965960"/>
        </a:xfrm>
        <a:prstGeom prst="roundRect">
          <a:avLst>
            <a:gd name="adj" fmla="val 3625"/>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clientData/>
  </xdr:twoCellAnchor>
  <xdr:twoCellAnchor>
    <xdr:from>
      <xdr:col>5</xdr:col>
      <xdr:colOff>83820</xdr:colOff>
      <xdr:row>8</xdr:row>
      <xdr:rowOff>60960</xdr:rowOff>
    </xdr:from>
    <xdr:to>
      <xdr:col>15</xdr:col>
      <xdr:colOff>236220</xdr:colOff>
      <xdr:row>17</xdr:row>
      <xdr:rowOff>160020</xdr:rowOff>
    </xdr:to>
    <xdr:graphicFrame macro="">
      <xdr:nvGraphicFramePr>
        <xdr:cNvPr id="13" name="Chart 12">
          <a:extLst>
            <a:ext uri="{FF2B5EF4-FFF2-40B4-BE49-F238E27FC236}">
              <a16:creationId xmlns:a16="http://schemas.microsoft.com/office/drawing/2014/main" id="{A1FE3C46-CC4F-49D7-B8C3-31F9B05EA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335280</xdr:colOff>
      <xdr:row>7</xdr:row>
      <xdr:rowOff>68580</xdr:rowOff>
    </xdr:from>
    <xdr:to>
      <xdr:col>20</xdr:col>
      <xdr:colOff>480060</xdr:colOff>
      <xdr:row>27</xdr:row>
      <xdr:rowOff>137160</xdr:rowOff>
    </xdr:to>
    <xdr:sp macro="" textlink="">
      <xdr:nvSpPr>
        <xdr:cNvPr id="14" name="Rectangle: Rounded Corners 13">
          <a:extLst>
            <a:ext uri="{FF2B5EF4-FFF2-40B4-BE49-F238E27FC236}">
              <a16:creationId xmlns:a16="http://schemas.microsoft.com/office/drawing/2014/main" id="{B49EF8F6-318C-C84E-1CA1-5F9F7A1A3B75}"/>
            </a:ext>
          </a:extLst>
        </xdr:cNvPr>
        <xdr:cNvSpPr/>
      </xdr:nvSpPr>
      <xdr:spPr>
        <a:xfrm>
          <a:off x="9479280" y="1348740"/>
          <a:ext cx="3192780" cy="3726180"/>
        </a:xfrm>
        <a:prstGeom prst="roundRect">
          <a:avLst>
            <a:gd name="adj" fmla="val 224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clientData/>
  </xdr:twoCellAnchor>
  <xdr:twoCellAnchor>
    <xdr:from>
      <xdr:col>14</xdr:col>
      <xdr:colOff>548640</xdr:colOff>
      <xdr:row>8</xdr:row>
      <xdr:rowOff>137160</xdr:rowOff>
    </xdr:from>
    <xdr:to>
      <xdr:col>21</xdr:col>
      <xdr:colOff>182880</xdr:colOff>
      <xdr:row>27</xdr:row>
      <xdr:rowOff>76200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151A001E-D3D3-406B-8B4A-7605E98429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083040" y="1600200"/>
              <a:ext cx="3901440" cy="3413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525780</xdr:colOff>
      <xdr:row>7</xdr:row>
      <xdr:rowOff>45720</xdr:rowOff>
    </xdr:from>
    <xdr:to>
      <xdr:col>23</xdr:col>
      <xdr:colOff>76200</xdr:colOff>
      <xdr:row>27</xdr:row>
      <xdr:rowOff>137160</xdr:rowOff>
    </xdr:to>
    <xdr:sp macro="" textlink="">
      <xdr:nvSpPr>
        <xdr:cNvPr id="16" name="Rectangle: Rounded Corners 15">
          <a:extLst>
            <a:ext uri="{FF2B5EF4-FFF2-40B4-BE49-F238E27FC236}">
              <a16:creationId xmlns:a16="http://schemas.microsoft.com/office/drawing/2014/main" id="{51BB1C38-049D-F55A-3542-41943E1639D7}"/>
            </a:ext>
          </a:extLst>
        </xdr:cNvPr>
        <xdr:cNvSpPr/>
      </xdr:nvSpPr>
      <xdr:spPr>
        <a:xfrm>
          <a:off x="12717780" y="1325880"/>
          <a:ext cx="1379220" cy="3749040"/>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clientData/>
  </xdr:twoCellAnchor>
  <xdr:twoCellAnchor>
    <xdr:from>
      <xdr:col>5</xdr:col>
      <xdr:colOff>68580</xdr:colOff>
      <xdr:row>18</xdr:row>
      <xdr:rowOff>60960</xdr:rowOff>
    </xdr:from>
    <xdr:to>
      <xdr:col>8</xdr:col>
      <xdr:colOff>426720</xdr:colOff>
      <xdr:row>27</xdr:row>
      <xdr:rowOff>152400</xdr:rowOff>
    </xdr:to>
    <xdr:sp macro="" textlink="">
      <xdr:nvSpPr>
        <xdr:cNvPr id="17" name="Rectangle: Rounded Corners 16">
          <a:extLst>
            <a:ext uri="{FF2B5EF4-FFF2-40B4-BE49-F238E27FC236}">
              <a16:creationId xmlns:a16="http://schemas.microsoft.com/office/drawing/2014/main" id="{95A34FE2-F117-AD7E-3669-3E66C72C2A66}"/>
            </a:ext>
          </a:extLst>
        </xdr:cNvPr>
        <xdr:cNvSpPr/>
      </xdr:nvSpPr>
      <xdr:spPr>
        <a:xfrm>
          <a:off x="3116580" y="3352800"/>
          <a:ext cx="2186940" cy="1737360"/>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clientData/>
  </xdr:twoCellAnchor>
  <xdr:twoCellAnchor>
    <xdr:from>
      <xdr:col>5</xdr:col>
      <xdr:colOff>7620</xdr:colOff>
      <xdr:row>19</xdr:row>
      <xdr:rowOff>91440</xdr:rowOff>
    </xdr:from>
    <xdr:to>
      <xdr:col>8</xdr:col>
      <xdr:colOff>533400</xdr:colOff>
      <xdr:row>28</xdr:row>
      <xdr:rowOff>137160</xdr:rowOff>
    </xdr:to>
    <xdr:graphicFrame macro="">
      <xdr:nvGraphicFramePr>
        <xdr:cNvPr id="18" name="Chart 17">
          <a:extLst>
            <a:ext uri="{FF2B5EF4-FFF2-40B4-BE49-F238E27FC236}">
              <a16:creationId xmlns:a16="http://schemas.microsoft.com/office/drawing/2014/main" id="{24C4D955-4FFA-4E65-81D5-777AE846A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472440</xdr:colOff>
      <xdr:row>18</xdr:row>
      <xdr:rowOff>76200</xdr:rowOff>
    </xdr:from>
    <xdr:to>
      <xdr:col>15</xdr:col>
      <xdr:colOff>297180</xdr:colOff>
      <xdr:row>27</xdr:row>
      <xdr:rowOff>106680</xdr:rowOff>
    </xdr:to>
    <xdr:sp macro="" textlink="">
      <xdr:nvSpPr>
        <xdr:cNvPr id="19" name="Rectangle: Rounded Corners 18">
          <a:extLst>
            <a:ext uri="{FF2B5EF4-FFF2-40B4-BE49-F238E27FC236}">
              <a16:creationId xmlns:a16="http://schemas.microsoft.com/office/drawing/2014/main" id="{F6685AD7-BEC6-FC76-DF98-DCE5BB8AC3E4}"/>
            </a:ext>
          </a:extLst>
        </xdr:cNvPr>
        <xdr:cNvSpPr/>
      </xdr:nvSpPr>
      <xdr:spPr>
        <a:xfrm>
          <a:off x="5349240" y="3368040"/>
          <a:ext cx="4091940" cy="1676400"/>
        </a:xfrm>
        <a:prstGeom prst="roundRect">
          <a:avLst>
            <a:gd name="adj" fmla="val 2132"/>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clientData/>
  </xdr:twoCellAnchor>
  <xdr:twoCellAnchor>
    <xdr:from>
      <xdr:col>8</xdr:col>
      <xdr:colOff>464820</xdr:colOff>
      <xdr:row>19</xdr:row>
      <xdr:rowOff>137160</xdr:rowOff>
    </xdr:from>
    <xdr:to>
      <xdr:col>15</xdr:col>
      <xdr:colOff>304800</xdr:colOff>
      <xdr:row>27</xdr:row>
      <xdr:rowOff>91440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38291093-94B9-404E-919B-A0E9EC47CB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341620" y="3611880"/>
              <a:ext cx="4107180" cy="1417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548640</xdr:colOff>
      <xdr:row>7</xdr:row>
      <xdr:rowOff>114300</xdr:rowOff>
    </xdr:from>
    <xdr:to>
      <xdr:col>23</xdr:col>
      <xdr:colOff>22860</xdr:colOff>
      <xdr:row>21</xdr:row>
      <xdr:rowOff>20955</xdr:rowOff>
    </xdr:to>
    <mc:AlternateContent xmlns:mc="http://schemas.openxmlformats.org/markup-compatibility/2006" xmlns:a14="http://schemas.microsoft.com/office/drawing/2010/main">
      <mc:Choice Requires="a14">
        <xdr:graphicFrame macro="">
          <xdr:nvGraphicFramePr>
            <xdr:cNvPr id="21" name="State">
              <a:extLst>
                <a:ext uri="{FF2B5EF4-FFF2-40B4-BE49-F238E27FC236}">
                  <a16:creationId xmlns:a16="http://schemas.microsoft.com/office/drawing/2014/main" id="{DF85FD03-E578-ED1F-BB75-8C28257B9E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40640" y="1394460"/>
              <a:ext cx="13030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548640</xdr:colOff>
      <xdr:row>20</xdr:row>
      <xdr:rowOff>175261</xdr:rowOff>
    </xdr:from>
    <xdr:to>
      <xdr:col>23</xdr:col>
      <xdr:colOff>22860</xdr:colOff>
      <xdr:row>27</xdr:row>
      <xdr:rowOff>60961</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40041085-940E-C5B5-E533-5C0D46F50A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40640" y="3832861"/>
              <a:ext cx="130302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48663</xdr:colOff>
      <xdr:row>2</xdr:row>
      <xdr:rowOff>22860</xdr:rowOff>
    </xdr:from>
    <xdr:to>
      <xdr:col>12</xdr:col>
      <xdr:colOff>112</xdr:colOff>
      <xdr:row>7</xdr:row>
      <xdr:rowOff>22860</xdr:rowOff>
    </xdr:to>
    <xdr:grpSp>
      <xdr:nvGrpSpPr>
        <xdr:cNvPr id="36" name="Group 35">
          <a:extLst>
            <a:ext uri="{FF2B5EF4-FFF2-40B4-BE49-F238E27FC236}">
              <a16:creationId xmlns:a16="http://schemas.microsoft.com/office/drawing/2014/main" id="{534C80BC-90D3-7008-ACB8-E027FE6B7E39}"/>
            </a:ext>
          </a:extLst>
        </xdr:cNvPr>
        <xdr:cNvGrpSpPr/>
      </xdr:nvGrpSpPr>
      <xdr:grpSpPr>
        <a:xfrm>
          <a:off x="4925463" y="388620"/>
          <a:ext cx="2389849" cy="914400"/>
          <a:chOff x="68580" y="411480"/>
          <a:chExt cx="2758440" cy="914400"/>
        </a:xfrm>
      </xdr:grpSpPr>
      <xdr:sp macro="" textlink="">
        <xdr:nvSpPr>
          <xdr:cNvPr id="37" name="Rectangle: Rounded Corners 36">
            <a:extLst>
              <a:ext uri="{FF2B5EF4-FFF2-40B4-BE49-F238E27FC236}">
                <a16:creationId xmlns:a16="http://schemas.microsoft.com/office/drawing/2014/main" id="{A6450BB6-44DF-DF1F-2C2E-95B57E9D217E}"/>
              </a:ext>
            </a:extLst>
          </xdr:cNvPr>
          <xdr:cNvSpPr/>
        </xdr:nvSpPr>
        <xdr:spPr>
          <a:xfrm>
            <a:off x="68580" y="425994"/>
            <a:ext cx="2758440" cy="899886"/>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sp macro="" textlink="">
        <xdr:nvSpPr>
          <xdr:cNvPr id="38" name="Rectangle: Rounded Corners 37">
            <a:extLst>
              <a:ext uri="{FF2B5EF4-FFF2-40B4-BE49-F238E27FC236}">
                <a16:creationId xmlns:a16="http://schemas.microsoft.com/office/drawing/2014/main" id="{8783C667-C945-1663-2ECA-5FE803D7603E}"/>
              </a:ext>
            </a:extLst>
          </xdr:cNvPr>
          <xdr:cNvSpPr/>
        </xdr:nvSpPr>
        <xdr:spPr>
          <a:xfrm>
            <a:off x="83820" y="411480"/>
            <a:ext cx="2720340" cy="41910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 COST</a:t>
            </a:r>
          </a:p>
        </xdr:txBody>
      </xdr:sp>
    </xdr:grpSp>
    <xdr:clientData/>
  </xdr:twoCellAnchor>
  <xdr:twoCellAnchor>
    <xdr:from>
      <xdr:col>0</xdr:col>
      <xdr:colOff>66544</xdr:colOff>
      <xdr:row>2</xdr:row>
      <xdr:rowOff>60234</xdr:rowOff>
    </xdr:from>
    <xdr:to>
      <xdr:col>4</xdr:col>
      <xdr:colOff>17992</xdr:colOff>
      <xdr:row>7</xdr:row>
      <xdr:rowOff>45720</xdr:rowOff>
    </xdr:to>
    <xdr:sp macro="" textlink="">
      <xdr:nvSpPr>
        <xdr:cNvPr id="5" name="Rectangle: Rounded Corners 4">
          <a:extLst>
            <a:ext uri="{FF2B5EF4-FFF2-40B4-BE49-F238E27FC236}">
              <a16:creationId xmlns:a16="http://schemas.microsoft.com/office/drawing/2014/main" id="{DA389464-0982-4B18-BF52-8F58A6F414E1}"/>
            </a:ext>
          </a:extLst>
        </xdr:cNvPr>
        <xdr:cNvSpPr/>
      </xdr:nvSpPr>
      <xdr:spPr>
        <a:xfrm>
          <a:off x="66544" y="425994"/>
          <a:ext cx="2389848" cy="899886"/>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xdr:txBody>
    </xdr:sp>
    <xdr:clientData/>
  </xdr:twoCellAnchor>
  <xdr:twoCellAnchor>
    <xdr:from>
      <xdr:col>0</xdr:col>
      <xdr:colOff>79747</xdr:colOff>
      <xdr:row>2</xdr:row>
      <xdr:rowOff>45720</xdr:rowOff>
    </xdr:from>
    <xdr:to>
      <xdr:col>3</xdr:col>
      <xdr:colOff>607786</xdr:colOff>
      <xdr:row>4</xdr:row>
      <xdr:rowOff>99060</xdr:rowOff>
    </xdr:to>
    <xdr:sp macro="" textlink="">
      <xdr:nvSpPr>
        <xdr:cNvPr id="31" name="Rectangle: Rounded Corners 30">
          <a:extLst>
            <a:ext uri="{FF2B5EF4-FFF2-40B4-BE49-F238E27FC236}">
              <a16:creationId xmlns:a16="http://schemas.microsoft.com/office/drawing/2014/main" id="{FF1B03AA-2B8A-34B2-5915-262AE6659F8D}"/>
            </a:ext>
          </a:extLst>
        </xdr:cNvPr>
        <xdr:cNvSpPr/>
      </xdr:nvSpPr>
      <xdr:spPr>
        <a:xfrm>
          <a:off x="79747" y="411480"/>
          <a:ext cx="2356839" cy="41910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 UNIT PRICE</a:t>
          </a:r>
        </a:p>
      </xdr:txBody>
    </xdr:sp>
    <xdr:clientData/>
  </xdr:twoCellAnchor>
  <xdr:twoCellAnchor>
    <xdr:from>
      <xdr:col>0</xdr:col>
      <xdr:colOff>53340</xdr:colOff>
      <xdr:row>5</xdr:row>
      <xdr:rowOff>37374</xdr:rowOff>
    </xdr:from>
    <xdr:to>
      <xdr:col>4</xdr:col>
      <xdr:colOff>4788</xdr:colOff>
      <xdr:row>7</xdr:row>
      <xdr:rowOff>38100</xdr:rowOff>
    </xdr:to>
    <xdr:sp macro="" textlink="KPI!D6">
      <xdr:nvSpPr>
        <xdr:cNvPr id="48" name="Rectangle: Rounded Corners 47">
          <a:extLst>
            <a:ext uri="{FF2B5EF4-FFF2-40B4-BE49-F238E27FC236}">
              <a16:creationId xmlns:a16="http://schemas.microsoft.com/office/drawing/2014/main" id="{D83443DB-B597-1067-F8D4-A2AD762FB1ED}"/>
            </a:ext>
          </a:extLst>
        </xdr:cNvPr>
        <xdr:cNvSpPr/>
      </xdr:nvSpPr>
      <xdr:spPr>
        <a:xfrm>
          <a:off x="53340" y="951774"/>
          <a:ext cx="2389848" cy="366486"/>
        </a:xfrm>
        <a:prstGeom prst="roundRect">
          <a:avLst>
            <a:gd name="adj" fmla="val 167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1D5310-E9D9-49C5-A29E-877B9B11B4B2}" type="TxLink">
            <a:rPr lang="en-US" sz="2400" b="1" i="0" u="none" strike="noStrike">
              <a:solidFill>
                <a:schemeClr val="bg1"/>
              </a:solidFill>
              <a:latin typeface="Calibri"/>
              <a:ea typeface="Calibri"/>
              <a:cs typeface="Calibri"/>
            </a:rPr>
            <a:pPr algn="ctr"/>
            <a:t>1683.76 CR</a:t>
          </a:fld>
          <a:endParaRPr lang="en-IN" sz="3600" b="1">
            <a:solidFill>
              <a:schemeClr val="bg1"/>
            </a:solidFill>
          </a:endParaRPr>
        </a:p>
      </xdr:txBody>
    </xdr:sp>
    <xdr:clientData/>
  </xdr:twoCellAnchor>
  <xdr:twoCellAnchor>
    <xdr:from>
      <xdr:col>4</xdr:col>
      <xdr:colOff>37798</xdr:colOff>
      <xdr:row>2</xdr:row>
      <xdr:rowOff>38100</xdr:rowOff>
    </xdr:from>
    <xdr:to>
      <xdr:col>8</xdr:col>
      <xdr:colOff>9052</xdr:colOff>
      <xdr:row>7</xdr:row>
      <xdr:rowOff>38100</xdr:rowOff>
    </xdr:to>
    <xdr:grpSp>
      <xdr:nvGrpSpPr>
        <xdr:cNvPr id="8" name="Group 7">
          <a:extLst>
            <a:ext uri="{FF2B5EF4-FFF2-40B4-BE49-F238E27FC236}">
              <a16:creationId xmlns:a16="http://schemas.microsoft.com/office/drawing/2014/main" id="{257ACADC-A25C-2CB2-A6FE-C6A218DA919E}"/>
            </a:ext>
          </a:extLst>
        </xdr:cNvPr>
        <xdr:cNvGrpSpPr/>
      </xdr:nvGrpSpPr>
      <xdr:grpSpPr>
        <a:xfrm>
          <a:off x="2476198" y="403860"/>
          <a:ext cx="2409654" cy="914400"/>
          <a:chOff x="2849880" y="403860"/>
          <a:chExt cx="2781300" cy="914400"/>
        </a:xfrm>
      </xdr:grpSpPr>
      <xdr:sp macro="" textlink="">
        <xdr:nvSpPr>
          <xdr:cNvPr id="34" name="Rectangle: Rounded Corners 33">
            <a:extLst>
              <a:ext uri="{FF2B5EF4-FFF2-40B4-BE49-F238E27FC236}">
                <a16:creationId xmlns:a16="http://schemas.microsoft.com/office/drawing/2014/main" id="{CB0662E2-81B2-F37B-5663-A7F688948A7D}"/>
              </a:ext>
            </a:extLst>
          </xdr:cNvPr>
          <xdr:cNvSpPr/>
        </xdr:nvSpPr>
        <xdr:spPr>
          <a:xfrm>
            <a:off x="2872740" y="418374"/>
            <a:ext cx="2758440" cy="899886"/>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sp macro="" textlink="">
        <xdr:nvSpPr>
          <xdr:cNvPr id="35" name="Rectangle: Rounded Corners 34">
            <a:extLst>
              <a:ext uri="{FF2B5EF4-FFF2-40B4-BE49-F238E27FC236}">
                <a16:creationId xmlns:a16="http://schemas.microsoft.com/office/drawing/2014/main" id="{0ED23D4F-73C1-E4EC-9F4F-BB76690A2ACB}"/>
              </a:ext>
            </a:extLst>
          </xdr:cNvPr>
          <xdr:cNvSpPr/>
        </xdr:nvSpPr>
        <xdr:spPr>
          <a:xfrm>
            <a:off x="2887980" y="403860"/>
            <a:ext cx="2720340" cy="41910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 UNIT SOLD</a:t>
            </a:r>
          </a:p>
        </xdr:txBody>
      </xdr:sp>
      <xdr:sp macro="" textlink="KPI!J6">
        <xdr:nvSpPr>
          <xdr:cNvPr id="59" name="Rectangle: Rounded Corners 58">
            <a:extLst>
              <a:ext uri="{FF2B5EF4-FFF2-40B4-BE49-F238E27FC236}">
                <a16:creationId xmlns:a16="http://schemas.microsoft.com/office/drawing/2014/main" id="{13F52B46-6F3D-482B-8F56-DEE1EDFD1C8D}"/>
              </a:ext>
            </a:extLst>
          </xdr:cNvPr>
          <xdr:cNvSpPr/>
        </xdr:nvSpPr>
        <xdr:spPr>
          <a:xfrm>
            <a:off x="2849880" y="922020"/>
            <a:ext cx="2758440" cy="366486"/>
          </a:xfrm>
          <a:prstGeom prst="roundRect">
            <a:avLst>
              <a:gd name="adj" fmla="val 167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B33791-0211-4E8C-B4F4-8FD9C85457DD}" type="TxLink">
              <a:rPr lang="en-US" sz="2400" b="1" i="0" u="none" strike="noStrike">
                <a:solidFill>
                  <a:schemeClr val="bg1"/>
                </a:solidFill>
                <a:latin typeface="Calibri"/>
                <a:ea typeface="Calibri"/>
                <a:cs typeface="Calibri"/>
              </a:rPr>
              <a:pPr algn="ctr"/>
              <a:t>7163</a:t>
            </a:fld>
            <a:endParaRPr lang="en-US" sz="2400" b="1" i="0" u="none" strike="noStrike">
              <a:solidFill>
                <a:schemeClr val="bg1"/>
              </a:solidFill>
              <a:latin typeface="Calibri"/>
              <a:ea typeface="Calibri"/>
              <a:cs typeface="Calibri"/>
            </a:endParaRPr>
          </a:p>
        </xdr:txBody>
      </xdr:sp>
    </xdr:grpSp>
    <xdr:clientData/>
  </xdr:twoCellAnchor>
  <xdr:twoCellAnchor>
    <xdr:from>
      <xdr:col>12</xdr:col>
      <xdr:colOff>59528</xdr:colOff>
      <xdr:row>2</xdr:row>
      <xdr:rowOff>15240</xdr:rowOff>
    </xdr:from>
    <xdr:to>
      <xdr:col>16</xdr:col>
      <xdr:colOff>17579</xdr:colOff>
      <xdr:row>7</xdr:row>
      <xdr:rowOff>15240</xdr:rowOff>
    </xdr:to>
    <xdr:grpSp>
      <xdr:nvGrpSpPr>
        <xdr:cNvPr id="24" name="Group 23">
          <a:extLst>
            <a:ext uri="{FF2B5EF4-FFF2-40B4-BE49-F238E27FC236}">
              <a16:creationId xmlns:a16="http://schemas.microsoft.com/office/drawing/2014/main" id="{9F6E3F71-9306-178B-2D7F-32DE697566A7}"/>
            </a:ext>
          </a:extLst>
        </xdr:cNvPr>
        <xdr:cNvGrpSpPr/>
      </xdr:nvGrpSpPr>
      <xdr:grpSpPr>
        <a:xfrm>
          <a:off x="7374728" y="381000"/>
          <a:ext cx="2396451" cy="914400"/>
          <a:chOff x="8503920" y="381000"/>
          <a:chExt cx="2766060" cy="914400"/>
        </a:xfrm>
      </xdr:grpSpPr>
      <xdr:grpSp>
        <xdr:nvGrpSpPr>
          <xdr:cNvPr id="39" name="Group 38">
            <a:extLst>
              <a:ext uri="{FF2B5EF4-FFF2-40B4-BE49-F238E27FC236}">
                <a16:creationId xmlns:a16="http://schemas.microsoft.com/office/drawing/2014/main" id="{5ED687CE-564D-0F5F-8199-71005EABB4A8}"/>
              </a:ext>
            </a:extLst>
          </xdr:cNvPr>
          <xdr:cNvGrpSpPr/>
        </xdr:nvGrpSpPr>
        <xdr:grpSpPr>
          <a:xfrm>
            <a:off x="8503920" y="381000"/>
            <a:ext cx="2758440" cy="914400"/>
            <a:chOff x="68580" y="411480"/>
            <a:chExt cx="2758440" cy="914400"/>
          </a:xfrm>
        </xdr:grpSpPr>
        <xdr:sp macro="" textlink="">
          <xdr:nvSpPr>
            <xdr:cNvPr id="40" name="Rectangle: Rounded Corners 39">
              <a:extLst>
                <a:ext uri="{FF2B5EF4-FFF2-40B4-BE49-F238E27FC236}">
                  <a16:creationId xmlns:a16="http://schemas.microsoft.com/office/drawing/2014/main" id="{FB1BE9D8-5915-1AE0-18E7-134DB6F658BA}"/>
                </a:ext>
              </a:extLst>
            </xdr:cNvPr>
            <xdr:cNvSpPr/>
          </xdr:nvSpPr>
          <xdr:spPr>
            <a:xfrm>
              <a:off x="68580" y="425994"/>
              <a:ext cx="2758440" cy="899886"/>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sp macro="" textlink="">
          <xdr:nvSpPr>
            <xdr:cNvPr id="41" name="Rectangle: Rounded Corners 40">
              <a:extLst>
                <a:ext uri="{FF2B5EF4-FFF2-40B4-BE49-F238E27FC236}">
                  <a16:creationId xmlns:a16="http://schemas.microsoft.com/office/drawing/2014/main" id="{F698FF71-2D40-58FB-A6B9-A03F2C5FE533}"/>
                </a:ext>
              </a:extLst>
            </xdr:cNvPr>
            <xdr:cNvSpPr/>
          </xdr:nvSpPr>
          <xdr:spPr>
            <a:xfrm>
              <a:off x="76200" y="411480"/>
              <a:ext cx="2720340" cy="41910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 SALE PRICE</a:t>
              </a:r>
            </a:p>
          </xdr:txBody>
        </xdr:sp>
      </xdr:grpSp>
      <xdr:sp macro="" textlink="KPI!A6">
        <xdr:nvSpPr>
          <xdr:cNvPr id="61" name="Rectangle: Rounded Corners 60">
            <a:extLst>
              <a:ext uri="{FF2B5EF4-FFF2-40B4-BE49-F238E27FC236}">
                <a16:creationId xmlns:a16="http://schemas.microsoft.com/office/drawing/2014/main" id="{95AF69AB-3153-A1CE-4179-124E43EDC1E3}"/>
              </a:ext>
            </a:extLst>
          </xdr:cNvPr>
          <xdr:cNvSpPr/>
        </xdr:nvSpPr>
        <xdr:spPr>
          <a:xfrm>
            <a:off x="8511540" y="891540"/>
            <a:ext cx="2758440" cy="366486"/>
          </a:xfrm>
          <a:prstGeom prst="roundRect">
            <a:avLst>
              <a:gd name="adj" fmla="val 167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D90746-BB4B-4E30-9C2E-C7534D2344BF}" type="TxLink">
              <a:rPr lang="en-US" sz="2400" b="1" i="0" u="none" strike="noStrike">
                <a:solidFill>
                  <a:schemeClr val="bg1"/>
                </a:solidFill>
                <a:latin typeface="Calibri"/>
                <a:ea typeface="Calibri"/>
                <a:cs typeface="Calibri"/>
              </a:rPr>
              <a:pPr algn="ctr"/>
              <a:t>7587.62 CR</a:t>
            </a:fld>
            <a:endParaRPr lang="en-IN" sz="6600" b="1">
              <a:solidFill>
                <a:schemeClr val="bg1"/>
              </a:solidFill>
            </a:endParaRPr>
          </a:p>
        </xdr:txBody>
      </xdr:sp>
    </xdr:grpSp>
    <xdr:clientData/>
  </xdr:twoCellAnchor>
  <xdr:twoCellAnchor>
    <xdr:from>
      <xdr:col>16</xdr:col>
      <xdr:colOff>50588</xdr:colOff>
      <xdr:row>2</xdr:row>
      <xdr:rowOff>22860</xdr:rowOff>
    </xdr:from>
    <xdr:to>
      <xdr:col>20</xdr:col>
      <xdr:colOff>2036</xdr:colOff>
      <xdr:row>7</xdr:row>
      <xdr:rowOff>22860</xdr:rowOff>
    </xdr:to>
    <xdr:grpSp>
      <xdr:nvGrpSpPr>
        <xdr:cNvPr id="42" name="Group 41">
          <a:extLst>
            <a:ext uri="{FF2B5EF4-FFF2-40B4-BE49-F238E27FC236}">
              <a16:creationId xmlns:a16="http://schemas.microsoft.com/office/drawing/2014/main" id="{4EB1C880-655A-FD7A-14FE-FE43EF90B70B}"/>
            </a:ext>
          </a:extLst>
        </xdr:cNvPr>
        <xdr:cNvGrpSpPr/>
      </xdr:nvGrpSpPr>
      <xdr:grpSpPr>
        <a:xfrm>
          <a:off x="9804188" y="388620"/>
          <a:ext cx="2389848" cy="914400"/>
          <a:chOff x="68580" y="411480"/>
          <a:chExt cx="2758440" cy="914400"/>
        </a:xfrm>
      </xdr:grpSpPr>
      <xdr:sp macro="" textlink="">
        <xdr:nvSpPr>
          <xdr:cNvPr id="43" name="Rectangle: Rounded Corners 42">
            <a:extLst>
              <a:ext uri="{FF2B5EF4-FFF2-40B4-BE49-F238E27FC236}">
                <a16:creationId xmlns:a16="http://schemas.microsoft.com/office/drawing/2014/main" id="{8C41FD0C-BA3B-5F92-20B2-FFF9FAF0E855}"/>
              </a:ext>
            </a:extLst>
          </xdr:cNvPr>
          <xdr:cNvSpPr/>
        </xdr:nvSpPr>
        <xdr:spPr>
          <a:xfrm>
            <a:off x="68580" y="425994"/>
            <a:ext cx="2758440" cy="899886"/>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3600" b="1"/>
          </a:p>
        </xdr:txBody>
      </xdr:sp>
      <xdr:sp macro="" textlink="">
        <xdr:nvSpPr>
          <xdr:cNvPr id="44" name="Rectangle: Rounded Corners 43">
            <a:extLst>
              <a:ext uri="{FF2B5EF4-FFF2-40B4-BE49-F238E27FC236}">
                <a16:creationId xmlns:a16="http://schemas.microsoft.com/office/drawing/2014/main" id="{882A8465-8584-D8BD-9509-A35879E24C40}"/>
              </a:ext>
            </a:extLst>
          </xdr:cNvPr>
          <xdr:cNvSpPr/>
        </xdr:nvSpPr>
        <xdr:spPr>
          <a:xfrm>
            <a:off x="68580" y="411480"/>
            <a:ext cx="2720340" cy="41910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TOTAL PROFIT</a:t>
            </a:r>
          </a:p>
        </xdr:txBody>
      </xdr:sp>
    </xdr:grpSp>
    <xdr:clientData/>
  </xdr:twoCellAnchor>
  <xdr:twoCellAnchor>
    <xdr:from>
      <xdr:col>16</xdr:col>
      <xdr:colOff>63792</xdr:colOff>
      <xdr:row>4</xdr:row>
      <xdr:rowOff>175260</xdr:rowOff>
    </xdr:from>
    <xdr:to>
      <xdr:col>20</xdr:col>
      <xdr:colOff>15240</xdr:colOff>
      <xdr:row>6</xdr:row>
      <xdr:rowOff>175986</xdr:rowOff>
    </xdr:to>
    <xdr:sp macro="" textlink="KPI!G6">
      <xdr:nvSpPr>
        <xdr:cNvPr id="62" name="Rectangle: Rounded Corners 61">
          <a:extLst>
            <a:ext uri="{FF2B5EF4-FFF2-40B4-BE49-F238E27FC236}">
              <a16:creationId xmlns:a16="http://schemas.microsoft.com/office/drawing/2014/main" id="{BBD961C6-AF79-175D-A059-55CF8EEF9EDC}"/>
            </a:ext>
          </a:extLst>
        </xdr:cNvPr>
        <xdr:cNvSpPr/>
      </xdr:nvSpPr>
      <xdr:spPr>
        <a:xfrm>
          <a:off x="9817392" y="906780"/>
          <a:ext cx="2389848" cy="366486"/>
        </a:xfrm>
        <a:prstGeom prst="roundRect">
          <a:avLst>
            <a:gd name="adj" fmla="val 167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3290D9-566E-4B74-A944-3B20A5240126}" type="TxLink">
            <a:rPr lang="en-US" sz="2400" b="1" i="0" u="none" strike="noStrike">
              <a:solidFill>
                <a:schemeClr val="bg1"/>
              </a:solidFill>
              <a:latin typeface="Calibri"/>
              <a:ea typeface="Calibri"/>
              <a:cs typeface="Calibri"/>
            </a:rPr>
            <a:pPr algn="ctr"/>
            <a:t>1319.05 CR</a:t>
          </a:fld>
          <a:endParaRPr lang="en-IN" sz="6600" b="1">
            <a:solidFill>
              <a:schemeClr val="bg1"/>
            </a:solidFill>
          </a:endParaRPr>
        </a:p>
      </xdr:txBody>
    </xdr:sp>
    <xdr:clientData/>
  </xdr:twoCellAnchor>
  <xdr:twoCellAnchor>
    <xdr:from>
      <xdr:col>5</xdr:col>
      <xdr:colOff>60960</xdr:colOff>
      <xdr:row>7</xdr:row>
      <xdr:rowOff>99060</xdr:rowOff>
    </xdr:from>
    <xdr:to>
      <xdr:col>10</xdr:col>
      <xdr:colOff>350520</xdr:colOff>
      <xdr:row>8</xdr:row>
      <xdr:rowOff>121920</xdr:rowOff>
    </xdr:to>
    <xdr:sp macro="" textlink="">
      <xdr:nvSpPr>
        <xdr:cNvPr id="63" name="Rectangle: Rounded Corners 62">
          <a:extLst>
            <a:ext uri="{FF2B5EF4-FFF2-40B4-BE49-F238E27FC236}">
              <a16:creationId xmlns:a16="http://schemas.microsoft.com/office/drawing/2014/main" id="{619674DD-09E9-CE60-BEE3-A43BB59A0241}"/>
            </a:ext>
          </a:extLst>
        </xdr:cNvPr>
        <xdr:cNvSpPr/>
      </xdr:nvSpPr>
      <xdr:spPr>
        <a:xfrm>
          <a:off x="3108960" y="1379220"/>
          <a:ext cx="3337560" cy="20574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MONTH</a:t>
          </a:r>
          <a:r>
            <a:rPr lang="en-IN" sz="1400" b="1" baseline="0"/>
            <a:t> WISE SALE PRICE</a:t>
          </a:r>
          <a:endParaRPr lang="en-IN" sz="1400" b="1"/>
        </a:p>
      </xdr:txBody>
    </xdr:sp>
    <xdr:clientData/>
  </xdr:twoCellAnchor>
  <xdr:twoCellAnchor>
    <xdr:from>
      <xdr:col>0</xdr:col>
      <xdr:colOff>91440</xdr:colOff>
      <xdr:row>7</xdr:row>
      <xdr:rowOff>114300</xdr:rowOff>
    </xdr:from>
    <xdr:to>
      <xdr:col>5</xdr:col>
      <xdr:colOff>15240</xdr:colOff>
      <xdr:row>8</xdr:row>
      <xdr:rowOff>144780</xdr:rowOff>
    </xdr:to>
    <xdr:sp macro="" textlink="">
      <xdr:nvSpPr>
        <xdr:cNvPr id="64" name="Rectangle: Rounded Corners 63">
          <a:extLst>
            <a:ext uri="{FF2B5EF4-FFF2-40B4-BE49-F238E27FC236}">
              <a16:creationId xmlns:a16="http://schemas.microsoft.com/office/drawing/2014/main" id="{C25D4D35-DD61-9097-669F-C17BFF33B1EE}"/>
            </a:ext>
          </a:extLst>
        </xdr:cNvPr>
        <xdr:cNvSpPr/>
      </xdr:nvSpPr>
      <xdr:spPr>
        <a:xfrm>
          <a:off x="91440" y="1394460"/>
          <a:ext cx="2971800" cy="21336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TOP 5 NAME MOST SALE CARS AND PRICE</a:t>
          </a:r>
        </a:p>
      </xdr:txBody>
    </xdr:sp>
    <xdr:clientData/>
  </xdr:twoCellAnchor>
  <xdr:twoCellAnchor>
    <xdr:from>
      <xdr:col>15</xdr:col>
      <xdr:colOff>358140</xdr:colOff>
      <xdr:row>7</xdr:row>
      <xdr:rowOff>99060</xdr:rowOff>
    </xdr:from>
    <xdr:to>
      <xdr:col>18</xdr:col>
      <xdr:colOff>586740</xdr:colOff>
      <xdr:row>8</xdr:row>
      <xdr:rowOff>121920</xdr:rowOff>
    </xdr:to>
    <xdr:sp macro="" textlink="">
      <xdr:nvSpPr>
        <xdr:cNvPr id="65" name="Rectangle: Rounded Corners 64">
          <a:extLst>
            <a:ext uri="{FF2B5EF4-FFF2-40B4-BE49-F238E27FC236}">
              <a16:creationId xmlns:a16="http://schemas.microsoft.com/office/drawing/2014/main" id="{4ABD08A7-D610-507E-60EC-CF745AD0D09F}"/>
            </a:ext>
          </a:extLst>
        </xdr:cNvPr>
        <xdr:cNvSpPr/>
      </xdr:nvSpPr>
      <xdr:spPr>
        <a:xfrm>
          <a:off x="9502140" y="1379220"/>
          <a:ext cx="2057400" cy="20574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STATE WISE SALE PRICE</a:t>
          </a:r>
        </a:p>
      </xdr:txBody>
    </xdr:sp>
    <xdr:clientData/>
  </xdr:twoCellAnchor>
  <xdr:twoCellAnchor>
    <xdr:from>
      <xdr:col>0</xdr:col>
      <xdr:colOff>45720</xdr:colOff>
      <xdr:row>18</xdr:row>
      <xdr:rowOff>83820</xdr:rowOff>
    </xdr:from>
    <xdr:to>
      <xdr:col>3</xdr:col>
      <xdr:colOff>144780</xdr:colOff>
      <xdr:row>19</xdr:row>
      <xdr:rowOff>144780</xdr:rowOff>
    </xdr:to>
    <xdr:sp macro="" textlink="">
      <xdr:nvSpPr>
        <xdr:cNvPr id="66" name="Rectangle: Rounded Corners 65">
          <a:extLst>
            <a:ext uri="{FF2B5EF4-FFF2-40B4-BE49-F238E27FC236}">
              <a16:creationId xmlns:a16="http://schemas.microsoft.com/office/drawing/2014/main" id="{F15E54AF-792F-7130-3615-CB8E93CAE2B2}"/>
            </a:ext>
          </a:extLst>
        </xdr:cNvPr>
        <xdr:cNvSpPr/>
      </xdr:nvSpPr>
      <xdr:spPr>
        <a:xfrm>
          <a:off x="45720" y="3375660"/>
          <a:ext cx="1927860" cy="24384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TOP 5 MODAL SALE</a:t>
          </a:r>
        </a:p>
      </xdr:txBody>
    </xdr:sp>
    <xdr:clientData/>
  </xdr:twoCellAnchor>
  <xdr:twoCellAnchor>
    <xdr:from>
      <xdr:col>5</xdr:col>
      <xdr:colOff>99060</xdr:colOff>
      <xdr:row>18</xdr:row>
      <xdr:rowOff>99060</xdr:rowOff>
    </xdr:from>
    <xdr:to>
      <xdr:col>8</xdr:col>
      <xdr:colOff>198120</xdr:colOff>
      <xdr:row>19</xdr:row>
      <xdr:rowOff>160020</xdr:rowOff>
    </xdr:to>
    <xdr:sp macro="" textlink="">
      <xdr:nvSpPr>
        <xdr:cNvPr id="67" name="Rectangle: Rounded Corners 66">
          <a:extLst>
            <a:ext uri="{FF2B5EF4-FFF2-40B4-BE49-F238E27FC236}">
              <a16:creationId xmlns:a16="http://schemas.microsoft.com/office/drawing/2014/main" id="{D231DCB6-11E5-AFEA-C9AB-7917D487D26F}"/>
            </a:ext>
          </a:extLst>
        </xdr:cNvPr>
        <xdr:cNvSpPr/>
      </xdr:nvSpPr>
      <xdr:spPr>
        <a:xfrm>
          <a:off x="3147060" y="3390900"/>
          <a:ext cx="1927860" cy="24384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TOP 5 ENGINE</a:t>
          </a:r>
          <a:r>
            <a:rPr lang="en-IN" sz="1400" b="1" baseline="0"/>
            <a:t> SIZE</a:t>
          </a:r>
          <a:endParaRPr lang="en-IN" sz="1400" b="1"/>
        </a:p>
      </xdr:txBody>
    </xdr:sp>
    <xdr:clientData/>
  </xdr:twoCellAnchor>
  <xdr:twoCellAnchor>
    <xdr:from>
      <xdr:col>8</xdr:col>
      <xdr:colOff>480060</xdr:colOff>
      <xdr:row>18</xdr:row>
      <xdr:rowOff>68580</xdr:rowOff>
    </xdr:from>
    <xdr:to>
      <xdr:col>15</xdr:col>
      <xdr:colOff>152400</xdr:colOff>
      <xdr:row>19</xdr:row>
      <xdr:rowOff>152400</xdr:rowOff>
    </xdr:to>
    <xdr:sp macro="" textlink="">
      <xdr:nvSpPr>
        <xdr:cNvPr id="68" name="Rectangle: Rounded Corners 67">
          <a:extLst>
            <a:ext uri="{FF2B5EF4-FFF2-40B4-BE49-F238E27FC236}">
              <a16:creationId xmlns:a16="http://schemas.microsoft.com/office/drawing/2014/main" id="{522624F6-4510-0BA4-8DFB-3311D1FD4AA5}"/>
            </a:ext>
          </a:extLst>
        </xdr:cNvPr>
        <xdr:cNvSpPr/>
      </xdr:nvSpPr>
      <xdr:spPr>
        <a:xfrm>
          <a:off x="5356860" y="3360420"/>
          <a:ext cx="3939540" cy="266700"/>
        </a:xfrm>
        <a:prstGeom prst="roundRect">
          <a:avLst/>
        </a:prstGeom>
        <a:gradFill>
          <a:gsLst>
            <a:gs pos="12000">
              <a:srgbClr val="006666">
                <a:alpha val="20000"/>
              </a:srgbClr>
            </a:gs>
            <a:gs pos="30000">
              <a:srgbClr val="33CCCC">
                <a:alpha val="20000"/>
              </a:srgb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CAR MODAL WITH MILEAGE (K.M)</a:t>
          </a:r>
        </a:p>
      </xdr:txBody>
    </xdr:sp>
    <xdr:clientData/>
  </xdr:twoCellAnchor>
  <xdr:twoCellAnchor>
    <xdr:from>
      <xdr:col>7</xdr:col>
      <xdr:colOff>533400</xdr:colOff>
      <xdr:row>4</xdr:row>
      <xdr:rowOff>167640</xdr:rowOff>
    </xdr:from>
    <xdr:to>
      <xdr:col>12</xdr:col>
      <xdr:colOff>243840</xdr:colOff>
      <xdr:row>6</xdr:row>
      <xdr:rowOff>168366</xdr:rowOff>
    </xdr:to>
    <xdr:sp macro="" textlink="KPI!L6">
      <xdr:nvSpPr>
        <xdr:cNvPr id="60" name="Rectangle: Rounded Corners 59">
          <a:extLst>
            <a:ext uri="{FF2B5EF4-FFF2-40B4-BE49-F238E27FC236}">
              <a16:creationId xmlns:a16="http://schemas.microsoft.com/office/drawing/2014/main" id="{10272FEF-442B-82F6-1F3F-CC5994820D81}"/>
            </a:ext>
          </a:extLst>
        </xdr:cNvPr>
        <xdr:cNvSpPr/>
      </xdr:nvSpPr>
      <xdr:spPr>
        <a:xfrm>
          <a:off x="4800600" y="899160"/>
          <a:ext cx="2758440" cy="366486"/>
        </a:xfrm>
        <a:prstGeom prst="roundRect">
          <a:avLst>
            <a:gd name="adj" fmla="val 1673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0496F5-DE09-4D6C-B5CB-9C2552C5B263}" type="TxLink">
            <a:rPr lang="en-US" sz="2400" b="1" i="0" u="none" strike="noStrike">
              <a:solidFill>
                <a:schemeClr val="bg1"/>
              </a:solidFill>
              <a:latin typeface="Calibri"/>
              <a:ea typeface="Calibri"/>
              <a:cs typeface="Calibri"/>
            </a:rPr>
            <a:pPr algn="ctr"/>
            <a:t>6268.57 CR</a:t>
          </a:fld>
          <a:endParaRPr lang="en-IN" sz="6600" b="1">
            <a:solidFill>
              <a:schemeClr val="bg1"/>
            </a:solidFill>
          </a:endParaRPr>
        </a:p>
      </xdr:txBody>
    </xdr:sp>
    <xdr:clientData/>
  </xdr:twoCellAnchor>
  <xdr:twoCellAnchor>
    <xdr:from>
      <xdr:col>20</xdr:col>
      <xdr:colOff>45720</xdr:colOff>
      <xdr:row>2</xdr:row>
      <xdr:rowOff>45720</xdr:rowOff>
    </xdr:from>
    <xdr:to>
      <xdr:col>23</xdr:col>
      <xdr:colOff>45720</xdr:colOff>
      <xdr:row>7</xdr:row>
      <xdr:rowOff>31206</xdr:rowOff>
    </xdr:to>
    <xdr:sp macro="" textlink="">
      <xdr:nvSpPr>
        <xdr:cNvPr id="27" name="Rectangle: Rounded Corners 26">
          <a:extLst>
            <a:ext uri="{FF2B5EF4-FFF2-40B4-BE49-F238E27FC236}">
              <a16:creationId xmlns:a16="http://schemas.microsoft.com/office/drawing/2014/main" id="{4F0A9F98-D76A-4054-83D3-F7978AECA361}"/>
            </a:ext>
          </a:extLst>
        </xdr:cNvPr>
        <xdr:cNvSpPr/>
      </xdr:nvSpPr>
      <xdr:spPr>
        <a:xfrm>
          <a:off x="12237720" y="411480"/>
          <a:ext cx="1828800" cy="899886"/>
        </a:xfrm>
        <a:prstGeom prst="roundRect">
          <a:avLst>
            <a:gd name="adj" fmla="val 6338"/>
          </a:avLst>
        </a:prstGeom>
        <a:gradFill>
          <a:gsLst>
            <a:gs pos="0">
              <a:srgbClr val="006666">
                <a:alpha val="20000"/>
              </a:srgbClr>
            </a:gs>
            <a:gs pos="100000">
              <a:srgbClr val="33CCCC">
                <a:alpha val="2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xdr:txBody>
    </xdr:sp>
    <xdr:clientData/>
  </xdr:twoCellAnchor>
  <xdr:twoCellAnchor editAs="oneCell">
    <xdr:from>
      <xdr:col>20</xdr:col>
      <xdr:colOff>83820</xdr:colOff>
      <xdr:row>2</xdr:row>
      <xdr:rowOff>45720</xdr:rowOff>
    </xdr:from>
    <xdr:to>
      <xdr:col>23</xdr:col>
      <xdr:colOff>0</xdr:colOff>
      <xdr:row>7</xdr:row>
      <xdr:rowOff>22860</xdr:rowOff>
    </xdr:to>
    <mc:AlternateContent xmlns:mc="http://schemas.openxmlformats.org/markup-compatibility/2006">
      <mc:Choice xmlns:a14="http://schemas.microsoft.com/office/drawing/2010/main" Requires="a14">
        <xdr:graphicFrame macro="">
          <xdr:nvGraphicFramePr>
            <xdr:cNvPr id="28" name="Year 1">
              <a:extLst>
                <a:ext uri="{FF2B5EF4-FFF2-40B4-BE49-F238E27FC236}">
                  <a16:creationId xmlns:a16="http://schemas.microsoft.com/office/drawing/2014/main" id="{13459DE4-2CF1-486C-9012-B3DE5E87918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275820" y="411480"/>
              <a:ext cx="174498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H KUMAR" refreshedDate="46092.697019444444" createdVersion="8" refreshedVersion="8" minRefreshableVersion="3" recordCount="1600" xr:uid="{C74A7B08-AEE5-454A-BA91-7A99C62B340D}">
  <cacheSource type="worksheet">
    <worksheetSource name="Table1"/>
  </cacheSource>
  <cacheFields count="16">
    <cacheField name="Order_ID" numFmtId="0">
      <sharedItems containsSemiMixedTypes="0" containsString="0" containsNumber="1" containsInteger="1" minValue="1001" maxValue="2600"/>
    </cacheField>
    <cacheField name="Date" numFmtId="0">
      <sharedItems/>
    </cacheField>
    <cacheField name="Year" numFmtId="0">
      <sharedItems containsSemiMixedTypes="0" containsString="0" containsNumber="1" containsInteger="1" minValue="2023" maxValue="2024" count="2">
        <n v="2024"/>
        <n v="2023"/>
      </sharedItems>
    </cacheField>
    <cacheField name="Month" numFmtId="0">
      <sharedItems count="12">
        <s v="Feb"/>
        <s v="Nov"/>
        <s v="Mar"/>
        <s v="Jun"/>
        <s v="Aug"/>
        <s v="Dec"/>
        <s v="Jan"/>
        <s v="Sep"/>
        <s v="May"/>
        <s v="Apr"/>
        <s v="Oct"/>
        <s v="Jul"/>
      </sharedItems>
    </cacheField>
    <cacheField name="Region" numFmtId="0">
      <sharedItems count="4">
        <s v="East"/>
        <s v="South"/>
        <s v="West"/>
        <s v="North"/>
      </sharedItems>
    </cacheField>
    <cacheField name="State" numFmtId="0">
      <sharedItems count="16">
        <s v="Jharkhand"/>
        <s v="Tamil Nadu"/>
        <s v="Odisha"/>
        <s v="Gujarat"/>
        <s v="Delhi"/>
        <s v="Karnataka"/>
        <s v="Bihar"/>
        <s v="Goa"/>
        <s v="UP"/>
        <s v="Assam"/>
        <s v="Telangana"/>
        <s v="Kerala"/>
        <s v="Punjab"/>
        <s v="Rajasthan"/>
        <s v="West Bengal"/>
        <s v="Maharashtra"/>
      </sharedItems>
    </cacheField>
    <cacheField name="Salesperson" numFmtId="0">
      <sharedItems count="8">
        <s v="Ravi"/>
        <s v="Deepak"/>
        <s v="Simran"/>
        <s v="Neha"/>
        <s v="Karan"/>
        <s v="Amit"/>
        <s v="Priya"/>
        <s v="Raj"/>
      </sharedItems>
    </cacheField>
    <cacheField name="Car_Model" numFmtId="0">
      <sharedItems count="10">
        <s v="Creta"/>
        <s v="Verna"/>
        <s v="City"/>
        <s v="Baleno"/>
        <s v="Nexon"/>
        <s v="Swift"/>
        <s v="i20"/>
        <s v="Scorpio"/>
        <s v="Polo"/>
        <s v="Brezza"/>
      </sharedItems>
    </cacheField>
    <cacheField name="Category" numFmtId="0">
      <sharedItems count="3">
        <s v="SUV"/>
        <s v="Sedan"/>
        <s v="Hatchback"/>
      </sharedItems>
    </cacheField>
    <cacheField name="Engine_Size" numFmtId="0">
      <sharedItems containsSemiMixedTypes="0" containsString="0" containsNumber="1" minValue="1" maxValue="2"/>
    </cacheField>
    <cacheField name="Mileage_KM" numFmtId="0">
      <sharedItems containsSemiMixedTypes="0" containsString="0" containsNumber="1" containsInteger="1" minValue="16" maxValue="23"/>
    </cacheField>
    <cacheField name="Units_Sold" numFmtId="0">
      <sharedItems containsSemiMixedTypes="0" containsString="0" containsNumber="1" containsInteger="1" minValue="1" maxValue="8"/>
    </cacheField>
    <cacheField name="Unit_Price" numFmtId="0">
      <sharedItems containsSemiMixedTypes="0" containsString="0" containsNumber="1" containsInteger="1" minValue="601217" maxValue="1498959"/>
    </cacheField>
    <cacheField name="Total_Sales" numFmtId="0">
      <sharedItems containsSemiMixedTypes="0" containsString="0" containsNumber="1" containsInteger="1" minValue="603046" maxValue="11976592"/>
    </cacheField>
    <cacheField name="Cost" numFmtId="0">
      <sharedItems containsSemiMixedTypes="0" containsString="0" containsNumber="1" containsInteger="1" minValue="476481" maxValue="10296216"/>
    </cacheField>
    <cacheField name="Profit" numFmtId="0">
      <sharedItems containsSemiMixedTypes="0" containsString="0" containsNumber="1" containsInteger="1" minValue="70526" maxValue="2912621"/>
    </cacheField>
  </cacheFields>
  <extLst>
    <ext xmlns:x14="http://schemas.microsoft.com/office/spreadsheetml/2009/9/main" uri="{725AE2AE-9491-48be-B2B4-4EB974FC3084}">
      <x14:pivotCacheDefinition pivotCacheId="201543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n v="1001"/>
    <s v="29-02-2024"/>
    <x v="0"/>
    <x v="0"/>
    <x v="0"/>
    <x v="0"/>
    <x v="0"/>
    <x v="0"/>
    <x v="0"/>
    <n v="1"/>
    <n v="18"/>
    <n v="4"/>
    <n v="1098213"/>
    <n v="4392852"/>
    <n v="3623062"/>
    <n v="769790"/>
  </r>
  <r>
    <n v="1002"/>
    <s v="11-11-2023"/>
    <x v="1"/>
    <x v="1"/>
    <x v="1"/>
    <x v="1"/>
    <x v="1"/>
    <x v="0"/>
    <x v="0"/>
    <n v="1.5"/>
    <n v="20"/>
    <n v="6"/>
    <n v="898296"/>
    <n v="5389776"/>
    <n v="4102553"/>
    <n v="1287223"/>
  </r>
  <r>
    <n v="1003"/>
    <s v="17-03-2024"/>
    <x v="0"/>
    <x v="2"/>
    <x v="0"/>
    <x v="0"/>
    <x v="2"/>
    <x v="1"/>
    <x v="1"/>
    <n v="1"/>
    <n v="20"/>
    <n v="1"/>
    <n v="1490635"/>
    <n v="1490635"/>
    <n v="1294563"/>
    <n v="196072"/>
  </r>
  <r>
    <n v="1004"/>
    <s v="22-06-2024"/>
    <x v="0"/>
    <x v="3"/>
    <x v="0"/>
    <x v="2"/>
    <x v="3"/>
    <x v="2"/>
    <x v="1"/>
    <n v="1.5"/>
    <n v="18"/>
    <n v="8"/>
    <n v="692047"/>
    <n v="5536376"/>
    <n v="4346658"/>
    <n v="1189718"/>
  </r>
  <r>
    <n v="1005"/>
    <s v="31-08-2024"/>
    <x v="0"/>
    <x v="4"/>
    <x v="2"/>
    <x v="3"/>
    <x v="2"/>
    <x v="0"/>
    <x v="0"/>
    <n v="1.2"/>
    <n v="23"/>
    <n v="2"/>
    <n v="808119"/>
    <n v="1616238"/>
    <n v="1316491"/>
    <n v="299747"/>
  </r>
  <r>
    <n v="1006"/>
    <s v="08-12-2023"/>
    <x v="1"/>
    <x v="5"/>
    <x v="3"/>
    <x v="4"/>
    <x v="4"/>
    <x v="3"/>
    <x v="2"/>
    <n v="1.2"/>
    <n v="18"/>
    <n v="7"/>
    <n v="1302287"/>
    <n v="9116009"/>
    <n v="6954956"/>
    <n v="2161053"/>
  </r>
  <r>
    <n v="1007"/>
    <s v="27-01-2023"/>
    <x v="1"/>
    <x v="6"/>
    <x v="2"/>
    <x v="3"/>
    <x v="5"/>
    <x v="4"/>
    <x v="0"/>
    <n v="1.5"/>
    <n v="22"/>
    <n v="1"/>
    <n v="877367"/>
    <n v="877367"/>
    <n v="702057"/>
    <n v="175310"/>
  </r>
  <r>
    <n v="1008"/>
    <s v="24-01-2023"/>
    <x v="1"/>
    <x v="6"/>
    <x v="0"/>
    <x v="2"/>
    <x v="5"/>
    <x v="5"/>
    <x v="2"/>
    <n v="2"/>
    <n v="23"/>
    <n v="5"/>
    <n v="1179059"/>
    <n v="5895295"/>
    <n v="5030626"/>
    <n v="864669"/>
  </r>
  <r>
    <n v="1009"/>
    <s v="12-01-2023"/>
    <x v="1"/>
    <x v="6"/>
    <x v="3"/>
    <x v="4"/>
    <x v="2"/>
    <x v="6"/>
    <x v="2"/>
    <n v="1"/>
    <n v="22"/>
    <n v="8"/>
    <n v="787411"/>
    <n v="6299288"/>
    <n v="5046212"/>
    <n v="1253076"/>
  </r>
  <r>
    <n v="1010"/>
    <s v="30-06-2024"/>
    <x v="0"/>
    <x v="3"/>
    <x v="1"/>
    <x v="5"/>
    <x v="6"/>
    <x v="0"/>
    <x v="0"/>
    <n v="1"/>
    <n v="23"/>
    <n v="8"/>
    <n v="1053403"/>
    <n v="8427224"/>
    <n v="6392787"/>
    <n v="2034437"/>
  </r>
  <r>
    <n v="1011"/>
    <s v="22-09-2024"/>
    <x v="0"/>
    <x v="7"/>
    <x v="3"/>
    <x v="6"/>
    <x v="3"/>
    <x v="7"/>
    <x v="0"/>
    <n v="2"/>
    <n v="22"/>
    <n v="2"/>
    <n v="814453"/>
    <n v="1628906"/>
    <n v="1381413"/>
    <n v="247493"/>
  </r>
  <r>
    <n v="1012"/>
    <s v="29-09-2023"/>
    <x v="1"/>
    <x v="7"/>
    <x v="0"/>
    <x v="2"/>
    <x v="0"/>
    <x v="7"/>
    <x v="0"/>
    <n v="1.2"/>
    <n v="22"/>
    <n v="1"/>
    <n v="1240623"/>
    <n v="1240623"/>
    <n v="935504"/>
    <n v="305119"/>
  </r>
  <r>
    <n v="1013"/>
    <s v="10-02-2023"/>
    <x v="1"/>
    <x v="0"/>
    <x v="3"/>
    <x v="6"/>
    <x v="2"/>
    <x v="2"/>
    <x v="1"/>
    <n v="1.5"/>
    <n v="18"/>
    <n v="4"/>
    <n v="1439368"/>
    <n v="5757472"/>
    <n v="4463339"/>
    <n v="1294133"/>
  </r>
  <r>
    <n v="1014"/>
    <s v="04-05-2023"/>
    <x v="1"/>
    <x v="8"/>
    <x v="2"/>
    <x v="7"/>
    <x v="1"/>
    <x v="2"/>
    <x v="1"/>
    <n v="1.5"/>
    <n v="16"/>
    <n v="3"/>
    <n v="750542"/>
    <n v="2251626"/>
    <n v="1839422"/>
    <n v="412204"/>
  </r>
  <r>
    <n v="1015"/>
    <s v="25-11-2023"/>
    <x v="1"/>
    <x v="1"/>
    <x v="3"/>
    <x v="8"/>
    <x v="2"/>
    <x v="7"/>
    <x v="0"/>
    <n v="2"/>
    <n v="23"/>
    <n v="1"/>
    <n v="1166521"/>
    <n v="1166521"/>
    <n v="918462"/>
    <n v="248059"/>
  </r>
  <r>
    <n v="1016"/>
    <s v="28-11-2023"/>
    <x v="1"/>
    <x v="1"/>
    <x v="0"/>
    <x v="9"/>
    <x v="1"/>
    <x v="5"/>
    <x v="2"/>
    <n v="1.5"/>
    <n v="21"/>
    <n v="6"/>
    <n v="819304"/>
    <n v="4915824"/>
    <n v="4351343"/>
    <n v="564481"/>
  </r>
  <r>
    <n v="1017"/>
    <s v="23-04-2024"/>
    <x v="0"/>
    <x v="9"/>
    <x v="2"/>
    <x v="7"/>
    <x v="0"/>
    <x v="7"/>
    <x v="0"/>
    <n v="1"/>
    <n v="23"/>
    <n v="6"/>
    <n v="1224598"/>
    <n v="7347588"/>
    <n v="6141642"/>
    <n v="1205946"/>
  </r>
  <r>
    <n v="1018"/>
    <s v="07-10-2023"/>
    <x v="1"/>
    <x v="10"/>
    <x v="1"/>
    <x v="10"/>
    <x v="6"/>
    <x v="7"/>
    <x v="0"/>
    <n v="1.5"/>
    <n v="22"/>
    <n v="8"/>
    <n v="1215463"/>
    <n v="9723704"/>
    <n v="8357832"/>
    <n v="1365872"/>
  </r>
  <r>
    <n v="1019"/>
    <s v="03-05-2024"/>
    <x v="0"/>
    <x v="8"/>
    <x v="1"/>
    <x v="1"/>
    <x v="5"/>
    <x v="8"/>
    <x v="2"/>
    <n v="1"/>
    <n v="19"/>
    <n v="7"/>
    <n v="706261"/>
    <n v="4943827"/>
    <n v="4003752"/>
    <n v="940075"/>
  </r>
  <r>
    <n v="1020"/>
    <s v="03-08-2024"/>
    <x v="0"/>
    <x v="4"/>
    <x v="1"/>
    <x v="5"/>
    <x v="6"/>
    <x v="3"/>
    <x v="2"/>
    <n v="1.5"/>
    <n v="19"/>
    <n v="6"/>
    <n v="1052894"/>
    <n v="6317364"/>
    <n v="5270495"/>
    <n v="1046869"/>
  </r>
  <r>
    <n v="1021"/>
    <s v="20-04-2023"/>
    <x v="1"/>
    <x v="9"/>
    <x v="3"/>
    <x v="4"/>
    <x v="6"/>
    <x v="4"/>
    <x v="0"/>
    <n v="2"/>
    <n v="23"/>
    <n v="1"/>
    <n v="881075"/>
    <n v="881075"/>
    <n v="770509"/>
    <n v="110566"/>
  </r>
  <r>
    <n v="1022"/>
    <s v="16-08-2024"/>
    <x v="0"/>
    <x v="4"/>
    <x v="3"/>
    <x v="4"/>
    <x v="4"/>
    <x v="4"/>
    <x v="0"/>
    <n v="1"/>
    <n v="16"/>
    <n v="7"/>
    <n v="820995"/>
    <n v="5746965"/>
    <n v="4337073"/>
    <n v="1409892"/>
  </r>
  <r>
    <n v="1023"/>
    <s v="12-08-2024"/>
    <x v="0"/>
    <x v="4"/>
    <x v="1"/>
    <x v="11"/>
    <x v="3"/>
    <x v="1"/>
    <x v="1"/>
    <n v="1.2"/>
    <n v="20"/>
    <n v="3"/>
    <n v="1271000"/>
    <n v="3813000"/>
    <n v="3153511"/>
    <n v="659489"/>
  </r>
  <r>
    <n v="1024"/>
    <s v="27-03-2023"/>
    <x v="1"/>
    <x v="2"/>
    <x v="3"/>
    <x v="8"/>
    <x v="2"/>
    <x v="1"/>
    <x v="1"/>
    <n v="1.5"/>
    <n v="23"/>
    <n v="3"/>
    <n v="1468549"/>
    <n v="4405647"/>
    <n v="3409045"/>
    <n v="996602"/>
  </r>
  <r>
    <n v="1025"/>
    <s v="27-08-2024"/>
    <x v="0"/>
    <x v="4"/>
    <x v="0"/>
    <x v="2"/>
    <x v="1"/>
    <x v="8"/>
    <x v="2"/>
    <n v="1.5"/>
    <n v="21"/>
    <n v="2"/>
    <n v="941107"/>
    <n v="1882214"/>
    <n v="1690400"/>
    <n v="191814"/>
  </r>
  <r>
    <n v="1026"/>
    <s v="11-05-2024"/>
    <x v="0"/>
    <x v="8"/>
    <x v="3"/>
    <x v="8"/>
    <x v="1"/>
    <x v="2"/>
    <x v="1"/>
    <n v="1.5"/>
    <n v="22"/>
    <n v="4"/>
    <n v="1066568"/>
    <n v="4266272"/>
    <n v="3469798"/>
    <n v="796474"/>
  </r>
  <r>
    <n v="1027"/>
    <s v="08-06-2023"/>
    <x v="1"/>
    <x v="3"/>
    <x v="0"/>
    <x v="0"/>
    <x v="1"/>
    <x v="6"/>
    <x v="2"/>
    <n v="1.5"/>
    <n v="22"/>
    <n v="2"/>
    <n v="1156664"/>
    <n v="2313328"/>
    <n v="1980545"/>
    <n v="332783"/>
  </r>
  <r>
    <n v="1028"/>
    <s v="11-12-2024"/>
    <x v="0"/>
    <x v="5"/>
    <x v="0"/>
    <x v="9"/>
    <x v="7"/>
    <x v="6"/>
    <x v="2"/>
    <n v="1.2"/>
    <n v="22"/>
    <n v="2"/>
    <n v="725293"/>
    <n v="1450586"/>
    <n v="1185030"/>
    <n v="265556"/>
  </r>
  <r>
    <n v="1029"/>
    <s v="20-08-2024"/>
    <x v="0"/>
    <x v="4"/>
    <x v="3"/>
    <x v="12"/>
    <x v="7"/>
    <x v="2"/>
    <x v="1"/>
    <n v="2"/>
    <n v="19"/>
    <n v="7"/>
    <n v="1133688"/>
    <n v="7935816"/>
    <n v="6245873"/>
    <n v="1689943"/>
  </r>
  <r>
    <n v="1030"/>
    <s v="07-06-2023"/>
    <x v="1"/>
    <x v="3"/>
    <x v="0"/>
    <x v="9"/>
    <x v="6"/>
    <x v="0"/>
    <x v="0"/>
    <n v="1.5"/>
    <n v="16"/>
    <n v="5"/>
    <n v="682821"/>
    <n v="3414105"/>
    <n v="2939663"/>
    <n v="474442"/>
  </r>
  <r>
    <n v="1031"/>
    <s v="06-12-2024"/>
    <x v="0"/>
    <x v="5"/>
    <x v="1"/>
    <x v="1"/>
    <x v="1"/>
    <x v="3"/>
    <x v="2"/>
    <n v="1.5"/>
    <n v="20"/>
    <n v="5"/>
    <n v="1457170"/>
    <n v="7285850"/>
    <n v="5838856"/>
    <n v="1446994"/>
  </r>
  <r>
    <n v="1032"/>
    <s v="26-03-2023"/>
    <x v="1"/>
    <x v="2"/>
    <x v="3"/>
    <x v="4"/>
    <x v="2"/>
    <x v="0"/>
    <x v="0"/>
    <n v="1"/>
    <n v="22"/>
    <n v="1"/>
    <n v="1488140"/>
    <n v="1488140"/>
    <n v="1311702"/>
    <n v="176438"/>
  </r>
  <r>
    <n v="1033"/>
    <s v="18-07-2024"/>
    <x v="0"/>
    <x v="11"/>
    <x v="3"/>
    <x v="12"/>
    <x v="7"/>
    <x v="7"/>
    <x v="0"/>
    <n v="1.2"/>
    <n v="22"/>
    <n v="3"/>
    <n v="801992"/>
    <n v="2405976"/>
    <n v="1960221"/>
    <n v="445755"/>
  </r>
  <r>
    <n v="1034"/>
    <s v="10-04-2024"/>
    <x v="0"/>
    <x v="9"/>
    <x v="3"/>
    <x v="4"/>
    <x v="3"/>
    <x v="3"/>
    <x v="2"/>
    <n v="1"/>
    <n v="19"/>
    <n v="4"/>
    <n v="1041608"/>
    <n v="4166432"/>
    <n v="3717965"/>
    <n v="448467"/>
  </r>
  <r>
    <n v="1035"/>
    <s v="06-04-2024"/>
    <x v="0"/>
    <x v="9"/>
    <x v="0"/>
    <x v="9"/>
    <x v="0"/>
    <x v="9"/>
    <x v="0"/>
    <n v="1.5"/>
    <n v="18"/>
    <n v="7"/>
    <n v="1272312"/>
    <n v="8906184"/>
    <n v="7235483"/>
    <n v="1670701"/>
  </r>
  <r>
    <n v="1036"/>
    <s v="14-02-2024"/>
    <x v="0"/>
    <x v="0"/>
    <x v="0"/>
    <x v="0"/>
    <x v="4"/>
    <x v="9"/>
    <x v="0"/>
    <n v="1.5"/>
    <n v="16"/>
    <n v="3"/>
    <n v="1054995"/>
    <n v="3164985"/>
    <n v="2699192"/>
    <n v="465793"/>
  </r>
  <r>
    <n v="1037"/>
    <s v="02-03-2023"/>
    <x v="1"/>
    <x v="2"/>
    <x v="2"/>
    <x v="7"/>
    <x v="6"/>
    <x v="5"/>
    <x v="2"/>
    <n v="1"/>
    <n v="23"/>
    <n v="2"/>
    <n v="756914"/>
    <n v="1513828"/>
    <n v="1301818"/>
    <n v="212010"/>
  </r>
  <r>
    <n v="1038"/>
    <s v="17-02-2023"/>
    <x v="1"/>
    <x v="0"/>
    <x v="2"/>
    <x v="13"/>
    <x v="2"/>
    <x v="2"/>
    <x v="1"/>
    <n v="1.2"/>
    <n v="21"/>
    <n v="2"/>
    <n v="1481320"/>
    <n v="2962640"/>
    <n v="2652595"/>
    <n v="310045"/>
  </r>
  <r>
    <n v="1039"/>
    <s v="18-05-2023"/>
    <x v="1"/>
    <x v="8"/>
    <x v="2"/>
    <x v="13"/>
    <x v="7"/>
    <x v="8"/>
    <x v="2"/>
    <n v="1.5"/>
    <n v="21"/>
    <n v="1"/>
    <n v="1270197"/>
    <n v="1270197"/>
    <n v="1117178"/>
    <n v="153019"/>
  </r>
  <r>
    <n v="1040"/>
    <s v="13-04-2024"/>
    <x v="0"/>
    <x v="9"/>
    <x v="0"/>
    <x v="14"/>
    <x v="5"/>
    <x v="0"/>
    <x v="0"/>
    <n v="2"/>
    <n v="21"/>
    <n v="4"/>
    <n v="949902"/>
    <n v="3799608"/>
    <n v="3060890"/>
    <n v="738718"/>
  </r>
  <r>
    <n v="1041"/>
    <s v="20-12-2024"/>
    <x v="0"/>
    <x v="5"/>
    <x v="1"/>
    <x v="10"/>
    <x v="4"/>
    <x v="3"/>
    <x v="2"/>
    <n v="1.2"/>
    <n v="20"/>
    <n v="7"/>
    <n v="1043117"/>
    <n v="7301819"/>
    <n v="6138056"/>
    <n v="1163763"/>
  </r>
  <r>
    <n v="1042"/>
    <s v="04-04-2023"/>
    <x v="1"/>
    <x v="9"/>
    <x v="2"/>
    <x v="7"/>
    <x v="0"/>
    <x v="7"/>
    <x v="0"/>
    <n v="1"/>
    <n v="21"/>
    <n v="4"/>
    <n v="1381047"/>
    <n v="5524188"/>
    <n v="4158358"/>
    <n v="1365830"/>
  </r>
  <r>
    <n v="1043"/>
    <s v="19-08-2023"/>
    <x v="1"/>
    <x v="4"/>
    <x v="2"/>
    <x v="3"/>
    <x v="0"/>
    <x v="0"/>
    <x v="0"/>
    <n v="2"/>
    <n v="23"/>
    <n v="8"/>
    <n v="976150"/>
    <n v="7809200"/>
    <n v="6990680"/>
    <n v="818520"/>
  </r>
  <r>
    <n v="1044"/>
    <s v="20-04-2023"/>
    <x v="1"/>
    <x v="9"/>
    <x v="1"/>
    <x v="5"/>
    <x v="6"/>
    <x v="7"/>
    <x v="0"/>
    <n v="1.5"/>
    <n v="21"/>
    <n v="2"/>
    <n v="1296074"/>
    <n v="2592148"/>
    <n v="2171729"/>
    <n v="420419"/>
  </r>
  <r>
    <n v="1045"/>
    <s v="29-08-2024"/>
    <x v="0"/>
    <x v="4"/>
    <x v="3"/>
    <x v="12"/>
    <x v="2"/>
    <x v="9"/>
    <x v="0"/>
    <n v="1.5"/>
    <n v="22"/>
    <n v="1"/>
    <n v="661760"/>
    <n v="661760"/>
    <n v="591234"/>
    <n v="70526"/>
  </r>
  <r>
    <n v="1046"/>
    <s v="12-05-2024"/>
    <x v="0"/>
    <x v="8"/>
    <x v="1"/>
    <x v="10"/>
    <x v="1"/>
    <x v="3"/>
    <x v="2"/>
    <n v="2"/>
    <n v="18"/>
    <n v="5"/>
    <n v="1206496"/>
    <n v="6032480"/>
    <n v="4578744"/>
    <n v="1453736"/>
  </r>
  <r>
    <n v="1047"/>
    <s v="09-03-2023"/>
    <x v="1"/>
    <x v="2"/>
    <x v="0"/>
    <x v="0"/>
    <x v="5"/>
    <x v="0"/>
    <x v="0"/>
    <n v="1"/>
    <n v="18"/>
    <n v="2"/>
    <n v="1028175"/>
    <n v="2056350"/>
    <n v="1579204"/>
    <n v="477146"/>
  </r>
  <r>
    <n v="1048"/>
    <s v="07-08-2023"/>
    <x v="1"/>
    <x v="4"/>
    <x v="0"/>
    <x v="2"/>
    <x v="5"/>
    <x v="4"/>
    <x v="0"/>
    <n v="1.5"/>
    <n v="16"/>
    <n v="5"/>
    <n v="656281"/>
    <n v="3281405"/>
    <n v="2751313"/>
    <n v="530092"/>
  </r>
  <r>
    <n v="1049"/>
    <s v="10-01-2024"/>
    <x v="0"/>
    <x v="6"/>
    <x v="3"/>
    <x v="12"/>
    <x v="6"/>
    <x v="0"/>
    <x v="0"/>
    <n v="1.5"/>
    <n v="18"/>
    <n v="2"/>
    <n v="1187500"/>
    <n v="2375000"/>
    <n v="2012844"/>
    <n v="362156"/>
  </r>
  <r>
    <n v="1050"/>
    <s v="21-08-2024"/>
    <x v="0"/>
    <x v="4"/>
    <x v="1"/>
    <x v="1"/>
    <x v="7"/>
    <x v="5"/>
    <x v="2"/>
    <n v="2"/>
    <n v="22"/>
    <n v="8"/>
    <n v="1032254"/>
    <n v="8258032"/>
    <n v="6693630"/>
    <n v="1564402"/>
  </r>
  <r>
    <n v="1051"/>
    <s v="20-12-2023"/>
    <x v="1"/>
    <x v="5"/>
    <x v="3"/>
    <x v="6"/>
    <x v="4"/>
    <x v="4"/>
    <x v="0"/>
    <n v="1.5"/>
    <n v="20"/>
    <n v="1"/>
    <n v="880474"/>
    <n v="880474"/>
    <n v="669419"/>
    <n v="211055"/>
  </r>
  <r>
    <n v="1052"/>
    <s v="26-05-2024"/>
    <x v="0"/>
    <x v="8"/>
    <x v="1"/>
    <x v="5"/>
    <x v="3"/>
    <x v="9"/>
    <x v="0"/>
    <n v="1"/>
    <n v="16"/>
    <n v="6"/>
    <n v="856177"/>
    <n v="5137062"/>
    <n v="4099424"/>
    <n v="1037638"/>
  </r>
  <r>
    <n v="1053"/>
    <s v="04-12-2024"/>
    <x v="0"/>
    <x v="5"/>
    <x v="2"/>
    <x v="15"/>
    <x v="6"/>
    <x v="6"/>
    <x v="2"/>
    <n v="2"/>
    <n v="19"/>
    <n v="4"/>
    <n v="1465838"/>
    <n v="5863352"/>
    <n v="4552539"/>
    <n v="1310813"/>
  </r>
  <r>
    <n v="1054"/>
    <s v="11-05-2023"/>
    <x v="1"/>
    <x v="8"/>
    <x v="3"/>
    <x v="6"/>
    <x v="5"/>
    <x v="8"/>
    <x v="2"/>
    <n v="2"/>
    <n v="23"/>
    <n v="7"/>
    <n v="1221088"/>
    <n v="8547616"/>
    <n v="6913726"/>
    <n v="1633890"/>
  </r>
  <r>
    <n v="1055"/>
    <s v="24-05-2024"/>
    <x v="0"/>
    <x v="8"/>
    <x v="1"/>
    <x v="10"/>
    <x v="4"/>
    <x v="1"/>
    <x v="1"/>
    <n v="1.5"/>
    <n v="19"/>
    <n v="2"/>
    <n v="931670"/>
    <n v="1863340"/>
    <n v="1473761"/>
    <n v="389579"/>
  </r>
  <r>
    <n v="1056"/>
    <s v="17-11-2024"/>
    <x v="0"/>
    <x v="1"/>
    <x v="2"/>
    <x v="13"/>
    <x v="5"/>
    <x v="1"/>
    <x v="1"/>
    <n v="2"/>
    <n v="22"/>
    <n v="5"/>
    <n v="841983"/>
    <n v="4209915"/>
    <n v="3383745"/>
    <n v="826170"/>
  </r>
  <r>
    <n v="1057"/>
    <s v="18-02-2024"/>
    <x v="0"/>
    <x v="0"/>
    <x v="3"/>
    <x v="4"/>
    <x v="2"/>
    <x v="1"/>
    <x v="1"/>
    <n v="1"/>
    <n v="18"/>
    <n v="8"/>
    <n v="638889"/>
    <n v="5111112"/>
    <n v="4474745"/>
    <n v="636367"/>
  </r>
  <r>
    <n v="1058"/>
    <s v="26-12-2024"/>
    <x v="0"/>
    <x v="5"/>
    <x v="2"/>
    <x v="7"/>
    <x v="7"/>
    <x v="8"/>
    <x v="2"/>
    <n v="1.2"/>
    <n v="21"/>
    <n v="3"/>
    <n v="943417"/>
    <n v="2830251"/>
    <n v="2289328"/>
    <n v="540923"/>
  </r>
  <r>
    <n v="1059"/>
    <s v="11-08-2023"/>
    <x v="1"/>
    <x v="4"/>
    <x v="0"/>
    <x v="2"/>
    <x v="4"/>
    <x v="4"/>
    <x v="0"/>
    <n v="1"/>
    <n v="18"/>
    <n v="6"/>
    <n v="955671"/>
    <n v="5734026"/>
    <n v="4559740"/>
    <n v="1174286"/>
  </r>
  <r>
    <n v="1060"/>
    <s v="08-06-2024"/>
    <x v="0"/>
    <x v="3"/>
    <x v="0"/>
    <x v="14"/>
    <x v="5"/>
    <x v="4"/>
    <x v="0"/>
    <n v="1.2"/>
    <n v="16"/>
    <n v="7"/>
    <n v="945733"/>
    <n v="6620131"/>
    <n v="5547462"/>
    <n v="1072669"/>
  </r>
  <r>
    <n v="1061"/>
    <s v="22-02-2023"/>
    <x v="1"/>
    <x v="0"/>
    <x v="1"/>
    <x v="1"/>
    <x v="2"/>
    <x v="2"/>
    <x v="1"/>
    <n v="1"/>
    <n v="20"/>
    <n v="2"/>
    <n v="1434309"/>
    <n v="2868618"/>
    <n v="2334258"/>
    <n v="534360"/>
  </r>
  <r>
    <n v="1062"/>
    <s v="02-08-2023"/>
    <x v="1"/>
    <x v="4"/>
    <x v="1"/>
    <x v="10"/>
    <x v="6"/>
    <x v="1"/>
    <x v="1"/>
    <n v="1.2"/>
    <n v="19"/>
    <n v="3"/>
    <n v="726926"/>
    <n v="2180778"/>
    <n v="1855021"/>
    <n v="325757"/>
  </r>
  <r>
    <n v="1063"/>
    <s v="01-09-2024"/>
    <x v="0"/>
    <x v="7"/>
    <x v="2"/>
    <x v="15"/>
    <x v="7"/>
    <x v="2"/>
    <x v="1"/>
    <n v="1.2"/>
    <n v="22"/>
    <n v="4"/>
    <n v="671300"/>
    <n v="2685200"/>
    <n v="2227057"/>
    <n v="458143"/>
  </r>
  <r>
    <n v="1064"/>
    <s v="06-06-2023"/>
    <x v="1"/>
    <x v="3"/>
    <x v="1"/>
    <x v="5"/>
    <x v="2"/>
    <x v="2"/>
    <x v="1"/>
    <n v="2"/>
    <n v="19"/>
    <n v="6"/>
    <n v="1191851"/>
    <n v="7151106"/>
    <n v="5518618"/>
    <n v="1632488"/>
  </r>
  <r>
    <n v="1065"/>
    <s v="27-11-2023"/>
    <x v="1"/>
    <x v="1"/>
    <x v="0"/>
    <x v="0"/>
    <x v="6"/>
    <x v="7"/>
    <x v="0"/>
    <n v="1.2"/>
    <n v="18"/>
    <n v="3"/>
    <n v="944043"/>
    <n v="2832129"/>
    <n v="2380545"/>
    <n v="451584"/>
  </r>
  <r>
    <n v="1066"/>
    <s v="24-08-2024"/>
    <x v="0"/>
    <x v="4"/>
    <x v="1"/>
    <x v="10"/>
    <x v="0"/>
    <x v="2"/>
    <x v="1"/>
    <n v="2"/>
    <n v="16"/>
    <n v="3"/>
    <n v="929478"/>
    <n v="2788434"/>
    <n v="2450590"/>
    <n v="337844"/>
  </r>
  <r>
    <n v="1067"/>
    <s v="25-08-2024"/>
    <x v="0"/>
    <x v="4"/>
    <x v="3"/>
    <x v="8"/>
    <x v="7"/>
    <x v="9"/>
    <x v="0"/>
    <n v="1"/>
    <n v="19"/>
    <n v="1"/>
    <n v="1129877"/>
    <n v="1129877"/>
    <n v="913011"/>
    <n v="216866"/>
  </r>
  <r>
    <n v="1068"/>
    <s v="30-07-2024"/>
    <x v="0"/>
    <x v="11"/>
    <x v="1"/>
    <x v="11"/>
    <x v="3"/>
    <x v="8"/>
    <x v="2"/>
    <n v="1"/>
    <n v="23"/>
    <n v="5"/>
    <n v="1334897"/>
    <n v="6674485"/>
    <n v="5407478"/>
    <n v="1267007"/>
  </r>
  <r>
    <n v="1069"/>
    <s v="17-05-2023"/>
    <x v="1"/>
    <x v="8"/>
    <x v="2"/>
    <x v="15"/>
    <x v="4"/>
    <x v="2"/>
    <x v="1"/>
    <n v="1"/>
    <n v="22"/>
    <n v="6"/>
    <n v="893364"/>
    <n v="5360184"/>
    <n v="4099763"/>
    <n v="1260421"/>
  </r>
  <r>
    <n v="1070"/>
    <s v="07-06-2023"/>
    <x v="1"/>
    <x v="3"/>
    <x v="2"/>
    <x v="13"/>
    <x v="4"/>
    <x v="9"/>
    <x v="0"/>
    <n v="2"/>
    <n v="18"/>
    <n v="4"/>
    <n v="1453397"/>
    <n v="5813588"/>
    <n v="5174096"/>
    <n v="639492"/>
  </r>
  <r>
    <n v="1071"/>
    <s v="06-08-2024"/>
    <x v="0"/>
    <x v="4"/>
    <x v="2"/>
    <x v="3"/>
    <x v="0"/>
    <x v="4"/>
    <x v="0"/>
    <n v="1.2"/>
    <n v="18"/>
    <n v="7"/>
    <n v="1017111"/>
    <n v="7119777"/>
    <n v="6077426"/>
    <n v="1042351"/>
  </r>
  <r>
    <n v="1072"/>
    <s v="21-02-2023"/>
    <x v="1"/>
    <x v="0"/>
    <x v="2"/>
    <x v="13"/>
    <x v="0"/>
    <x v="3"/>
    <x v="2"/>
    <n v="1.2"/>
    <n v="20"/>
    <n v="3"/>
    <n v="889667"/>
    <n v="2669001"/>
    <n v="2059005"/>
    <n v="609996"/>
  </r>
  <r>
    <n v="1073"/>
    <s v="18-09-2024"/>
    <x v="0"/>
    <x v="7"/>
    <x v="0"/>
    <x v="14"/>
    <x v="7"/>
    <x v="0"/>
    <x v="0"/>
    <n v="1.5"/>
    <n v="18"/>
    <n v="1"/>
    <n v="1338964"/>
    <n v="1338964"/>
    <n v="1054379"/>
    <n v="284585"/>
  </r>
  <r>
    <n v="1074"/>
    <s v="11-08-2024"/>
    <x v="0"/>
    <x v="4"/>
    <x v="3"/>
    <x v="4"/>
    <x v="5"/>
    <x v="0"/>
    <x v="0"/>
    <n v="2"/>
    <n v="20"/>
    <n v="3"/>
    <n v="970288"/>
    <n v="2910864"/>
    <n v="2450959"/>
    <n v="459905"/>
  </r>
  <r>
    <n v="1075"/>
    <s v="31-01-2023"/>
    <x v="1"/>
    <x v="6"/>
    <x v="1"/>
    <x v="5"/>
    <x v="2"/>
    <x v="3"/>
    <x v="2"/>
    <n v="2"/>
    <n v="19"/>
    <n v="5"/>
    <n v="769129"/>
    <n v="3845645"/>
    <n v="3305456"/>
    <n v="540189"/>
  </r>
  <r>
    <n v="1076"/>
    <s v="16-07-2023"/>
    <x v="1"/>
    <x v="11"/>
    <x v="1"/>
    <x v="1"/>
    <x v="7"/>
    <x v="6"/>
    <x v="2"/>
    <n v="2"/>
    <n v="21"/>
    <n v="3"/>
    <n v="843788"/>
    <n v="2531364"/>
    <n v="1950482"/>
    <n v="580882"/>
  </r>
  <r>
    <n v="1077"/>
    <s v="03-08-2024"/>
    <x v="0"/>
    <x v="4"/>
    <x v="1"/>
    <x v="1"/>
    <x v="4"/>
    <x v="4"/>
    <x v="0"/>
    <n v="1.2"/>
    <n v="22"/>
    <n v="7"/>
    <n v="1026213"/>
    <n v="7183491"/>
    <n v="5992484"/>
    <n v="1191007"/>
  </r>
  <r>
    <n v="1078"/>
    <s v="25-12-2024"/>
    <x v="0"/>
    <x v="5"/>
    <x v="3"/>
    <x v="6"/>
    <x v="1"/>
    <x v="3"/>
    <x v="2"/>
    <n v="1"/>
    <n v="22"/>
    <n v="3"/>
    <n v="926856"/>
    <n v="2780568"/>
    <n v="2146639"/>
    <n v="633929"/>
  </r>
  <r>
    <n v="1079"/>
    <s v="02-01-2024"/>
    <x v="0"/>
    <x v="6"/>
    <x v="2"/>
    <x v="15"/>
    <x v="4"/>
    <x v="2"/>
    <x v="1"/>
    <n v="1"/>
    <n v="19"/>
    <n v="5"/>
    <n v="1417917"/>
    <n v="7089585"/>
    <n v="6368101"/>
    <n v="721484"/>
  </r>
  <r>
    <n v="1080"/>
    <s v="21-06-2023"/>
    <x v="1"/>
    <x v="3"/>
    <x v="2"/>
    <x v="15"/>
    <x v="6"/>
    <x v="9"/>
    <x v="0"/>
    <n v="1"/>
    <n v="21"/>
    <n v="2"/>
    <n v="1306421"/>
    <n v="2612842"/>
    <n v="2077001"/>
    <n v="535841"/>
  </r>
  <r>
    <n v="1081"/>
    <s v="02-01-2024"/>
    <x v="0"/>
    <x v="6"/>
    <x v="3"/>
    <x v="4"/>
    <x v="5"/>
    <x v="0"/>
    <x v="0"/>
    <n v="1.2"/>
    <n v="20"/>
    <n v="7"/>
    <n v="1231891"/>
    <n v="8623237"/>
    <n v="7497283"/>
    <n v="1125954"/>
  </r>
  <r>
    <n v="1082"/>
    <s v="04-03-2023"/>
    <x v="1"/>
    <x v="2"/>
    <x v="1"/>
    <x v="10"/>
    <x v="1"/>
    <x v="3"/>
    <x v="2"/>
    <n v="1.2"/>
    <n v="16"/>
    <n v="7"/>
    <n v="1163677"/>
    <n v="8145739"/>
    <n v="6882257"/>
    <n v="1263482"/>
  </r>
  <r>
    <n v="1083"/>
    <s v="13-06-2024"/>
    <x v="0"/>
    <x v="3"/>
    <x v="3"/>
    <x v="4"/>
    <x v="5"/>
    <x v="2"/>
    <x v="1"/>
    <n v="2"/>
    <n v="19"/>
    <n v="8"/>
    <n v="1089596"/>
    <n v="8716768"/>
    <n v="7399511"/>
    <n v="1317257"/>
  </r>
  <r>
    <n v="1084"/>
    <s v="14-07-2023"/>
    <x v="1"/>
    <x v="11"/>
    <x v="3"/>
    <x v="12"/>
    <x v="1"/>
    <x v="5"/>
    <x v="2"/>
    <n v="1.2"/>
    <n v="20"/>
    <n v="4"/>
    <n v="1369535"/>
    <n v="5478140"/>
    <n v="4891067"/>
    <n v="587073"/>
  </r>
  <r>
    <n v="1085"/>
    <s v="07-11-2023"/>
    <x v="1"/>
    <x v="1"/>
    <x v="0"/>
    <x v="9"/>
    <x v="2"/>
    <x v="0"/>
    <x v="0"/>
    <n v="1"/>
    <n v="19"/>
    <n v="7"/>
    <n v="1426802"/>
    <n v="9987614"/>
    <n v="8347532"/>
    <n v="1640082"/>
  </r>
  <r>
    <n v="1086"/>
    <s v="27-12-2023"/>
    <x v="1"/>
    <x v="5"/>
    <x v="3"/>
    <x v="12"/>
    <x v="1"/>
    <x v="3"/>
    <x v="2"/>
    <n v="2"/>
    <n v="16"/>
    <n v="6"/>
    <n v="1202484"/>
    <n v="7214904"/>
    <n v="5453069"/>
    <n v="1761835"/>
  </r>
  <r>
    <n v="1087"/>
    <s v="13-09-2024"/>
    <x v="0"/>
    <x v="7"/>
    <x v="0"/>
    <x v="14"/>
    <x v="4"/>
    <x v="9"/>
    <x v="0"/>
    <n v="1"/>
    <n v="21"/>
    <n v="6"/>
    <n v="1141325"/>
    <n v="6847950"/>
    <n v="5572223"/>
    <n v="1275727"/>
  </r>
  <r>
    <n v="1088"/>
    <s v="03-10-2023"/>
    <x v="1"/>
    <x v="10"/>
    <x v="3"/>
    <x v="8"/>
    <x v="3"/>
    <x v="8"/>
    <x v="2"/>
    <n v="1.5"/>
    <n v="23"/>
    <n v="6"/>
    <n v="805695"/>
    <n v="4834170"/>
    <n v="4269806"/>
    <n v="564364"/>
  </r>
  <r>
    <n v="1089"/>
    <s v="13-04-2024"/>
    <x v="0"/>
    <x v="9"/>
    <x v="2"/>
    <x v="15"/>
    <x v="7"/>
    <x v="3"/>
    <x v="2"/>
    <n v="1"/>
    <n v="18"/>
    <n v="6"/>
    <n v="1397587"/>
    <n v="8385522"/>
    <n v="6411693"/>
    <n v="1973829"/>
  </r>
  <r>
    <n v="1090"/>
    <s v="31-12-2024"/>
    <x v="0"/>
    <x v="5"/>
    <x v="2"/>
    <x v="3"/>
    <x v="0"/>
    <x v="0"/>
    <x v="0"/>
    <n v="1"/>
    <n v="18"/>
    <n v="5"/>
    <n v="1283232"/>
    <n v="6416160"/>
    <n v="5119741"/>
    <n v="1296419"/>
  </r>
  <r>
    <n v="1091"/>
    <s v="30-01-2024"/>
    <x v="0"/>
    <x v="6"/>
    <x v="2"/>
    <x v="13"/>
    <x v="3"/>
    <x v="4"/>
    <x v="0"/>
    <n v="1.5"/>
    <n v="16"/>
    <n v="1"/>
    <n v="864123"/>
    <n v="864123"/>
    <n v="676109"/>
    <n v="188014"/>
  </r>
  <r>
    <n v="1092"/>
    <s v="22-08-2024"/>
    <x v="0"/>
    <x v="4"/>
    <x v="1"/>
    <x v="10"/>
    <x v="3"/>
    <x v="1"/>
    <x v="1"/>
    <n v="1"/>
    <n v="16"/>
    <n v="7"/>
    <n v="640353"/>
    <n v="4482471"/>
    <n v="3573513"/>
    <n v="908958"/>
  </r>
  <r>
    <n v="1093"/>
    <s v="19-11-2024"/>
    <x v="0"/>
    <x v="1"/>
    <x v="3"/>
    <x v="8"/>
    <x v="3"/>
    <x v="8"/>
    <x v="2"/>
    <n v="1.2"/>
    <n v="20"/>
    <n v="2"/>
    <n v="948359"/>
    <n v="1896718"/>
    <n v="1625994"/>
    <n v="270724"/>
  </r>
  <r>
    <n v="1094"/>
    <s v="18-07-2023"/>
    <x v="1"/>
    <x v="11"/>
    <x v="2"/>
    <x v="15"/>
    <x v="5"/>
    <x v="7"/>
    <x v="0"/>
    <n v="1.2"/>
    <n v="22"/>
    <n v="8"/>
    <n v="1463639"/>
    <n v="11709112"/>
    <n v="10071531"/>
    <n v="1637581"/>
  </r>
  <r>
    <n v="1095"/>
    <s v="03-11-2024"/>
    <x v="0"/>
    <x v="1"/>
    <x v="3"/>
    <x v="8"/>
    <x v="3"/>
    <x v="9"/>
    <x v="0"/>
    <n v="1.2"/>
    <n v="21"/>
    <n v="3"/>
    <n v="1207575"/>
    <n v="3622725"/>
    <n v="3139155"/>
    <n v="483570"/>
  </r>
  <r>
    <n v="1096"/>
    <s v="08-11-2024"/>
    <x v="0"/>
    <x v="1"/>
    <x v="1"/>
    <x v="11"/>
    <x v="6"/>
    <x v="8"/>
    <x v="2"/>
    <n v="1.2"/>
    <n v="20"/>
    <n v="4"/>
    <n v="1158576"/>
    <n v="4634304"/>
    <n v="3550147"/>
    <n v="1084157"/>
  </r>
  <r>
    <n v="1097"/>
    <s v="28-12-2024"/>
    <x v="0"/>
    <x v="5"/>
    <x v="2"/>
    <x v="3"/>
    <x v="7"/>
    <x v="7"/>
    <x v="0"/>
    <n v="1"/>
    <n v="23"/>
    <n v="5"/>
    <n v="1336511"/>
    <n v="6682555"/>
    <n v="5700539"/>
    <n v="982016"/>
  </r>
  <r>
    <n v="1098"/>
    <s v="16-01-2023"/>
    <x v="1"/>
    <x v="6"/>
    <x v="3"/>
    <x v="12"/>
    <x v="6"/>
    <x v="6"/>
    <x v="2"/>
    <n v="1"/>
    <n v="18"/>
    <n v="3"/>
    <n v="1126612"/>
    <n v="3379836"/>
    <n v="2654413"/>
    <n v="725423"/>
  </r>
  <r>
    <n v="1099"/>
    <s v="25-06-2024"/>
    <x v="0"/>
    <x v="3"/>
    <x v="1"/>
    <x v="5"/>
    <x v="2"/>
    <x v="7"/>
    <x v="0"/>
    <n v="1.2"/>
    <n v="19"/>
    <n v="7"/>
    <n v="1332165"/>
    <n v="9325155"/>
    <n v="7921337"/>
    <n v="1403818"/>
  </r>
  <r>
    <n v="1100"/>
    <s v="01-04-2024"/>
    <x v="0"/>
    <x v="9"/>
    <x v="1"/>
    <x v="10"/>
    <x v="3"/>
    <x v="6"/>
    <x v="2"/>
    <n v="1"/>
    <n v="16"/>
    <n v="5"/>
    <n v="618625"/>
    <n v="3093125"/>
    <n v="2627870"/>
    <n v="465255"/>
  </r>
  <r>
    <n v="1101"/>
    <s v="27-01-2023"/>
    <x v="1"/>
    <x v="6"/>
    <x v="3"/>
    <x v="6"/>
    <x v="1"/>
    <x v="5"/>
    <x v="2"/>
    <n v="1"/>
    <n v="22"/>
    <n v="6"/>
    <n v="1003266"/>
    <n v="6019596"/>
    <n v="5403389"/>
    <n v="616207"/>
  </r>
  <r>
    <n v="1102"/>
    <s v="26-12-2023"/>
    <x v="1"/>
    <x v="5"/>
    <x v="1"/>
    <x v="1"/>
    <x v="2"/>
    <x v="8"/>
    <x v="2"/>
    <n v="1.2"/>
    <n v="19"/>
    <n v="2"/>
    <n v="1202185"/>
    <n v="2404370"/>
    <n v="1869528"/>
    <n v="534842"/>
  </r>
  <r>
    <n v="1103"/>
    <s v="06-05-2023"/>
    <x v="1"/>
    <x v="8"/>
    <x v="0"/>
    <x v="9"/>
    <x v="4"/>
    <x v="2"/>
    <x v="1"/>
    <n v="1"/>
    <n v="22"/>
    <n v="6"/>
    <n v="1011049"/>
    <n v="6066294"/>
    <n v="4592499"/>
    <n v="1473795"/>
  </r>
  <r>
    <n v="1104"/>
    <s v="03-11-2023"/>
    <x v="1"/>
    <x v="1"/>
    <x v="2"/>
    <x v="7"/>
    <x v="5"/>
    <x v="0"/>
    <x v="0"/>
    <n v="1"/>
    <n v="21"/>
    <n v="2"/>
    <n v="783546"/>
    <n v="1567092"/>
    <n v="1317063"/>
    <n v="250029"/>
  </r>
  <r>
    <n v="1105"/>
    <s v="03-03-2023"/>
    <x v="1"/>
    <x v="2"/>
    <x v="2"/>
    <x v="3"/>
    <x v="4"/>
    <x v="8"/>
    <x v="2"/>
    <n v="1.2"/>
    <n v="22"/>
    <n v="3"/>
    <n v="1216649"/>
    <n v="3649947"/>
    <n v="3238078"/>
    <n v="411869"/>
  </r>
  <r>
    <n v="1106"/>
    <s v="06-10-2024"/>
    <x v="0"/>
    <x v="10"/>
    <x v="1"/>
    <x v="10"/>
    <x v="4"/>
    <x v="4"/>
    <x v="0"/>
    <n v="2"/>
    <n v="16"/>
    <n v="2"/>
    <n v="1421354"/>
    <n v="2842708"/>
    <n v="2151718"/>
    <n v="690990"/>
  </r>
  <r>
    <n v="1107"/>
    <s v="12-02-2023"/>
    <x v="1"/>
    <x v="0"/>
    <x v="2"/>
    <x v="3"/>
    <x v="6"/>
    <x v="7"/>
    <x v="0"/>
    <n v="1.2"/>
    <n v="19"/>
    <n v="3"/>
    <n v="613158"/>
    <n v="1839474"/>
    <n v="1529967"/>
    <n v="309507"/>
  </r>
  <r>
    <n v="1108"/>
    <s v="14-09-2024"/>
    <x v="0"/>
    <x v="7"/>
    <x v="2"/>
    <x v="15"/>
    <x v="7"/>
    <x v="8"/>
    <x v="2"/>
    <n v="1.5"/>
    <n v="20"/>
    <n v="1"/>
    <n v="1479721"/>
    <n v="1479721"/>
    <n v="1231888"/>
    <n v="247833"/>
  </r>
  <r>
    <n v="1109"/>
    <s v="24-03-2023"/>
    <x v="1"/>
    <x v="2"/>
    <x v="0"/>
    <x v="14"/>
    <x v="3"/>
    <x v="7"/>
    <x v="0"/>
    <n v="2"/>
    <n v="19"/>
    <n v="1"/>
    <n v="1213847"/>
    <n v="1213847"/>
    <n v="945402"/>
    <n v="268445"/>
  </r>
  <r>
    <n v="1110"/>
    <s v="01-02-2024"/>
    <x v="0"/>
    <x v="0"/>
    <x v="0"/>
    <x v="2"/>
    <x v="4"/>
    <x v="8"/>
    <x v="2"/>
    <n v="2"/>
    <n v="22"/>
    <n v="5"/>
    <n v="1033717"/>
    <n v="5168585"/>
    <n v="4329382"/>
    <n v="839203"/>
  </r>
  <r>
    <n v="1111"/>
    <s v="07-09-2023"/>
    <x v="1"/>
    <x v="7"/>
    <x v="3"/>
    <x v="4"/>
    <x v="0"/>
    <x v="3"/>
    <x v="2"/>
    <n v="2"/>
    <n v="16"/>
    <n v="1"/>
    <n v="1171344"/>
    <n v="1171344"/>
    <n v="942722"/>
    <n v="228622"/>
  </r>
  <r>
    <n v="1112"/>
    <s v="05-09-2023"/>
    <x v="1"/>
    <x v="7"/>
    <x v="2"/>
    <x v="15"/>
    <x v="2"/>
    <x v="1"/>
    <x v="1"/>
    <n v="1"/>
    <n v="18"/>
    <n v="4"/>
    <n v="1068354"/>
    <n v="4273416"/>
    <n v="3219598"/>
    <n v="1053818"/>
  </r>
  <r>
    <n v="1113"/>
    <s v="02-11-2024"/>
    <x v="0"/>
    <x v="1"/>
    <x v="2"/>
    <x v="15"/>
    <x v="3"/>
    <x v="3"/>
    <x v="2"/>
    <n v="2"/>
    <n v="22"/>
    <n v="7"/>
    <n v="1277143"/>
    <n v="8940001"/>
    <n v="7307777"/>
    <n v="1632224"/>
  </r>
  <r>
    <n v="1114"/>
    <s v="05-09-2023"/>
    <x v="1"/>
    <x v="7"/>
    <x v="1"/>
    <x v="5"/>
    <x v="3"/>
    <x v="5"/>
    <x v="2"/>
    <n v="1.2"/>
    <n v="21"/>
    <n v="5"/>
    <n v="1360916"/>
    <n v="6804580"/>
    <n v="5316133"/>
    <n v="1488447"/>
  </r>
  <r>
    <n v="1115"/>
    <s v="12-08-2023"/>
    <x v="1"/>
    <x v="4"/>
    <x v="3"/>
    <x v="12"/>
    <x v="5"/>
    <x v="5"/>
    <x v="2"/>
    <n v="1.2"/>
    <n v="21"/>
    <n v="6"/>
    <n v="1399949"/>
    <n v="8399694"/>
    <n v="6446284"/>
    <n v="1953410"/>
  </r>
  <r>
    <n v="1116"/>
    <s v="28-10-2023"/>
    <x v="1"/>
    <x v="10"/>
    <x v="2"/>
    <x v="13"/>
    <x v="1"/>
    <x v="6"/>
    <x v="2"/>
    <n v="1.2"/>
    <n v="23"/>
    <n v="5"/>
    <n v="669288"/>
    <n v="3346440"/>
    <n v="2848848"/>
    <n v="497592"/>
  </r>
  <r>
    <n v="1117"/>
    <s v="17-10-2024"/>
    <x v="0"/>
    <x v="10"/>
    <x v="3"/>
    <x v="8"/>
    <x v="1"/>
    <x v="3"/>
    <x v="2"/>
    <n v="1"/>
    <n v="18"/>
    <n v="1"/>
    <n v="857467"/>
    <n v="857467"/>
    <n v="729738"/>
    <n v="127729"/>
  </r>
  <r>
    <n v="1118"/>
    <s v="31-03-2023"/>
    <x v="1"/>
    <x v="2"/>
    <x v="1"/>
    <x v="11"/>
    <x v="4"/>
    <x v="0"/>
    <x v="0"/>
    <n v="1"/>
    <n v="19"/>
    <n v="3"/>
    <n v="952729"/>
    <n v="2858187"/>
    <n v="2478763"/>
    <n v="379424"/>
  </r>
  <r>
    <n v="1119"/>
    <s v="12-10-2024"/>
    <x v="0"/>
    <x v="10"/>
    <x v="3"/>
    <x v="6"/>
    <x v="6"/>
    <x v="0"/>
    <x v="0"/>
    <n v="1.2"/>
    <n v="16"/>
    <n v="6"/>
    <n v="798874"/>
    <n v="4793244"/>
    <n v="3729255"/>
    <n v="1063989"/>
  </r>
  <r>
    <n v="1120"/>
    <s v="23-10-2023"/>
    <x v="1"/>
    <x v="10"/>
    <x v="1"/>
    <x v="1"/>
    <x v="2"/>
    <x v="3"/>
    <x v="2"/>
    <n v="1.5"/>
    <n v="20"/>
    <n v="2"/>
    <n v="1131319"/>
    <n v="2262638"/>
    <n v="1833039"/>
    <n v="429599"/>
  </r>
  <r>
    <n v="1121"/>
    <s v="31-08-2024"/>
    <x v="0"/>
    <x v="4"/>
    <x v="3"/>
    <x v="4"/>
    <x v="5"/>
    <x v="0"/>
    <x v="0"/>
    <n v="1.5"/>
    <n v="22"/>
    <n v="4"/>
    <n v="1237526"/>
    <n v="4950104"/>
    <n v="3799775"/>
    <n v="1150329"/>
  </r>
  <r>
    <n v="1122"/>
    <s v="13-11-2024"/>
    <x v="0"/>
    <x v="1"/>
    <x v="1"/>
    <x v="1"/>
    <x v="0"/>
    <x v="7"/>
    <x v="0"/>
    <n v="1.5"/>
    <n v="16"/>
    <n v="3"/>
    <n v="1180204"/>
    <n v="3540612"/>
    <n v="2939086"/>
    <n v="601526"/>
  </r>
  <r>
    <n v="1123"/>
    <s v="30-05-2024"/>
    <x v="0"/>
    <x v="8"/>
    <x v="0"/>
    <x v="9"/>
    <x v="7"/>
    <x v="8"/>
    <x v="2"/>
    <n v="1"/>
    <n v="23"/>
    <n v="6"/>
    <n v="1345154"/>
    <n v="8070924"/>
    <n v="7209345"/>
    <n v="861579"/>
  </r>
  <r>
    <n v="1124"/>
    <s v="09-01-2024"/>
    <x v="0"/>
    <x v="6"/>
    <x v="3"/>
    <x v="4"/>
    <x v="7"/>
    <x v="9"/>
    <x v="0"/>
    <n v="2"/>
    <n v="19"/>
    <n v="8"/>
    <n v="1213003"/>
    <n v="9704024"/>
    <n v="7629315"/>
    <n v="2074709"/>
  </r>
  <r>
    <n v="1125"/>
    <s v="09-04-2023"/>
    <x v="1"/>
    <x v="9"/>
    <x v="3"/>
    <x v="8"/>
    <x v="1"/>
    <x v="9"/>
    <x v="0"/>
    <n v="1.5"/>
    <n v="16"/>
    <n v="7"/>
    <n v="864959"/>
    <n v="6054713"/>
    <n v="4925345"/>
    <n v="1129368"/>
  </r>
  <r>
    <n v="1126"/>
    <s v="06-01-2023"/>
    <x v="1"/>
    <x v="6"/>
    <x v="2"/>
    <x v="3"/>
    <x v="2"/>
    <x v="1"/>
    <x v="1"/>
    <n v="1.5"/>
    <n v="22"/>
    <n v="8"/>
    <n v="1442541"/>
    <n v="11540328"/>
    <n v="10025450"/>
    <n v="1514878"/>
  </r>
  <r>
    <n v="1127"/>
    <s v="27-11-2023"/>
    <x v="1"/>
    <x v="1"/>
    <x v="2"/>
    <x v="7"/>
    <x v="3"/>
    <x v="9"/>
    <x v="0"/>
    <n v="1"/>
    <n v="16"/>
    <n v="3"/>
    <n v="894272"/>
    <n v="2682816"/>
    <n v="2087441"/>
    <n v="595375"/>
  </r>
  <r>
    <n v="1128"/>
    <s v="16-04-2024"/>
    <x v="0"/>
    <x v="9"/>
    <x v="3"/>
    <x v="4"/>
    <x v="2"/>
    <x v="1"/>
    <x v="1"/>
    <n v="1.2"/>
    <n v="21"/>
    <n v="7"/>
    <n v="1449304"/>
    <n v="10145128"/>
    <n v="8252192"/>
    <n v="1892936"/>
  </r>
  <r>
    <n v="1129"/>
    <s v="23-03-2024"/>
    <x v="0"/>
    <x v="2"/>
    <x v="3"/>
    <x v="4"/>
    <x v="1"/>
    <x v="3"/>
    <x v="2"/>
    <n v="1.5"/>
    <n v="20"/>
    <n v="2"/>
    <n v="748971"/>
    <n v="1497942"/>
    <n v="1143406"/>
    <n v="354536"/>
  </r>
  <r>
    <n v="1130"/>
    <s v="27-07-2024"/>
    <x v="0"/>
    <x v="11"/>
    <x v="1"/>
    <x v="5"/>
    <x v="0"/>
    <x v="7"/>
    <x v="0"/>
    <n v="1.2"/>
    <n v="23"/>
    <n v="8"/>
    <n v="1102941"/>
    <n v="8823528"/>
    <n v="6787034"/>
    <n v="2036494"/>
  </r>
  <r>
    <n v="1131"/>
    <s v="11-05-2023"/>
    <x v="1"/>
    <x v="8"/>
    <x v="2"/>
    <x v="13"/>
    <x v="3"/>
    <x v="6"/>
    <x v="2"/>
    <n v="2"/>
    <n v="22"/>
    <n v="6"/>
    <n v="714558"/>
    <n v="4287348"/>
    <n v="3806482"/>
    <n v="480866"/>
  </r>
  <r>
    <n v="1132"/>
    <s v="16-09-2023"/>
    <x v="1"/>
    <x v="7"/>
    <x v="3"/>
    <x v="12"/>
    <x v="1"/>
    <x v="7"/>
    <x v="0"/>
    <n v="1.2"/>
    <n v="21"/>
    <n v="4"/>
    <n v="672699"/>
    <n v="2690796"/>
    <n v="2316135"/>
    <n v="374661"/>
  </r>
  <r>
    <n v="1133"/>
    <s v="27-06-2024"/>
    <x v="0"/>
    <x v="3"/>
    <x v="3"/>
    <x v="8"/>
    <x v="4"/>
    <x v="3"/>
    <x v="2"/>
    <n v="1.5"/>
    <n v="22"/>
    <n v="5"/>
    <n v="1411829"/>
    <n v="7059145"/>
    <n v="6142415"/>
    <n v="916730"/>
  </r>
  <r>
    <n v="1134"/>
    <s v="06-11-2024"/>
    <x v="0"/>
    <x v="1"/>
    <x v="2"/>
    <x v="3"/>
    <x v="0"/>
    <x v="0"/>
    <x v="0"/>
    <n v="2"/>
    <n v="23"/>
    <n v="5"/>
    <n v="1367733"/>
    <n v="6838665"/>
    <n v="5460146"/>
    <n v="1378519"/>
  </r>
  <r>
    <n v="1135"/>
    <s v="15-07-2023"/>
    <x v="1"/>
    <x v="11"/>
    <x v="2"/>
    <x v="7"/>
    <x v="7"/>
    <x v="7"/>
    <x v="0"/>
    <n v="1.5"/>
    <n v="18"/>
    <n v="8"/>
    <n v="1162318"/>
    <n v="9298544"/>
    <n v="7663566"/>
    <n v="1634978"/>
  </r>
  <r>
    <n v="1136"/>
    <s v="21-05-2024"/>
    <x v="0"/>
    <x v="8"/>
    <x v="2"/>
    <x v="13"/>
    <x v="0"/>
    <x v="7"/>
    <x v="0"/>
    <n v="1"/>
    <n v="16"/>
    <n v="2"/>
    <n v="740086"/>
    <n v="1480172"/>
    <n v="1306133"/>
    <n v="174039"/>
  </r>
  <r>
    <n v="1137"/>
    <s v="31-01-2023"/>
    <x v="1"/>
    <x v="6"/>
    <x v="0"/>
    <x v="0"/>
    <x v="6"/>
    <x v="8"/>
    <x v="2"/>
    <n v="1.2"/>
    <n v="18"/>
    <n v="1"/>
    <n v="810830"/>
    <n v="810830"/>
    <n v="675833"/>
    <n v="134997"/>
  </r>
  <r>
    <n v="1138"/>
    <s v="01-10-2023"/>
    <x v="1"/>
    <x v="10"/>
    <x v="1"/>
    <x v="1"/>
    <x v="3"/>
    <x v="0"/>
    <x v="0"/>
    <n v="1.2"/>
    <n v="19"/>
    <n v="2"/>
    <n v="1082679"/>
    <n v="2165358"/>
    <n v="1729255"/>
    <n v="436103"/>
  </r>
  <r>
    <n v="1139"/>
    <s v="04-08-2023"/>
    <x v="1"/>
    <x v="4"/>
    <x v="3"/>
    <x v="12"/>
    <x v="7"/>
    <x v="2"/>
    <x v="1"/>
    <n v="1.5"/>
    <n v="19"/>
    <n v="4"/>
    <n v="842586"/>
    <n v="3370344"/>
    <n v="2935497"/>
    <n v="434847"/>
  </r>
  <r>
    <n v="1140"/>
    <s v="27-10-2024"/>
    <x v="0"/>
    <x v="10"/>
    <x v="3"/>
    <x v="8"/>
    <x v="4"/>
    <x v="5"/>
    <x v="2"/>
    <n v="1.5"/>
    <n v="19"/>
    <n v="4"/>
    <n v="1334552"/>
    <n v="5338208"/>
    <n v="4004321"/>
    <n v="1333887"/>
  </r>
  <r>
    <n v="1141"/>
    <s v="26-03-2024"/>
    <x v="0"/>
    <x v="2"/>
    <x v="3"/>
    <x v="8"/>
    <x v="5"/>
    <x v="8"/>
    <x v="2"/>
    <n v="1.5"/>
    <n v="19"/>
    <n v="7"/>
    <n v="936375"/>
    <n v="6554625"/>
    <n v="5700713"/>
    <n v="853912"/>
  </r>
  <r>
    <n v="1142"/>
    <s v="21-10-2024"/>
    <x v="0"/>
    <x v="10"/>
    <x v="1"/>
    <x v="11"/>
    <x v="5"/>
    <x v="1"/>
    <x v="1"/>
    <n v="2"/>
    <n v="23"/>
    <n v="5"/>
    <n v="1487928"/>
    <n v="7439640"/>
    <n v="6053521"/>
    <n v="1386119"/>
  </r>
  <r>
    <n v="1143"/>
    <s v="22-05-2024"/>
    <x v="0"/>
    <x v="8"/>
    <x v="2"/>
    <x v="7"/>
    <x v="5"/>
    <x v="7"/>
    <x v="0"/>
    <n v="2"/>
    <n v="21"/>
    <n v="4"/>
    <n v="939553"/>
    <n v="3758212"/>
    <n v="3187538"/>
    <n v="570674"/>
  </r>
  <r>
    <n v="1144"/>
    <s v="05-01-2023"/>
    <x v="1"/>
    <x v="6"/>
    <x v="2"/>
    <x v="15"/>
    <x v="7"/>
    <x v="1"/>
    <x v="1"/>
    <n v="1.2"/>
    <n v="23"/>
    <n v="2"/>
    <n v="1236047"/>
    <n v="2472094"/>
    <n v="2094968"/>
    <n v="377126"/>
  </r>
  <r>
    <n v="1145"/>
    <s v="19-05-2023"/>
    <x v="1"/>
    <x v="8"/>
    <x v="0"/>
    <x v="9"/>
    <x v="3"/>
    <x v="6"/>
    <x v="2"/>
    <n v="1"/>
    <n v="16"/>
    <n v="2"/>
    <n v="1044522"/>
    <n v="2089044"/>
    <n v="1805630"/>
    <n v="283414"/>
  </r>
  <r>
    <n v="1146"/>
    <s v="28-09-2024"/>
    <x v="0"/>
    <x v="7"/>
    <x v="0"/>
    <x v="2"/>
    <x v="7"/>
    <x v="8"/>
    <x v="2"/>
    <n v="2"/>
    <n v="18"/>
    <n v="5"/>
    <n v="1111777"/>
    <n v="5558885"/>
    <n v="4375948"/>
    <n v="1182937"/>
  </r>
  <r>
    <n v="1147"/>
    <s v="12-03-2023"/>
    <x v="1"/>
    <x v="2"/>
    <x v="1"/>
    <x v="5"/>
    <x v="0"/>
    <x v="3"/>
    <x v="2"/>
    <n v="1.2"/>
    <n v="22"/>
    <n v="8"/>
    <n v="1055127"/>
    <n v="8441016"/>
    <n v="7386652"/>
    <n v="1054364"/>
  </r>
  <r>
    <n v="1148"/>
    <s v="20-02-2024"/>
    <x v="0"/>
    <x v="0"/>
    <x v="3"/>
    <x v="6"/>
    <x v="4"/>
    <x v="5"/>
    <x v="2"/>
    <n v="1"/>
    <n v="18"/>
    <n v="7"/>
    <n v="1128619"/>
    <n v="7900333"/>
    <n v="6674627"/>
    <n v="1225706"/>
  </r>
  <r>
    <n v="1149"/>
    <s v="23-11-2023"/>
    <x v="1"/>
    <x v="1"/>
    <x v="3"/>
    <x v="8"/>
    <x v="3"/>
    <x v="0"/>
    <x v="0"/>
    <n v="2"/>
    <n v="23"/>
    <n v="6"/>
    <n v="910456"/>
    <n v="5462736"/>
    <n v="4811914"/>
    <n v="650822"/>
  </r>
  <r>
    <n v="1150"/>
    <s v="29-03-2023"/>
    <x v="1"/>
    <x v="2"/>
    <x v="1"/>
    <x v="5"/>
    <x v="7"/>
    <x v="9"/>
    <x v="0"/>
    <n v="1.5"/>
    <n v="23"/>
    <n v="6"/>
    <n v="969114"/>
    <n v="5814684"/>
    <n v="4837544"/>
    <n v="977140"/>
  </r>
  <r>
    <n v="1151"/>
    <s v="07-05-2024"/>
    <x v="0"/>
    <x v="8"/>
    <x v="2"/>
    <x v="7"/>
    <x v="4"/>
    <x v="4"/>
    <x v="0"/>
    <n v="1.5"/>
    <n v="19"/>
    <n v="6"/>
    <n v="988282"/>
    <n v="5929692"/>
    <n v="4852305"/>
    <n v="1077387"/>
  </r>
  <r>
    <n v="1152"/>
    <s v="08-03-2023"/>
    <x v="1"/>
    <x v="2"/>
    <x v="3"/>
    <x v="4"/>
    <x v="1"/>
    <x v="6"/>
    <x v="2"/>
    <n v="1.2"/>
    <n v="22"/>
    <n v="2"/>
    <n v="915648"/>
    <n v="1831296"/>
    <n v="1567707"/>
    <n v="263589"/>
  </r>
  <r>
    <n v="1153"/>
    <s v="13-07-2023"/>
    <x v="1"/>
    <x v="11"/>
    <x v="2"/>
    <x v="7"/>
    <x v="6"/>
    <x v="9"/>
    <x v="0"/>
    <n v="1"/>
    <n v="21"/>
    <n v="6"/>
    <n v="1060664"/>
    <n v="6363984"/>
    <n v="5363936"/>
    <n v="1000048"/>
  </r>
  <r>
    <n v="1154"/>
    <s v="09-12-2023"/>
    <x v="1"/>
    <x v="5"/>
    <x v="2"/>
    <x v="3"/>
    <x v="1"/>
    <x v="4"/>
    <x v="0"/>
    <n v="1.2"/>
    <n v="19"/>
    <n v="2"/>
    <n v="998800"/>
    <n v="1997600"/>
    <n v="1589702"/>
    <n v="407898"/>
  </r>
  <r>
    <n v="1155"/>
    <s v="14-07-2024"/>
    <x v="0"/>
    <x v="11"/>
    <x v="0"/>
    <x v="2"/>
    <x v="0"/>
    <x v="1"/>
    <x v="1"/>
    <n v="1"/>
    <n v="19"/>
    <n v="8"/>
    <n v="1378661"/>
    <n v="11029288"/>
    <n v="9368962"/>
    <n v="1660326"/>
  </r>
  <r>
    <n v="1156"/>
    <s v="11-05-2023"/>
    <x v="1"/>
    <x v="8"/>
    <x v="2"/>
    <x v="15"/>
    <x v="0"/>
    <x v="4"/>
    <x v="0"/>
    <n v="1.5"/>
    <n v="18"/>
    <n v="1"/>
    <n v="796819"/>
    <n v="796819"/>
    <n v="607672"/>
    <n v="189147"/>
  </r>
  <r>
    <n v="1157"/>
    <s v="21-11-2024"/>
    <x v="0"/>
    <x v="1"/>
    <x v="2"/>
    <x v="15"/>
    <x v="3"/>
    <x v="9"/>
    <x v="0"/>
    <n v="2"/>
    <n v="20"/>
    <n v="6"/>
    <n v="831564"/>
    <n v="4989384"/>
    <n v="3880020"/>
    <n v="1109364"/>
  </r>
  <r>
    <n v="1158"/>
    <s v="05-10-2024"/>
    <x v="0"/>
    <x v="10"/>
    <x v="2"/>
    <x v="7"/>
    <x v="1"/>
    <x v="3"/>
    <x v="2"/>
    <n v="1"/>
    <n v="19"/>
    <n v="1"/>
    <n v="1261089"/>
    <n v="1261089"/>
    <n v="1080267"/>
    <n v="180822"/>
  </r>
  <r>
    <n v="1159"/>
    <s v="01-05-2024"/>
    <x v="0"/>
    <x v="8"/>
    <x v="1"/>
    <x v="11"/>
    <x v="5"/>
    <x v="9"/>
    <x v="0"/>
    <n v="2"/>
    <n v="20"/>
    <n v="4"/>
    <n v="1324123"/>
    <n v="5296492"/>
    <n v="4019383"/>
    <n v="1277109"/>
  </r>
  <r>
    <n v="1160"/>
    <s v="12-04-2024"/>
    <x v="0"/>
    <x v="9"/>
    <x v="3"/>
    <x v="4"/>
    <x v="0"/>
    <x v="0"/>
    <x v="0"/>
    <n v="1"/>
    <n v="18"/>
    <n v="5"/>
    <n v="708214"/>
    <n v="3541070"/>
    <n v="3128968"/>
    <n v="412102"/>
  </r>
  <r>
    <n v="1161"/>
    <s v="18-02-2024"/>
    <x v="0"/>
    <x v="0"/>
    <x v="2"/>
    <x v="7"/>
    <x v="2"/>
    <x v="4"/>
    <x v="0"/>
    <n v="1"/>
    <n v="19"/>
    <n v="7"/>
    <n v="1278186"/>
    <n v="8947302"/>
    <n v="7632436"/>
    <n v="1314866"/>
  </r>
  <r>
    <n v="1162"/>
    <s v="12-06-2024"/>
    <x v="0"/>
    <x v="3"/>
    <x v="3"/>
    <x v="12"/>
    <x v="6"/>
    <x v="8"/>
    <x v="2"/>
    <n v="2"/>
    <n v="23"/>
    <n v="5"/>
    <n v="676298"/>
    <n v="3381490"/>
    <n v="2860575"/>
    <n v="520915"/>
  </r>
  <r>
    <n v="1163"/>
    <s v="16-09-2023"/>
    <x v="1"/>
    <x v="7"/>
    <x v="3"/>
    <x v="4"/>
    <x v="3"/>
    <x v="4"/>
    <x v="0"/>
    <n v="1.2"/>
    <n v="16"/>
    <n v="5"/>
    <n v="927364"/>
    <n v="4636820"/>
    <n v="3719961"/>
    <n v="916859"/>
  </r>
  <r>
    <n v="1164"/>
    <s v="16-07-2024"/>
    <x v="0"/>
    <x v="11"/>
    <x v="2"/>
    <x v="13"/>
    <x v="6"/>
    <x v="7"/>
    <x v="0"/>
    <n v="1"/>
    <n v="22"/>
    <n v="8"/>
    <n v="928069"/>
    <n v="7424552"/>
    <n v="6323763"/>
    <n v="1100789"/>
  </r>
  <r>
    <n v="1165"/>
    <s v="12-10-2023"/>
    <x v="1"/>
    <x v="10"/>
    <x v="0"/>
    <x v="14"/>
    <x v="7"/>
    <x v="6"/>
    <x v="2"/>
    <n v="1.5"/>
    <n v="22"/>
    <n v="3"/>
    <n v="602295"/>
    <n v="1806885"/>
    <n v="1516181"/>
    <n v="290704"/>
  </r>
  <r>
    <n v="1166"/>
    <s v="14-12-2024"/>
    <x v="0"/>
    <x v="5"/>
    <x v="3"/>
    <x v="8"/>
    <x v="1"/>
    <x v="1"/>
    <x v="1"/>
    <n v="1"/>
    <n v="16"/>
    <n v="6"/>
    <n v="713634"/>
    <n v="4281804"/>
    <n v="3238827"/>
    <n v="1042977"/>
  </r>
  <r>
    <n v="1167"/>
    <s v="07-02-2023"/>
    <x v="1"/>
    <x v="0"/>
    <x v="3"/>
    <x v="12"/>
    <x v="4"/>
    <x v="4"/>
    <x v="0"/>
    <n v="1.5"/>
    <n v="18"/>
    <n v="1"/>
    <n v="903501"/>
    <n v="903501"/>
    <n v="777652"/>
    <n v="125849"/>
  </r>
  <r>
    <n v="1168"/>
    <s v="17-05-2023"/>
    <x v="1"/>
    <x v="8"/>
    <x v="0"/>
    <x v="0"/>
    <x v="5"/>
    <x v="9"/>
    <x v="0"/>
    <n v="1"/>
    <n v="19"/>
    <n v="6"/>
    <n v="608808"/>
    <n v="3652848"/>
    <n v="3279286"/>
    <n v="373562"/>
  </r>
  <r>
    <n v="1169"/>
    <s v="04-09-2023"/>
    <x v="1"/>
    <x v="7"/>
    <x v="3"/>
    <x v="8"/>
    <x v="7"/>
    <x v="3"/>
    <x v="2"/>
    <n v="2"/>
    <n v="23"/>
    <n v="3"/>
    <n v="1346509"/>
    <n v="4039527"/>
    <n v="3518855"/>
    <n v="520672"/>
  </r>
  <r>
    <n v="1170"/>
    <s v="20-06-2024"/>
    <x v="0"/>
    <x v="3"/>
    <x v="2"/>
    <x v="15"/>
    <x v="4"/>
    <x v="5"/>
    <x v="2"/>
    <n v="1.2"/>
    <n v="19"/>
    <n v="7"/>
    <n v="1238695"/>
    <n v="8670865"/>
    <n v="7271891"/>
    <n v="1398974"/>
  </r>
  <r>
    <n v="1171"/>
    <s v="11-05-2023"/>
    <x v="1"/>
    <x v="8"/>
    <x v="2"/>
    <x v="7"/>
    <x v="7"/>
    <x v="6"/>
    <x v="2"/>
    <n v="2"/>
    <n v="19"/>
    <n v="4"/>
    <n v="1498714"/>
    <n v="5994856"/>
    <n v="5065541"/>
    <n v="929315"/>
  </r>
  <r>
    <n v="1172"/>
    <s v="22-08-2024"/>
    <x v="0"/>
    <x v="4"/>
    <x v="0"/>
    <x v="2"/>
    <x v="4"/>
    <x v="3"/>
    <x v="2"/>
    <n v="2"/>
    <n v="23"/>
    <n v="1"/>
    <n v="1076019"/>
    <n v="1076019"/>
    <n v="855871"/>
    <n v="220148"/>
  </r>
  <r>
    <n v="1173"/>
    <s v="10-12-2023"/>
    <x v="1"/>
    <x v="5"/>
    <x v="2"/>
    <x v="3"/>
    <x v="6"/>
    <x v="0"/>
    <x v="0"/>
    <n v="1.2"/>
    <n v="23"/>
    <n v="1"/>
    <n v="1090410"/>
    <n v="1090410"/>
    <n v="824485"/>
    <n v="265925"/>
  </r>
  <r>
    <n v="1174"/>
    <s v="03-01-2024"/>
    <x v="0"/>
    <x v="6"/>
    <x v="0"/>
    <x v="14"/>
    <x v="2"/>
    <x v="6"/>
    <x v="2"/>
    <n v="1.2"/>
    <n v="20"/>
    <n v="2"/>
    <n v="879844"/>
    <n v="1759688"/>
    <n v="1424614"/>
    <n v="335074"/>
  </r>
  <r>
    <n v="1175"/>
    <s v="09-02-2024"/>
    <x v="0"/>
    <x v="0"/>
    <x v="1"/>
    <x v="11"/>
    <x v="4"/>
    <x v="4"/>
    <x v="0"/>
    <n v="2"/>
    <n v="18"/>
    <n v="1"/>
    <n v="1084585"/>
    <n v="1084585"/>
    <n v="876254"/>
    <n v="208331"/>
  </r>
  <r>
    <n v="1176"/>
    <s v="29-04-2023"/>
    <x v="1"/>
    <x v="9"/>
    <x v="0"/>
    <x v="9"/>
    <x v="5"/>
    <x v="8"/>
    <x v="2"/>
    <n v="1.2"/>
    <n v="21"/>
    <n v="3"/>
    <n v="1332728"/>
    <n v="3998184"/>
    <n v="3266304"/>
    <n v="731880"/>
  </r>
  <r>
    <n v="1177"/>
    <s v="25-02-2024"/>
    <x v="0"/>
    <x v="0"/>
    <x v="1"/>
    <x v="11"/>
    <x v="5"/>
    <x v="7"/>
    <x v="0"/>
    <n v="2"/>
    <n v="22"/>
    <n v="5"/>
    <n v="1484628"/>
    <n v="7423140"/>
    <n v="5603459"/>
    <n v="1819681"/>
  </r>
  <r>
    <n v="1178"/>
    <s v="28-09-2023"/>
    <x v="1"/>
    <x v="7"/>
    <x v="3"/>
    <x v="4"/>
    <x v="1"/>
    <x v="6"/>
    <x v="2"/>
    <n v="1"/>
    <n v="23"/>
    <n v="8"/>
    <n v="1439503"/>
    <n v="11516024"/>
    <n v="8702864"/>
    <n v="2813160"/>
  </r>
  <r>
    <n v="1179"/>
    <s v="23-05-2024"/>
    <x v="0"/>
    <x v="8"/>
    <x v="2"/>
    <x v="15"/>
    <x v="1"/>
    <x v="5"/>
    <x v="2"/>
    <n v="2"/>
    <n v="16"/>
    <n v="4"/>
    <n v="1217505"/>
    <n v="4870020"/>
    <n v="4017440"/>
    <n v="852580"/>
  </r>
  <r>
    <n v="1180"/>
    <s v="03-05-2023"/>
    <x v="1"/>
    <x v="8"/>
    <x v="0"/>
    <x v="14"/>
    <x v="1"/>
    <x v="1"/>
    <x v="1"/>
    <n v="1.5"/>
    <n v="19"/>
    <n v="8"/>
    <n v="1458780"/>
    <n v="11670240"/>
    <n v="9178117"/>
    <n v="2492123"/>
  </r>
  <r>
    <n v="1181"/>
    <s v="23-05-2023"/>
    <x v="1"/>
    <x v="8"/>
    <x v="2"/>
    <x v="3"/>
    <x v="0"/>
    <x v="7"/>
    <x v="0"/>
    <n v="1.5"/>
    <n v="20"/>
    <n v="4"/>
    <n v="1122033"/>
    <n v="4488132"/>
    <n v="3883951"/>
    <n v="604181"/>
  </r>
  <r>
    <n v="1182"/>
    <s v="13-11-2024"/>
    <x v="0"/>
    <x v="1"/>
    <x v="0"/>
    <x v="0"/>
    <x v="1"/>
    <x v="6"/>
    <x v="2"/>
    <n v="1.2"/>
    <n v="20"/>
    <n v="7"/>
    <n v="1095055"/>
    <n v="7665385"/>
    <n v="5931480"/>
    <n v="1733905"/>
  </r>
  <r>
    <n v="1183"/>
    <s v="25-12-2023"/>
    <x v="1"/>
    <x v="5"/>
    <x v="2"/>
    <x v="15"/>
    <x v="6"/>
    <x v="1"/>
    <x v="1"/>
    <n v="1.5"/>
    <n v="21"/>
    <n v="1"/>
    <n v="1432550"/>
    <n v="1432550"/>
    <n v="1179938"/>
    <n v="252612"/>
  </r>
  <r>
    <n v="1184"/>
    <s v="31-07-2023"/>
    <x v="1"/>
    <x v="11"/>
    <x v="2"/>
    <x v="15"/>
    <x v="4"/>
    <x v="6"/>
    <x v="2"/>
    <n v="2"/>
    <n v="20"/>
    <n v="1"/>
    <n v="1009139"/>
    <n v="1009139"/>
    <n v="777806"/>
    <n v="231333"/>
  </r>
  <r>
    <n v="1185"/>
    <s v="11-09-2023"/>
    <x v="1"/>
    <x v="7"/>
    <x v="3"/>
    <x v="12"/>
    <x v="2"/>
    <x v="0"/>
    <x v="0"/>
    <n v="1"/>
    <n v="23"/>
    <n v="2"/>
    <n v="1390163"/>
    <n v="2780326"/>
    <n v="2478985"/>
    <n v="301341"/>
  </r>
  <r>
    <n v="1186"/>
    <s v="03-01-2023"/>
    <x v="1"/>
    <x v="6"/>
    <x v="3"/>
    <x v="4"/>
    <x v="6"/>
    <x v="4"/>
    <x v="0"/>
    <n v="1.5"/>
    <n v="21"/>
    <n v="6"/>
    <n v="847312"/>
    <n v="5083872"/>
    <n v="3859041"/>
    <n v="1224831"/>
  </r>
  <r>
    <n v="1187"/>
    <s v="29-11-2024"/>
    <x v="0"/>
    <x v="1"/>
    <x v="2"/>
    <x v="7"/>
    <x v="1"/>
    <x v="3"/>
    <x v="2"/>
    <n v="2"/>
    <n v="20"/>
    <n v="7"/>
    <n v="1167005"/>
    <n v="8169035"/>
    <n v="7056898"/>
    <n v="1112137"/>
  </r>
  <r>
    <n v="1188"/>
    <s v="04-01-2024"/>
    <x v="0"/>
    <x v="6"/>
    <x v="2"/>
    <x v="7"/>
    <x v="2"/>
    <x v="5"/>
    <x v="2"/>
    <n v="2"/>
    <n v="19"/>
    <n v="3"/>
    <n v="1446285"/>
    <n v="4338855"/>
    <n v="3597924"/>
    <n v="740931"/>
  </r>
  <r>
    <n v="1189"/>
    <s v="27-01-2023"/>
    <x v="1"/>
    <x v="6"/>
    <x v="0"/>
    <x v="14"/>
    <x v="3"/>
    <x v="5"/>
    <x v="2"/>
    <n v="2"/>
    <n v="18"/>
    <n v="2"/>
    <n v="1266217"/>
    <n v="2532434"/>
    <n v="2081971"/>
    <n v="450463"/>
  </r>
  <r>
    <n v="1190"/>
    <s v="29-02-2024"/>
    <x v="0"/>
    <x v="0"/>
    <x v="1"/>
    <x v="1"/>
    <x v="7"/>
    <x v="1"/>
    <x v="1"/>
    <n v="2"/>
    <n v="18"/>
    <n v="2"/>
    <n v="1408412"/>
    <n v="2816824"/>
    <n v="2256469"/>
    <n v="560355"/>
  </r>
  <r>
    <n v="1191"/>
    <s v="12-06-2023"/>
    <x v="1"/>
    <x v="3"/>
    <x v="0"/>
    <x v="14"/>
    <x v="0"/>
    <x v="8"/>
    <x v="2"/>
    <n v="1"/>
    <n v="18"/>
    <n v="5"/>
    <n v="817667"/>
    <n v="4088335"/>
    <n v="3574692"/>
    <n v="513643"/>
  </r>
  <r>
    <n v="1192"/>
    <s v="01-12-2024"/>
    <x v="0"/>
    <x v="5"/>
    <x v="1"/>
    <x v="10"/>
    <x v="4"/>
    <x v="6"/>
    <x v="2"/>
    <n v="1"/>
    <n v="16"/>
    <n v="3"/>
    <n v="1361024"/>
    <n v="4083072"/>
    <n v="3369061"/>
    <n v="714011"/>
  </r>
  <r>
    <n v="1193"/>
    <s v="06-02-2023"/>
    <x v="1"/>
    <x v="0"/>
    <x v="1"/>
    <x v="11"/>
    <x v="1"/>
    <x v="2"/>
    <x v="1"/>
    <n v="1.2"/>
    <n v="22"/>
    <n v="4"/>
    <n v="1370672"/>
    <n v="5482688"/>
    <n v="4158794"/>
    <n v="1323894"/>
  </r>
  <r>
    <n v="1194"/>
    <s v="14-12-2024"/>
    <x v="0"/>
    <x v="5"/>
    <x v="0"/>
    <x v="0"/>
    <x v="3"/>
    <x v="8"/>
    <x v="2"/>
    <n v="1.2"/>
    <n v="22"/>
    <n v="4"/>
    <n v="734412"/>
    <n v="2937648"/>
    <n v="2276357"/>
    <n v="661291"/>
  </r>
  <r>
    <n v="1195"/>
    <s v="15-07-2024"/>
    <x v="0"/>
    <x v="11"/>
    <x v="1"/>
    <x v="5"/>
    <x v="3"/>
    <x v="8"/>
    <x v="2"/>
    <n v="1"/>
    <n v="23"/>
    <n v="6"/>
    <n v="1342224"/>
    <n v="8053344"/>
    <n v="7104685"/>
    <n v="948659"/>
  </r>
  <r>
    <n v="1196"/>
    <s v="01-01-2023"/>
    <x v="1"/>
    <x v="6"/>
    <x v="3"/>
    <x v="4"/>
    <x v="6"/>
    <x v="6"/>
    <x v="2"/>
    <n v="1.5"/>
    <n v="22"/>
    <n v="3"/>
    <n v="950241"/>
    <n v="2850723"/>
    <n v="2507023"/>
    <n v="343700"/>
  </r>
  <r>
    <n v="1197"/>
    <s v="31-10-2024"/>
    <x v="0"/>
    <x v="10"/>
    <x v="2"/>
    <x v="15"/>
    <x v="6"/>
    <x v="4"/>
    <x v="0"/>
    <n v="1"/>
    <n v="22"/>
    <n v="7"/>
    <n v="1442966"/>
    <n v="10100762"/>
    <n v="7800247"/>
    <n v="2300515"/>
  </r>
  <r>
    <n v="1198"/>
    <s v="04-03-2024"/>
    <x v="0"/>
    <x v="2"/>
    <x v="2"/>
    <x v="3"/>
    <x v="6"/>
    <x v="0"/>
    <x v="0"/>
    <n v="2"/>
    <n v="21"/>
    <n v="1"/>
    <n v="906544"/>
    <n v="906544"/>
    <n v="731571"/>
    <n v="174973"/>
  </r>
  <r>
    <n v="1199"/>
    <s v="23-11-2023"/>
    <x v="1"/>
    <x v="1"/>
    <x v="0"/>
    <x v="14"/>
    <x v="2"/>
    <x v="9"/>
    <x v="0"/>
    <n v="1"/>
    <n v="22"/>
    <n v="3"/>
    <n v="1349676"/>
    <n v="4049028"/>
    <n v="3339306"/>
    <n v="709722"/>
  </r>
  <r>
    <n v="1200"/>
    <s v="21-08-2023"/>
    <x v="1"/>
    <x v="4"/>
    <x v="1"/>
    <x v="10"/>
    <x v="5"/>
    <x v="2"/>
    <x v="1"/>
    <n v="1.2"/>
    <n v="23"/>
    <n v="8"/>
    <n v="700948"/>
    <n v="5607584"/>
    <n v="4478109"/>
    <n v="1129475"/>
  </r>
  <r>
    <n v="1201"/>
    <s v="06-01-2023"/>
    <x v="1"/>
    <x v="6"/>
    <x v="3"/>
    <x v="4"/>
    <x v="4"/>
    <x v="4"/>
    <x v="0"/>
    <n v="2"/>
    <n v="18"/>
    <n v="2"/>
    <n v="825991"/>
    <n v="1651982"/>
    <n v="1289869"/>
    <n v="362113"/>
  </r>
  <r>
    <n v="1202"/>
    <s v="25-10-2024"/>
    <x v="0"/>
    <x v="10"/>
    <x v="3"/>
    <x v="12"/>
    <x v="4"/>
    <x v="7"/>
    <x v="0"/>
    <n v="1"/>
    <n v="16"/>
    <n v="2"/>
    <n v="755427"/>
    <n v="1510854"/>
    <n v="1272186"/>
    <n v="238668"/>
  </r>
  <r>
    <n v="1203"/>
    <s v="10-02-2024"/>
    <x v="0"/>
    <x v="0"/>
    <x v="3"/>
    <x v="6"/>
    <x v="2"/>
    <x v="1"/>
    <x v="1"/>
    <n v="1.5"/>
    <n v="16"/>
    <n v="2"/>
    <n v="815133"/>
    <n v="1630266"/>
    <n v="1461094"/>
    <n v="169172"/>
  </r>
  <r>
    <n v="1204"/>
    <s v="24-02-2024"/>
    <x v="0"/>
    <x v="0"/>
    <x v="3"/>
    <x v="4"/>
    <x v="4"/>
    <x v="4"/>
    <x v="0"/>
    <n v="1.5"/>
    <n v="19"/>
    <n v="6"/>
    <n v="1419740"/>
    <n v="8518440"/>
    <n v="6890324"/>
    <n v="1628116"/>
  </r>
  <r>
    <n v="1205"/>
    <s v="29-04-2023"/>
    <x v="1"/>
    <x v="9"/>
    <x v="2"/>
    <x v="7"/>
    <x v="2"/>
    <x v="2"/>
    <x v="1"/>
    <n v="1.2"/>
    <n v="21"/>
    <n v="2"/>
    <n v="860215"/>
    <n v="1720430"/>
    <n v="1471579"/>
    <n v="248851"/>
  </r>
  <r>
    <n v="1206"/>
    <s v="28-01-2024"/>
    <x v="0"/>
    <x v="6"/>
    <x v="1"/>
    <x v="10"/>
    <x v="5"/>
    <x v="0"/>
    <x v="0"/>
    <n v="1.2"/>
    <n v="16"/>
    <n v="3"/>
    <n v="1057034"/>
    <n v="3171102"/>
    <n v="2406212"/>
    <n v="764890"/>
  </r>
  <r>
    <n v="1207"/>
    <s v="27-11-2024"/>
    <x v="0"/>
    <x v="1"/>
    <x v="0"/>
    <x v="9"/>
    <x v="3"/>
    <x v="4"/>
    <x v="0"/>
    <n v="1.5"/>
    <n v="18"/>
    <n v="8"/>
    <n v="783168"/>
    <n v="6265344"/>
    <n v="5465585"/>
    <n v="799759"/>
  </r>
  <r>
    <n v="1208"/>
    <s v="18-05-2023"/>
    <x v="1"/>
    <x v="8"/>
    <x v="0"/>
    <x v="2"/>
    <x v="4"/>
    <x v="6"/>
    <x v="2"/>
    <n v="1.2"/>
    <n v="19"/>
    <n v="4"/>
    <n v="1008369"/>
    <n v="4033476"/>
    <n v="3485954"/>
    <n v="547522"/>
  </r>
  <r>
    <n v="1209"/>
    <s v="26-02-2023"/>
    <x v="1"/>
    <x v="0"/>
    <x v="3"/>
    <x v="6"/>
    <x v="4"/>
    <x v="9"/>
    <x v="0"/>
    <n v="1.2"/>
    <n v="20"/>
    <n v="3"/>
    <n v="1258138"/>
    <n v="3774414"/>
    <n v="3302265"/>
    <n v="472149"/>
  </r>
  <r>
    <n v="1210"/>
    <s v="13-01-2023"/>
    <x v="1"/>
    <x v="6"/>
    <x v="0"/>
    <x v="0"/>
    <x v="6"/>
    <x v="9"/>
    <x v="0"/>
    <n v="2"/>
    <n v="19"/>
    <n v="3"/>
    <n v="1172166"/>
    <n v="3516498"/>
    <n v="2715397"/>
    <n v="801101"/>
  </r>
  <r>
    <n v="1211"/>
    <s v="19-02-2024"/>
    <x v="0"/>
    <x v="0"/>
    <x v="3"/>
    <x v="12"/>
    <x v="3"/>
    <x v="7"/>
    <x v="0"/>
    <n v="1.5"/>
    <n v="20"/>
    <n v="8"/>
    <n v="935050"/>
    <n v="7480400"/>
    <n v="5626521"/>
    <n v="1853879"/>
  </r>
  <r>
    <n v="1212"/>
    <s v="29-05-2024"/>
    <x v="0"/>
    <x v="8"/>
    <x v="0"/>
    <x v="0"/>
    <x v="3"/>
    <x v="8"/>
    <x v="2"/>
    <n v="2"/>
    <n v="20"/>
    <n v="3"/>
    <n v="629512"/>
    <n v="1888536"/>
    <n v="1479590"/>
    <n v="408946"/>
  </r>
  <r>
    <n v="1213"/>
    <s v="07-08-2024"/>
    <x v="0"/>
    <x v="4"/>
    <x v="3"/>
    <x v="12"/>
    <x v="2"/>
    <x v="7"/>
    <x v="0"/>
    <n v="1"/>
    <n v="16"/>
    <n v="6"/>
    <n v="1026844"/>
    <n v="6161064"/>
    <n v="5417976"/>
    <n v="743088"/>
  </r>
  <r>
    <n v="1214"/>
    <s v="19-10-2024"/>
    <x v="0"/>
    <x v="10"/>
    <x v="2"/>
    <x v="3"/>
    <x v="0"/>
    <x v="8"/>
    <x v="2"/>
    <n v="1.5"/>
    <n v="16"/>
    <n v="3"/>
    <n v="1055660"/>
    <n v="3166980"/>
    <n v="2711266"/>
    <n v="455714"/>
  </r>
  <r>
    <n v="1215"/>
    <s v="11-03-2024"/>
    <x v="0"/>
    <x v="2"/>
    <x v="2"/>
    <x v="13"/>
    <x v="7"/>
    <x v="8"/>
    <x v="2"/>
    <n v="2"/>
    <n v="16"/>
    <n v="1"/>
    <n v="718179"/>
    <n v="718179"/>
    <n v="583902"/>
    <n v="134277"/>
  </r>
  <r>
    <n v="1216"/>
    <s v="27-05-2024"/>
    <x v="0"/>
    <x v="8"/>
    <x v="0"/>
    <x v="2"/>
    <x v="1"/>
    <x v="9"/>
    <x v="0"/>
    <n v="1.2"/>
    <n v="23"/>
    <n v="6"/>
    <n v="759198"/>
    <n v="4555188"/>
    <n v="3723064"/>
    <n v="832124"/>
  </r>
  <r>
    <n v="1217"/>
    <s v="24-10-2023"/>
    <x v="1"/>
    <x v="10"/>
    <x v="1"/>
    <x v="10"/>
    <x v="1"/>
    <x v="0"/>
    <x v="0"/>
    <n v="1.5"/>
    <n v="21"/>
    <n v="4"/>
    <n v="1356210"/>
    <n v="5424840"/>
    <n v="4074710"/>
    <n v="1350130"/>
  </r>
  <r>
    <n v="1218"/>
    <s v="25-10-2023"/>
    <x v="1"/>
    <x v="10"/>
    <x v="2"/>
    <x v="13"/>
    <x v="3"/>
    <x v="5"/>
    <x v="2"/>
    <n v="2"/>
    <n v="23"/>
    <n v="4"/>
    <n v="823353"/>
    <n v="3293412"/>
    <n v="2816267"/>
    <n v="477145"/>
  </r>
  <r>
    <n v="1219"/>
    <s v="08-12-2023"/>
    <x v="1"/>
    <x v="5"/>
    <x v="2"/>
    <x v="13"/>
    <x v="6"/>
    <x v="9"/>
    <x v="0"/>
    <n v="1.2"/>
    <n v="23"/>
    <n v="1"/>
    <n v="1301035"/>
    <n v="1301035"/>
    <n v="1157331"/>
    <n v="143704"/>
  </r>
  <r>
    <n v="1220"/>
    <s v="20-05-2024"/>
    <x v="0"/>
    <x v="8"/>
    <x v="2"/>
    <x v="13"/>
    <x v="0"/>
    <x v="5"/>
    <x v="2"/>
    <n v="1.5"/>
    <n v="21"/>
    <n v="7"/>
    <n v="608089"/>
    <n v="4256623"/>
    <n v="3427781"/>
    <n v="828842"/>
  </r>
  <r>
    <n v="1221"/>
    <s v="18-06-2024"/>
    <x v="0"/>
    <x v="3"/>
    <x v="2"/>
    <x v="13"/>
    <x v="7"/>
    <x v="3"/>
    <x v="2"/>
    <n v="1.2"/>
    <n v="21"/>
    <n v="6"/>
    <n v="1205986"/>
    <n v="7235916"/>
    <n v="5611243"/>
    <n v="1624673"/>
  </r>
  <r>
    <n v="1222"/>
    <s v="06-04-2024"/>
    <x v="0"/>
    <x v="9"/>
    <x v="0"/>
    <x v="2"/>
    <x v="3"/>
    <x v="0"/>
    <x v="0"/>
    <n v="1.2"/>
    <n v="22"/>
    <n v="3"/>
    <n v="1201301"/>
    <n v="3603903"/>
    <n v="3150599"/>
    <n v="453304"/>
  </r>
  <r>
    <n v="1223"/>
    <s v="10-01-2023"/>
    <x v="1"/>
    <x v="6"/>
    <x v="0"/>
    <x v="0"/>
    <x v="4"/>
    <x v="3"/>
    <x v="2"/>
    <n v="1.5"/>
    <n v="16"/>
    <n v="5"/>
    <n v="1470590"/>
    <n v="7352950"/>
    <n v="5610909"/>
    <n v="1742041"/>
  </r>
  <r>
    <n v="1224"/>
    <s v="26-11-2023"/>
    <x v="1"/>
    <x v="1"/>
    <x v="3"/>
    <x v="8"/>
    <x v="4"/>
    <x v="8"/>
    <x v="2"/>
    <n v="1"/>
    <n v="19"/>
    <n v="7"/>
    <n v="1022741"/>
    <n v="7159187"/>
    <n v="5909919"/>
    <n v="1249268"/>
  </r>
  <r>
    <n v="1225"/>
    <s v="01-02-2024"/>
    <x v="0"/>
    <x v="0"/>
    <x v="2"/>
    <x v="7"/>
    <x v="3"/>
    <x v="4"/>
    <x v="0"/>
    <n v="1.2"/>
    <n v="16"/>
    <n v="8"/>
    <n v="659067"/>
    <n v="5272536"/>
    <n v="4289590"/>
    <n v="982946"/>
  </r>
  <r>
    <n v="1226"/>
    <s v="06-08-2023"/>
    <x v="1"/>
    <x v="4"/>
    <x v="1"/>
    <x v="1"/>
    <x v="2"/>
    <x v="6"/>
    <x v="2"/>
    <n v="2"/>
    <n v="19"/>
    <n v="7"/>
    <n v="1455579"/>
    <n v="10189053"/>
    <n v="8923948"/>
    <n v="1265105"/>
  </r>
  <r>
    <n v="1227"/>
    <s v="26-03-2024"/>
    <x v="0"/>
    <x v="2"/>
    <x v="0"/>
    <x v="2"/>
    <x v="3"/>
    <x v="3"/>
    <x v="2"/>
    <n v="1"/>
    <n v="19"/>
    <n v="7"/>
    <n v="1475807"/>
    <n v="10330649"/>
    <n v="8769279"/>
    <n v="1561370"/>
  </r>
  <r>
    <n v="1228"/>
    <s v="04-01-2023"/>
    <x v="1"/>
    <x v="6"/>
    <x v="3"/>
    <x v="8"/>
    <x v="2"/>
    <x v="8"/>
    <x v="2"/>
    <n v="2"/>
    <n v="16"/>
    <n v="8"/>
    <n v="1333690"/>
    <n v="10669520"/>
    <n v="8706867"/>
    <n v="1962653"/>
  </r>
  <r>
    <n v="1229"/>
    <s v="11-04-2023"/>
    <x v="1"/>
    <x v="9"/>
    <x v="1"/>
    <x v="1"/>
    <x v="6"/>
    <x v="6"/>
    <x v="2"/>
    <n v="1"/>
    <n v="21"/>
    <n v="4"/>
    <n v="1037007"/>
    <n v="4148028"/>
    <n v="3125654"/>
    <n v="1022374"/>
  </r>
  <r>
    <n v="1230"/>
    <s v="19-11-2023"/>
    <x v="1"/>
    <x v="1"/>
    <x v="3"/>
    <x v="6"/>
    <x v="0"/>
    <x v="6"/>
    <x v="2"/>
    <n v="1.2"/>
    <n v="23"/>
    <n v="4"/>
    <n v="976648"/>
    <n v="3906592"/>
    <n v="3015289"/>
    <n v="891303"/>
  </r>
  <r>
    <n v="1231"/>
    <s v="11-08-2024"/>
    <x v="0"/>
    <x v="4"/>
    <x v="1"/>
    <x v="1"/>
    <x v="2"/>
    <x v="5"/>
    <x v="2"/>
    <n v="1"/>
    <n v="21"/>
    <n v="2"/>
    <n v="1196157"/>
    <n v="2392314"/>
    <n v="1828347"/>
    <n v="563967"/>
  </r>
  <r>
    <n v="1232"/>
    <s v="20-12-2023"/>
    <x v="1"/>
    <x v="5"/>
    <x v="1"/>
    <x v="11"/>
    <x v="5"/>
    <x v="0"/>
    <x v="0"/>
    <n v="1"/>
    <n v="21"/>
    <n v="2"/>
    <n v="946252"/>
    <n v="1892504"/>
    <n v="1674030"/>
    <n v="218474"/>
  </r>
  <r>
    <n v="1233"/>
    <s v="24-05-2023"/>
    <x v="1"/>
    <x v="8"/>
    <x v="2"/>
    <x v="7"/>
    <x v="7"/>
    <x v="2"/>
    <x v="1"/>
    <n v="1.2"/>
    <n v="22"/>
    <n v="7"/>
    <n v="794290"/>
    <n v="5560030"/>
    <n v="4938287"/>
    <n v="621743"/>
  </r>
  <r>
    <n v="1234"/>
    <s v="20-07-2023"/>
    <x v="1"/>
    <x v="11"/>
    <x v="2"/>
    <x v="3"/>
    <x v="7"/>
    <x v="2"/>
    <x v="1"/>
    <n v="1.2"/>
    <n v="23"/>
    <n v="7"/>
    <n v="754172"/>
    <n v="5279204"/>
    <n v="4517200"/>
    <n v="762004"/>
  </r>
  <r>
    <n v="1235"/>
    <s v="25-02-2023"/>
    <x v="1"/>
    <x v="0"/>
    <x v="0"/>
    <x v="14"/>
    <x v="0"/>
    <x v="1"/>
    <x v="1"/>
    <n v="1.2"/>
    <n v="19"/>
    <n v="4"/>
    <n v="1008934"/>
    <n v="4035736"/>
    <n v="3095324"/>
    <n v="940412"/>
  </r>
  <r>
    <n v="1236"/>
    <s v="19-08-2023"/>
    <x v="1"/>
    <x v="4"/>
    <x v="3"/>
    <x v="6"/>
    <x v="1"/>
    <x v="0"/>
    <x v="0"/>
    <n v="1.2"/>
    <n v="21"/>
    <n v="2"/>
    <n v="1286880"/>
    <n v="2573760"/>
    <n v="2139113"/>
    <n v="434647"/>
  </r>
  <r>
    <n v="1237"/>
    <s v="01-11-2023"/>
    <x v="1"/>
    <x v="1"/>
    <x v="2"/>
    <x v="15"/>
    <x v="1"/>
    <x v="8"/>
    <x v="2"/>
    <n v="1.2"/>
    <n v="21"/>
    <n v="6"/>
    <n v="659619"/>
    <n v="3957714"/>
    <n v="3493844"/>
    <n v="463870"/>
  </r>
  <r>
    <n v="1238"/>
    <s v="08-03-2024"/>
    <x v="0"/>
    <x v="2"/>
    <x v="2"/>
    <x v="15"/>
    <x v="1"/>
    <x v="7"/>
    <x v="0"/>
    <n v="2"/>
    <n v="19"/>
    <n v="1"/>
    <n v="1363221"/>
    <n v="1363221"/>
    <n v="1059632"/>
    <n v="303589"/>
  </r>
  <r>
    <n v="1239"/>
    <s v="19-03-2024"/>
    <x v="0"/>
    <x v="2"/>
    <x v="3"/>
    <x v="4"/>
    <x v="3"/>
    <x v="4"/>
    <x v="0"/>
    <n v="1.2"/>
    <n v="22"/>
    <n v="1"/>
    <n v="929582"/>
    <n v="929582"/>
    <n v="760268"/>
    <n v="169314"/>
  </r>
  <r>
    <n v="1240"/>
    <s v="17-02-2024"/>
    <x v="0"/>
    <x v="0"/>
    <x v="1"/>
    <x v="5"/>
    <x v="0"/>
    <x v="1"/>
    <x v="1"/>
    <n v="2"/>
    <n v="22"/>
    <n v="1"/>
    <n v="1036218"/>
    <n v="1036218"/>
    <n v="814694"/>
    <n v="221524"/>
  </r>
  <r>
    <n v="1241"/>
    <s v="15-07-2023"/>
    <x v="1"/>
    <x v="11"/>
    <x v="0"/>
    <x v="2"/>
    <x v="2"/>
    <x v="9"/>
    <x v="0"/>
    <n v="1.5"/>
    <n v="21"/>
    <n v="6"/>
    <n v="1030398"/>
    <n v="6182388"/>
    <n v="4980390"/>
    <n v="1201998"/>
  </r>
  <r>
    <n v="1242"/>
    <s v="18-03-2023"/>
    <x v="1"/>
    <x v="2"/>
    <x v="2"/>
    <x v="3"/>
    <x v="3"/>
    <x v="3"/>
    <x v="2"/>
    <n v="1.2"/>
    <n v="18"/>
    <n v="4"/>
    <n v="1316658"/>
    <n v="5266632"/>
    <n v="4239895"/>
    <n v="1026737"/>
  </r>
  <r>
    <n v="1243"/>
    <s v="30-01-2023"/>
    <x v="1"/>
    <x v="6"/>
    <x v="1"/>
    <x v="11"/>
    <x v="4"/>
    <x v="9"/>
    <x v="0"/>
    <n v="1"/>
    <n v="20"/>
    <n v="5"/>
    <n v="775584"/>
    <n v="3877920"/>
    <n v="3131176"/>
    <n v="746744"/>
  </r>
  <r>
    <n v="1244"/>
    <s v="23-12-2023"/>
    <x v="1"/>
    <x v="5"/>
    <x v="3"/>
    <x v="6"/>
    <x v="5"/>
    <x v="4"/>
    <x v="0"/>
    <n v="1.5"/>
    <n v="16"/>
    <n v="6"/>
    <n v="926071"/>
    <n v="5556426"/>
    <n v="4656212"/>
    <n v="900214"/>
  </r>
  <r>
    <n v="1245"/>
    <s v="11-11-2023"/>
    <x v="1"/>
    <x v="1"/>
    <x v="3"/>
    <x v="4"/>
    <x v="6"/>
    <x v="5"/>
    <x v="2"/>
    <n v="1.5"/>
    <n v="16"/>
    <n v="8"/>
    <n v="1012352"/>
    <n v="8098816"/>
    <n v="7225971"/>
    <n v="872845"/>
  </r>
  <r>
    <n v="1246"/>
    <s v="06-03-2023"/>
    <x v="1"/>
    <x v="2"/>
    <x v="1"/>
    <x v="5"/>
    <x v="3"/>
    <x v="8"/>
    <x v="2"/>
    <n v="1.2"/>
    <n v="19"/>
    <n v="3"/>
    <n v="1070157"/>
    <n v="3210471"/>
    <n v="2573038"/>
    <n v="637433"/>
  </r>
  <r>
    <n v="1247"/>
    <s v="24-11-2024"/>
    <x v="0"/>
    <x v="1"/>
    <x v="0"/>
    <x v="14"/>
    <x v="0"/>
    <x v="7"/>
    <x v="0"/>
    <n v="1.2"/>
    <n v="18"/>
    <n v="8"/>
    <n v="1309163"/>
    <n v="10473304"/>
    <n v="8929108"/>
    <n v="1544196"/>
  </r>
  <r>
    <n v="1248"/>
    <s v="19-04-2024"/>
    <x v="0"/>
    <x v="9"/>
    <x v="1"/>
    <x v="10"/>
    <x v="2"/>
    <x v="7"/>
    <x v="0"/>
    <n v="1.2"/>
    <n v="16"/>
    <n v="4"/>
    <n v="1124875"/>
    <n v="4499500"/>
    <n v="3828798"/>
    <n v="670702"/>
  </r>
  <r>
    <n v="1249"/>
    <s v="06-12-2023"/>
    <x v="1"/>
    <x v="5"/>
    <x v="3"/>
    <x v="12"/>
    <x v="5"/>
    <x v="1"/>
    <x v="1"/>
    <n v="2"/>
    <n v="23"/>
    <n v="6"/>
    <n v="1190016"/>
    <n v="7140096"/>
    <n v="5688842"/>
    <n v="1451254"/>
  </r>
  <r>
    <n v="1250"/>
    <s v="10-05-2024"/>
    <x v="0"/>
    <x v="8"/>
    <x v="2"/>
    <x v="13"/>
    <x v="0"/>
    <x v="9"/>
    <x v="0"/>
    <n v="1.5"/>
    <n v="20"/>
    <n v="5"/>
    <n v="1151947"/>
    <n v="5759735"/>
    <n v="4916365"/>
    <n v="843370"/>
  </r>
  <r>
    <n v="1251"/>
    <s v="10-11-2024"/>
    <x v="0"/>
    <x v="1"/>
    <x v="2"/>
    <x v="3"/>
    <x v="7"/>
    <x v="9"/>
    <x v="0"/>
    <n v="1.5"/>
    <n v="22"/>
    <n v="5"/>
    <n v="1260992"/>
    <n v="6304960"/>
    <n v="4915277"/>
    <n v="1389683"/>
  </r>
  <r>
    <n v="1252"/>
    <s v="29-10-2024"/>
    <x v="0"/>
    <x v="10"/>
    <x v="1"/>
    <x v="11"/>
    <x v="7"/>
    <x v="3"/>
    <x v="2"/>
    <n v="1"/>
    <n v="23"/>
    <n v="3"/>
    <n v="976002"/>
    <n v="2928006"/>
    <n v="2465161"/>
    <n v="462845"/>
  </r>
  <r>
    <n v="1253"/>
    <s v="21-10-2023"/>
    <x v="1"/>
    <x v="10"/>
    <x v="3"/>
    <x v="4"/>
    <x v="6"/>
    <x v="4"/>
    <x v="0"/>
    <n v="1.5"/>
    <n v="18"/>
    <n v="1"/>
    <n v="902132"/>
    <n v="902132"/>
    <n v="755084"/>
    <n v="147048"/>
  </r>
  <r>
    <n v="1254"/>
    <s v="13-11-2024"/>
    <x v="0"/>
    <x v="1"/>
    <x v="3"/>
    <x v="12"/>
    <x v="5"/>
    <x v="0"/>
    <x v="0"/>
    <n v="2"/>
    <n v="16"/>
    <n v="4"/>
    <n v="1478105"/>
    <n v="5912420"/>
    <n v="5007090"/>
    <n v="905330"/>
  </r>
  <r>
    <n v="1255"/>
    <s v="25-06-2023"/>
    <x v="1"/>
    <x v="3"/>
    <x v="0"/>
    <x v="14"/>
    <x v="2"/>
    <x v="5"/>
    <x v="2"/>
    <n v="1"/>
    <n v="16"/>
    <n v="8"/>
    <n v="1458094"/>
    <n v="11664752"/>
    <n v="8752131"/>
    <n v="2912621"/>
  </r>
  <r>
    <n v="1256"/>
    <s v="26-12-2024"/>
    <x v="0"/>
    <x v="5"/>
    <x v="2"/>
    <x v="15"/>
    <x v="6"/>
    <x v="9"/>
    <x v="0"/>
    <n v="2"/>
    <n v="20"/>
    <n v="4"/>
    <n v="1368279"/>
    <n v="5473116"/>
    <n v="4508720"/>
    <n v="964396"/>
  </r>
  <r>
    <n v="1257"/>
    <s v="12-06-2024"/>
    <x v="0"/>
    <x v="3"/>
    <x v="3"/>
    <x v="12"/>
    <x v="6"/>
    <x v="4"/>
    <x v="0"/>
    <n v="1.2"/>
    <n v="20"/>
    <n v="1"/>
    <n v="1176642"/>
    <n v="1176642"/>
    <n v="1014695"/>
    <n v="161947"/>
  </r>
  <r>
    <n v="1258"/>
    <s v="10-10-2023"/>
    <x v="1"/>
    <x v="10"/>
    <x v="1"/>
    <x v="5"/>
    <x v="4"/>
    <x v="5"/>
    <x v="2"/>
    <n v="1.2"/>
    <n v="19"/>
    <n v="8"/>
    <n v="629374"/>
    <n v="5034992"/>
    <n v="4134511"/>
    <n v="900481"/>
  </r>
  <r>
    <n v="1259"/>
    <s v="03-10-2024"/>
    <x v="0"/>
    <x v="10"/>
    <x v="0"/>
    <x v="2"/>
    <x v="4"/>
    <x v="4"/>
    <x v="0"/>
    <n v="2"/>
    <n v="18"/>
    <n v="2"/>
    <n v="1273424"/>
    <n v="2546848"/>
    <n v="1913436"/>
    <n v="633412"/>
  </r>
  <r>
    <n v="1260"/>
    <s v="18-11-2024"/>
    <x v="0"/>
    <x v="1"/>
    <x v="2"/>
    <x v="3"/>
    <x v="5"/>
    <x v="9"/>
    <x v="0"/>
    <n v="1.2"/>
    <n v="19"/>
    <n v="7"/>
    <n v="1272460"/>
    <n v="8907220"/>
    <n v="7810657"/>
    <n v="1096563"/>
  </r>
  <r>
    <n v="1261"/>
    <s v="28-07-2023"/>
    <x v="1"/>
    <x v="11"/>
    <x v="3"/>
    <x v="6"/>
    <x v="6"/>
    <x v="5"/>
    <x v="2"/>
    <n v="1.5"/>
    <n v="18"/>
    <n v="2"/>
    <n v="1024395"/>
    <n v="2048790"/>
    <n v="1806060"/>
    <n v="242730"/>
  </r>
  <r>
    <n v="1262"/>
    <s v="17-05-2024"/>
    <x v="0"/>
    <x v="8"/>
    <x v="0"/>
    <x v="2"/>
    <x v="2"/>
    <x v="9"/>
    <x v="0"/>
    <n v="2"/>
    <n v="21"/>
    <n v="1"/>
    <n v="1446126"/>
    <n v="1446126"/>
    <n v="1139698"/>
    <n v="306428"/>
  </r>
  <r>
    <n v="1263"/>
    <s v="18-05-2023"/>
    <x v="1"/>
    <x v="8"/>
    <x v="1"/>
    <x v="11"/>
    <x v="1"/>
    <x v="7"/>
    <x v="0"/>
    <n v="1.5"/>
    <n v="18"/>
    <n v="5"/>
    <n v="1421996"/>
    <n v="7109980"/>
    <n v="5495138"/>
    <n v="1614842"/>
  </r>
  <r>
    <n v="1264"/>
    <s v="23-05-2023"/>
    <x v="1"/>
    <x v="8"/>
    <x v="3"/>
    <x v="6"/>
    <x v="3"/>
    <x v="4"/>
    <x v="0"/>
    <n v="1"/>
    <n v="20"/>
    <n v="5"/>
    <n v="1095747"/>
    <n v="5478735"/>
    <n v="4637428"/>
    <n v="841307"/>
  </r>
  <r>
    <n v="1265"/>
    <s v="19-11-2024"/>
    <x v="0"/>
    <x v="1"/>
    <x v="0"/>
    <x v="0"/>
    <x v="2"/>
    <x v="5"/>
    <x v="2"/>
    <n v="1"/>
    <n v="22"/>
    <n v="3"/>
    <n v="1160800"/>
    <n v="3482400"/>
    <n v="3018911"/>
    <n v="463489"/>
  </r>
  <r>
    <n v="1266"/>
    <s v="12-05-2024"/>
    <x v="0"/>
    <x v="8"/>
    <x v="1"/>
    <x v="11"/>
    <x v="0"/>
    <x v="6"/>
    <x v="2"/>
    <n v="2"/>
    <n v="21"/>
    <n v="6"/>
    <n v="1133953"/>
    <n v="6803718"/>
    <n v="6055970"/>
    <n v="747748"/>
  </r>
  <r>
    <n v="1267"/>
    <s v="02-01-2024"/>
    <x v="0"/>
    <x v="6"/>
    <x v="1"/>
    <x v="1"/>
    <x v="4"/>
    <x v="9"/>
    <x v="0"/>
    <n v="1"/>
    <n v="20"/>
    <n v="5"/>
    <n v="1170244"/>
    <n v="5851220"/>
    <n v="5170094"/>
    <n v="681126"/>
  </r>
  <r>
    <n v="1268"/>
    <s v="19-04-2023"/>
    <x v="1"/>
    <x v="9"/>
    <x v="1"/>
    <x v="11"/>
    <x v="4"/>
    <x v="4"/>
    <x v="0"/>
    <n v="1.2"/>
    <n v="18"/>
    <n v="3"/>
    <n v="742321"/>
    <n v="2226963"/>
    <n v="1910899"/>
    <n v="316064"/>
  </r>
  <r>
    <n v="1269"/>
    <s v="30-05-2023"/>
    <x v="1"/>
    <x v="8"/>
    <x v="3"/>
    <x v="6"/>
    <x v="3"/>
    <x v="3"/>
    <x v="2"/>
    <n v="2"/>
    <n v="20"/>
    <n v="1"/>
    <n v="1378316"/>
    <n v="1378316"/>
    <n v="1085025"/>
    <n v="293291"/>
  </r>
  <r>
    <n v="1270"/>
    <s v="26-04-2023"/>
    <x v="1"/>
    <x v="9"/>
    <x v="2"/>
    <x v="7"/>
    <x v="4"/>
    <x v="0"/>
    <x v="0"/>
    <n v="2"/>
    <n v="22"/>
    <n v="4"/>
    <n v="1292719"/>
    <n v="5170876"/>
    <n v="4208504"/>
    <n v="962372"/>
  </r>
  <r>
    <n v="1271"/>
    <s v="05-06-2023"/>
    <x v="1"/>
    <x v="3"/>
    <x v="1"/>
    <x v="10"/>
    <x v="4"/>
    <x v="3"/>
    <x v="2"/>
    <n v="1.5"/>
    <n v="23"/>
    <n v="3"/>
    <n v="1083909"/>
    <n v="3251727"/>
    <n v="2603015"/>
    <n v="648712"/>
  </r>
  <r>
    <n v="1272"/>
    <s v="09-09-2023"/>
    <x v="1"/>
    <x v="7"/>
    <x v="0"/>
    <x v="14"/>
    <x v="4"/>
    <x v="9"/>
    <x v="0"/>
    <n v="1.2"/>
    <n v="23"/>
    <n v="1"/>
    <n v="677492"/>
    <n v="677492"/>
    <n v="512419"/>
    <n v="165073"/>
  </r>
  <r>
    <n v="1273"/>
    <s v="30-05-2024"/>
    <x v="0"/>
    <x v="8"/>
    <x v="1"/>
    <x v="1"/>
    <x v="2"/>
    <x v="1"/>
    <x v="1"/>
    <n v="1.5"/>
    <n v="18"/>
    <n v="6"/>
    <n v="885371"/>
    <n v="5312226"/>
    <n v="4286224"/>
    <n v="1026002"/>
  </r>
  <r>
    <n v="1274"/>
    <s v="21-10-2024"/>
    <x v="0"/>
    <x v="10"/>
    <x v="1"/>
    <x v="11"/>
    <x v="2"/>
    <x v="0"/>
    <x v="0"/>
    <n v="2"/>
    <n v="20"/>
    <n v="1"/>
    <n v="944446"/>
    <n v="944446"/>
    <n v="724371"/>
    <n v="220075"/>
  </r>
  <r>
    <n v="1275"/>
    <s v="09-05-2023"/>
    <x v="1"/>
    <x v="8"/>
    <x v="3"/>
    <x v="6"/>
    <x v="7"/>
    <x v="4"/>
    <x v="0"/>
    <n v="1.2"/>
    <n v="22"/>
    <n v="2"/>
    <n v="1214074"/>
    <n v="2428148"/>
    <n v="1930005"/>
    <n v="498143"/>
  </r>
  <r>
    <n v="1276"/>
    <s v="14-09-2023"/>
    <x v="1"/>
    <x v="7"/>
    <x v="3"/>
    <x v="4"/>
    <x v="7"/>
    <x v="4"/>
    <x v="0"/>
    <n v="1.5"/>
    <n v="22"/>
    <n v="1"/>
    <n v="836756"/>
    <n v="836756"/>
    <n v="696666"/>
    <n v="140090"/>
  </r>
  <r>
    <n v="1277"/>
    <s v="30-01-2023"/>
    <x v="1"/>
    <x v="6"/>
    <x v="1"/>
    <x v="10"/>
    <x v="2"/>
    <x v="8"/>
    <x v="2"/>
    <n v="2"/>
    <n v="19"/>
    <n v="1"/>
    <n v="1416358"/>
    <n v="1416358"/>
    <n v="1099427"/>
    <n v="316931"/>
  </r>
  <r>
    <n v="1278"/>
    <s v="09-05-2023"/>
    <x v="1"/>
    <x v="8"/>
    <x v="1"/>
    <x v="1"/>
    <x v="4"/>
    <x v="0"/>
    <x v="0"/>
    <n v="2"/>
    <n v="19"/>
    <n v="3"/>
    <n v="1162450"/>
    <n v="3487350"/>
    <n v="2875543"/>
    <n v="611807"/>
  </r>
  <r>
    <n v="1279"/>
    <s v="13-06-2024"/>
    <x v="0"/>
    <x v="3"/>
    <x v="2"/>
    <x v="7"/>
    <x v="0"/>
    <x v="0"/>
    <x v="0"/>
    <n v="1.2"/>
    <n v="22"/>
    <n v="6"/>
    <n v="601353"/>
    <n v="3608118"/>
    <n v="3206175"/>
    <n v="401943"/>
  </r>
  <r>
    <n v="1280"/>
    <s v="23-06-2023"/>
    <x v="1"/>
    <x v="3"/>
    <x v="3"/>
    <x v="8"/>
    <x v="0"/>
    <x v="6"/>
    <x v="2"/>
    <n v="2"/>
    <n v="23"/>
    <n v="6"/>
    <n v="865797"/>
    <n v="5194782"/>
    <n v="4520805"/>
    <n v="673977"/>
  </r>
  <r>
    <n v="1281"/>
    <s v="22-09-2024"/>
    <x v="0"/>
    <x v="7"/>
    <x v="0"/>
    <x v="14"/>
    <x v="6"/>
    <x v="8"/>
    <x v="2"/>
    <n v="1.2"/>
    <n v="19"/>
    <n v="1"/>
    <n v="632455"/>
    <n v="632455"/>
    <n v="476481"/>
    <n v="155974"/>
  </r>
  <r>
    <n v="1282"/>
    <s v="23-01-2023"/>
    <x v="1"/>
    <x v="6"/>
    <x v="2"/>
    <x v="7"/>
    <x v="6"/>
    <x v="0"/>
    <x v="0"/>
    <n v="1"/>
    <n v="22"/>
    <n v="4"/>
    <n v="919020"/>
    <n v="3676080"/>
    <n v="3219929"/>
    <n v="456151"/>
  </r>
  <r>
    <n v="1283"/>
    <s v="10-04-2023"/>
    <x v="1"/>
    <x v="9"/>
    <x v="0"/>
    <x v="14"/>
    <x v="3"/>
    <x v="3"/>
    <x v="2"/>
    <n v="2"/>
    <n v="22"/>
    <n v="8"/>
    <n v="1044811"/>
    <n v="8358488"/>
    <n v="7277551"/>
    <n v="1080937"/>
  </r>
  <r>
    <n v="1284"/>
    <s v="13-09-2023"/>
    <x v="1"/>
    <x v="7"/>
    <x v="3"/>
    <x v="6"/>
    <x v="4"/>
    <x v="8"/>
    <x v="2"/>
    <n v="1.5"/>
    <n v="21"/>
    <n v="8"/>
    <n v="1461750"/>
    <n v="11694000"/>
    <n v="9458509"/>
    <n v="2235491"/>
  </r>
  <r>
    <n v="1285"/>
    <s v="07-12-2024"/>
    <x v="0"/>
    <x v="5"/>
    <x v="0"/>
    <x v="0"/>
    <x v="4"/>
    <x v="2"/>
    <x v="1"/>
    <n v="2"/>
    <n v="22"/>
    <n v="5"/>
    <n v="1034963"/>
    <n v="5174815"/>
    <n v="4148858"/>
    <n v="1025957"/>
  </r>
  <r>
    <n v="1286"/>
    <s v="08-10-2024"/>
    <x v="0"/>
    <x v="10"/>
    <x v="1"/>
    <x v="1"/>
    <x v="1"/>
    <x v="4"/>
    <x v="0"/>
    <n v="2"/>
    <n v="22"/>
    <n v="2"/>
    <n v="895606"/>
    <n v="1791212"/>
    <n v="1608055"/>
    <n v="183157"/>
  </r>
  <r>
    <n v="1287"/>
    <s v="11-07-2023"/>
    <x v="1"/>
    <x v="11"/>
    <x v="0"/>
    <x v="14"/>
    <x v="2"/>
    <x v="5"/>
    <x v="2"/>
    <n v="2"/>
    <n v="18"/>
    <n v="6"/>
    <n v="1399108"/>
    <n v="8394648"/>
    <n v="7096662"/>
    <n v="1297986"/>
  </r>
  <r>
    <n v="1288"/>
    <s v="09-06-2023"/>
    <x v="1"/>
    <x v="3"/>
    <x v="1"/>
    <x v="5"/>
    <x v="5"/>
    <x v="8"/>
    <x v="2"/>
    <n v="2"/>
    <n v="20"/>
    <n v="6"/>
    <n v="910020"/>
    <n v="5460120"/>
    <n v="4838407"/>
    <n v="621713"/>
  </r>
  <r>
    <n v="1289"/>
    <s v="28-02-2024"/>
    <x v="0"/>
    <x v="0"/>
    <x v="2"/>
    <x v="15"/>
    <x v="2"/>
    <x v="7"/>
    <x v="0"/>
    <n v="2"/>
    <n v="23"/>
    <n v="5"/>
    <n v="1446032"/>
    <n v="7230160"/>
    <n v="6220312"/>
    <n v="1009848"/>
  </r>
  <r>
    <n v="1290"/>
    <s v="18-10-2024"/>
    <x v="0"/>
    <x v="10"/>
    <x v="3"/>
    <x v="4"/>
    <x v="0"/>
    <x v="4"/>
    <x v="0"/>
    <n v="1.2"/>
    <n v="23"/>
    <n v="8"/>
    <n v="1301182"/>
    <n v="10409456"/>
    <n v="8803504"/>
    <n v="1605952"/>
  </r>
  <r>
    <n v="1291"/>
    <s v="04-06-2024"/>
    <x v="0"/>
    <x v="3"/>
    <x v="2"/>
    <x v="3"/>
    <x v="7"/>
    <x v="6"/>
    <x v="2"/>
    <n v="1.5"/>
    <n v="19"/>
    <n v="1"/>
    <n v="653448"/>
    <n v="653448"/>
    <n v="501974"/>
    <n v="151474"/>
  </r>
  <r>
    <n v="1292"/>
    <s v="10-06-2024"/>
    <x v="0"/>
    <x v="3"/>
    <x v="3"/>
    <x v="6"/>
    <x v="2"/>
    <x v="7"/>
    <x v="0"/>
    <n v="1.5"/>
    <n v="20"/>
    <n v="8"/>
    <n v="808918"/>
    <n v="6471344"/>
    <n v="5426729"/>
    <n v="1044615"/>
  </r>
  <r>
    <n v="1293"/>
    <s v="18-04-2023"/>
    <x v="1"/>
    <x v="9"/>
    <x v="2"/>
    <x v="13"/>
    <x v="7"/>
    <x v="5"/>
    <x v="2"/>
    <n v="2"/>
    <n v="16"/>
    <n v="1"/>
    <n v="824846"/>
    <n v="824846"/>
    <n v="732371"/>
    <n v="92475"/>
  </r>
  <r>
    <n v="1294"/>
    <s v="16-07-2024"/>
    <x v="0"/>
    <x v="11"/>
    <x v="3"/>
    <x v="4"/>
    <x v="3"/>
    <x v="7"/>
    <x v="0"/>
    <n v="2"/>
    <n v="21"/>
    <n v="3"/>
    <n v="615667"/>
    <n v="1847001"/>
    <n v="1532718"/>
    <n v="314283"/>
  </r>
  <r>
    <n v="1295"/>
    <s v="30-11-2024"/>
    <x v="0"/>
    <x v="1"/>
    <x v="3"/>
    <x v="8"/>
    <x v="7"/>
    <x v="4"/>
    <x v="0"/>
    <n v="2"/>
    <n v="21"/>
    <n v="2"/>
    <n v="830432"/>
    <n v="1660864"/>
    <n v="1470105"/>
    <n v="190759"/>
  </r>
  <r>
    <n v="1296"/>
    <s v="28-10-2024"/>
    <x v="0"/>
    <x v="10"/>
    <x v="2"/>
    <x v="3"/>
    <x v="6"/>
    <x v="1"/>
    <x v="1"/>
    <n v="1.5"/>
    <n v="20"/>
    <n v="5"/>
    <n v="1069009"/>
    <n v="5345045"/>
    <n v="4311293"/>
    <n v="1033752"/>
  </r>
  <r>
    <n v="1297"/>
    <s v="29-12-2023"/>
    <x v="1"/>
    <x v="5"/>
    <x v="0"/>
    <x v="2"/>
    <x v="0"/>
    <x v="7"/>
    <x v="0"/>
    <n v="1.2"/>
    <n v="21"/>
    <n v="2"/>
    <n v="1240429"/>
    <n v="2480858"/>
    <n v="2059430"/>
    <n v="421428"/>
  </r>
  <r>
    <n v="1298"/>
    <s v="25-05-2024"/>
    <x v="0"/>
    <x v="8"/>
    <x v="1"/>
    <x v="10"/>
    <x v="1"/>
    <x v="9"/>
    <x v="0"/>
    <n v="2"/>
    <n v="23"/>
    <n v="5"/>
    <n v="1164660"/>
    <n v="5823300"/>
    <n v="4881686"/>
    <n v="941614"/>
  </r>
  <r>
    <n v="1299"/>
    <s v="12-09-2023"/>
    <x v="1"/>
    <x v="7"/>
    <x v="0"/>
    <x v="9"/>
    <x v="7"/>
    <x v="6"/>
    <x v="2"/>
    <n v="1.2"/>
    <n v="18"/>
    <n v="5"/>
    <n v="1454291"/>
    <n v="7271455"/>
    <n v="6082126"/>
    <n v="1189329"/>
  </r>
  <r>
    <n v="1300"/>
    <s v="14-10-2023"/>
    <x v="1"/>
    <x v="10"/>
    <x v="0"/>
    <x v="14"/>
    <x v="3"/>
    <x v="0"/>
    <x v="0"/>
    <n v="1.5"/>
    <n v="18"/>
    <n v="8"/>
    <n v="1156367"/>
    <n v="9250936"/>
    <n v="8037598"/>
    <n v="1213338"/>
  </r>
  <r>
    <n v="1301"/>
    <s v="17-11-2023"/>
    <x v="1"/>
    <x v="1"/>
    <x v="2"/>
    <x v="3"/>
    <x v="5"/>
    <x v="7"/>
    <x v="0"/>
    <n v="2"/>
    <n v="19"/>
    <n v="2"/>
    <n v="993870"/>
    <n v="1987740"/>
    <n v="1632587"/>
    <n v="355153"/>
  </r>
  <r>
    <n v="1302"/>
    <s v="19-07-2023"/>
    <x v="1"/>
    <x v="11"/>
    <x v="3"/>
    <x v="4"/>
    <x v="4"/>
    <x v="4"/>
    <x v="0"/>
    <n v="1.2"/>
    <n v="20"/>
    <n v="1"/>
    <n v="796040"/>
    <n v="796040"/>
    <n v="666099"/>
    <n v="129941"/>
  </r>
  <r>
    <n v="1303"/>
    <s v="25-01-2024"/>
    <x v="0"/>
    <x v="6"/>
    <x v="1"/>
    <x v="1"/>
    <x v="6"/>
    <x v="7"/>
    <x v="0"/>
    <n v="1.5"/>
    <n v="21"/>
    <n v="3"/>
    <n v="1320366"/>
    <n v="3961098"/>
    <n v="3202050"/>
    <n v="759048"/>
  </r>
  <r>
    <n v="1304"/>
    <s v="08-10-2024"/>
    <x v="0"/>
    <x v="10"/>
    <x v="2"/>
    <x v="15"/>
    <x v="3"/>
    <x v="7"/>
    <x v="0"/>
    <n v="1.5"/>
    <n v="21"/>
    <n v="3"/>
    <n v="1430399"/>
    <n v="4291197"/>
    <n v="3785074"/>
    <n v="506123"/>
  </r>
  <r>
    <n v="1305"/>
    <s v="11-02-2024"/>
    <x v="0"/>
    <x v="0"/>
    <x v="3"/>
    <x v="12"/>
    <x v="4"/>
    <x v="5"/>
    <x v="2"/>
    <n v="1.5"/>
    <n v="19"/>
    <n v="8"/>
    <n v="830262"/>
    <n v="6642096"/>
    <n v="5605842"/>
    <n v="1036254"/>
  </r>
  <r>
    <n v="1306"/>
    <s v="25-07-2024"/>
    <x v="0"/>
    <x v="11"/>
    <x v="3"/>
    <x v="12"/>
    <x v="4"/>
    <x v="2"/>
    <x v="1"/>
    <n v="1.2"/>
    <n v="19"/>
    <n v="1"/>
    <n v="1265096"/>
    <n v="1265096"/>
    <n v="1093129"/>
    <n v="171967"/>
  </r>
  <r>
    <n v="1307"/>
    <s v="01-01-2023"/>
    <x v="1"/>
    <x v="6"/>
    <x v="2"/>
    <x v="7"/>
    <x v="6"/>
    <x v="9"/>
    <x v="0"/>
    <n v="2"/>
    <n v="22"/>
    <n v="4"/>
    <n v="1158782"/>
    <n v="4635128"/>
    <n v="4113787"/>
    <n v="521341"/>
  </r>
  <r>
    <n v="1308"/>
    <s v="31-10-2023"/>
    <x v="1"/>
    <x v="10"/>
    <x v="3"/>
    <x v="6"/>
    <x v="5"/>
    <x v="3"/>
    <x v="2"/>
    <n v="2"/>
    <n v="22"/>
    <n v="4"/>
    <n v="691598"/>
    <n v="2766392"/>
    <n v="2263368"/>
    <n v="503024"/>
  </r>
  <r>
    <n v="1309"/>
    <s v="07-10-2024"/>
    <x v="0"/>
    <x v="10"/>
    <x v="1"/>
    <x v="1"/>
    <x v="0"/>
    <x v="9"/>
    <x v="0"/>
    <n v="2"/>
    <n v="20"/>
    <n v="8"/>
    <n v="1493796"/>
    <n v="11950368"/>
    <n v="9182324"/>
    <n v="2768044"/>
  </r>
  <r>
    <n v="1310"/>
    <s v="07-12-2023"/>
    <x v="1"/>
    <x v="5"/>
    <x v="3"/>
    <x v="12"/>
    <x v="7"/>
    <x v="3"/>
    <x v="2"/>
    <n v="2"/>
    <n v="22"/>
    <n v="6"/>
    <n v="1135597"/>
    <n v="6813582"/>
    <n v="5657938"/>
    <n v="1155644"/>
  </r>
  <r>
    <n v="1311"/>
    <s v="20-07-2024"/>
    <x v="0"/>
    <x v="11"/>
    <x v="0"/>
    <x v="0"/>
    <x v="6"/>
    <x v="4"/>
    <x v="0"/>
    <n v="2"/>
    <n v="18"/>
    <n v="6"/>
    <n v="933382"/>
    <n v="5600292"/>
    <n v="4596739"/>
    <n v="1003553"/>
  </r>
  <r>
    <n v="1312"/>
    <s v="24-03-2024"/>
    <x v="0"/>
    <x v="2"/>
    <x v="2"/>
    <x v="13"/>
    <x v="6"/>
    <x v="2"/>
    <x v="1"/>
    <n v="1.5"/>
    <n v="20"/>
    <n v="4"/>
    <n v="942845"/>
    <n v="3771380"/>
    <n v="3278849"/>
    <n v="492531"/>
  </r>
  <r>
    <n v="1313"/>
    <s v="19-07-2023"/>
    <x v="1"/>
    <x v="11"/>
    <x v="0"/>
    <x v="9"/>
    <x v="7"/>
    <x v="2"/>
    <x v="1"/>
    <n v="2"/>
    <n v="21"/>
    <n v="3"/>
    <n v="846855"/>
    <n v="2540565"/>
    <n v="2000289"/>
    <n v="540276"/>
  </r>
  <r>
    <n v="1314"/>
    <s v="06-12-2023"/>
    <x v="1"/>
    <x v="5"/>
    <x v="3"/>
    <x v="6"/>
    <x v="7"/>
    <x v="0"/>
    <x v="0"/>
    <n v="1.5"/>
    <n v="18"/>
    <n v="1"/>
    <n v="986453"/>
    <n v="986453"/>
    <n v="792764"/>
    <n v="193689"/>
  </r>
  <r>
    <n v="1315"/>
    <s v="02-10-2024"/>
    <x v="0"/>
    <x v="10"/>
    <x v="2"/>
    <x v="15"/>
    <x v="5"/>
    <x v="5"/>
    <x v="2"/>
    <n v="1.2"/>
    <n v="23"/>
    <n v="8"/>
    <n v="1411471"/>
    <n v="11291768"/>
    <n v="9228224"/>
    <n v="2063544"/>
  </r>
  <r>
    <n v="1316"/>
    <s v="21-04-2024"/>
    <x v="0"/>
    <x v="9"/>
    <x v="1"/>
    <x v="5"/>
    <x v="7"/>
    <x v="5"/>
    <x v="2"/>
    <n v="2"/>
    <n v="23"/>
    <n v="1"/>
    <n v="1286997"/>
    <n v="1286997"/>
    <n v="999576"/>
    <n v="287421"/>
  </r>
  <r>
    <n v="1317"/>
    <s v="07-09-2023"/>
    <x v="1"/>
    <x v="7"/>
    <x v="0"/>
    <x v="2"/>
    <x v="2"/>
    <x v="4"/>
    <x v="0"/>
    <n v="1.5"/>
    <n v="16"/>
    <n v="8"/>
    <n v="828080"/>
    <n v="6624640"/>
    <n v="5280243"/>
    <n v="1344397"/>
  </r>
  <r>
    <n v="1318"/>
    <s v="14-04-2024"/>
    <x v="0"/>
    <x v="9"/>
    <x v="2"/>
    <x v="3"/>
    <x v="5"/>
    <x v="4"/>
    <x v="0"/>
    <n v="1.2"/>
    <n v="21"/>
    <n v="3"/>
    <n v="1206092"/>
    <n v="3618276"/>
    <n v="2901414"/>
    <n v="716862"/>
  </r>
  <r>
    <n v="1319"/>
    <s v="01-11-2023"/>
    <x v="1"/>
    <x v="1"/>
    <x v="1"/>
    <x v="11"/>
    <x v="3"/>
    <x v="8"/>
    <x v="2"/>
    <n v="1.2"/>
    <n v="22"/>
    <n v="1"/>
    <n v="1063922"/>
    <n v="1063922"/>
    <n v="889962"/>
    <n v="173960"/>
  </r>
  <r>
    <n v="1320"/>
    <s v="14-05-2023"/>
    <x v="1"/>
    <x v="8"/>
    <x v="1"/>
    <x v="1"/>
    <x v="1"/>
    <x v="1"/>
    <x v="1"/>
    <n v="1.5"/>
    <n v="18"/>
    <n v="8"/>
    <n v="642307"/>
    <n v="5138456"/>
    <n v="4435235"/>
    <n v="703221"/>
  </r>
  <r>
    <n v="1321"/>
    <s v="26-10-2024"/>
    <x v="0"/>
    <x v="10"/>
    <x v="0"/>
    <x v="14"/>
    <x v="5"/>
    <x v="7"/>
    <x v="0"/>
    <n v="1.5"/>
    <n v="20"/>
    <n v="1"/>
    <n v="1135982"/>
    <n v="1135982"/>
    <n v="883779"/>
    <n v="252203"/>
  </r>
  <r>
    <n v="1322"/>
    <s v="23-09-2023"/>
    <x v="1"/>
    <x v="7"/>
    <x v="0"/>
    <x v="0"/>
    <x v="0"/>
    <x v="3"/>
    <x v="2"/>
    <n v="1.5"/>
    <n v="18"/>
    <n v="6"/>
    <n v="1020105"/>
    <n v="6120630"/>
    <n v="4893805"/>
    <n v="1226825"/>
  </r>
  <r>
    <n v="1323"/>
    <s v="09-04-2023"/>
    <x v="1"/>
    <x v="9"/>
    <x v="3"/>
    <x v="6"/>
    <x v="7"/>
    <x v="1"/>
    <x v="1"/>
    <n v="2"/>
    <n v="20"/>
    <n v="6"/>
    <n v="1482259"/>
    <n v="8893554"/>
    <n v="6779423"/>
    <n v="2114131"/>
  </r>
  <r>
    <n v="1324"/>
    <s v="25-10-2023"/>
    <x v="1"/>
    <x v="10"/>
    <x v="0"/>
    <x v="0"/>
    <x v="2"/>
    <x v="7"/>
    <x v="0"/>
    <n v="1.2"/>
    <n v="19"/>
    <n v="2"/>
    <n v="1498612"/>
    <n v="2997224"/>
    <n v="2539433"/>
    <n v="457791"/>
  </r>
  <r>
    <n v="1325"/>
    <s v="24-02-2024"/>
    <x v="0"/>
    <x v="0"/>
    <x v="0"/>
    <x v="9"/>
    <x v="2"/>
    <x v="5"/>
    <x v="2"/>
    <n v="1.2"/>
    <n v="18"/>
    <n v="1"/>
    <n v="1314534"/>
    <n v="1314534"/>
    <n v="1067865"/>
    <n v="246669"/>
  </r>
  <r>
    <n v="1326"/>
    <s v="19-06-2024"/>
    <x v="0"/>
    <x v="3"/>
    <x v="1"/>
    <x v="1"/>
    <x v="5"/>
    <x v="8"/>
    <x v="2"/>
    <n v="1.2"/>
    <n v="23"/>
    <n v="7"/>
    <n v="1358283"/>
    <n v="9507981"/>
    <n v="8458763"/>
    <n v="1049218"/>
  </r>
  <r>
    <n v="1327"/>
    <s v="07-07-2023"/>
    <x v="1"/>
    <x v="11"/>
    <x v="2"/>
    <x v="15"/>
    <x v="6"/>
    <x v="0"/>
    <x v="0"/>
    <n v="1"/>
    <n v="21"/>
    <n v="8"/>
    <n v="1156972"/>
    <n v="9255776"/>
    <n v="7291324"/>
    <n v="1964452"/>
  </r>
  <r>
    <n v="1328"/>
    <s v="27-01-2024"/>
    <x v="0"/>
    <x v="6"/>
    <x v="3"/>
    <x v="8"/>
    <x v="5"/>
    <x v="6"/>
    <x v="2"/>
    <n v="1.2"/>
    <n v="18"/>
    <n v="2"/>
    <n v="1278492"/>
    <n v="2556984"/>
    <n v="2271431"/>
    <n v="285553"/>
  </r>
  <r>
    <n v="1329"/>
    <s v="01-10-2024"/>
    <x v="0"/>
    <x v="10"/>
    <x v="0"/>
    <x v="2"/>
    <x v="2"/>
    <x v="3"/>
    <x v="2"/>
    <n v="1"/>
    <n v="22"/>
    <n v="7"/>
    <n v="888293"/>
    <n v="6218051"/>
    <n v="5010870"/>
    <n v="1207181"/>
  </r>
  <r>
    <n v="1330"/>
    <s v="26-12-2024"/>
    <x v="0"/>
    <x v="5"/>
    <x v="0"/>
    <x v="2"/>
    <x v="4"/>
    <x v="3"/>
    <x v="2"/>
    <n v="1.5"/>
    <n v="20"/>
    <n v="3"/>
    <n v="795845"/>
    <n v="2387535"/>
    <n v="1951862"/>
    <n v="435673"/>
  </r>
  <r>
    <n v="1331"/>
    <s v="20-07-2024"/>
    <x v="0"/>
    <x v="11"/>
    <x v="2"/>
    <x v="15"/>
    <x v="1"/>
    <x v="4"/>
    <x v="0"/>
    <n v="1.5"/>
    <n v="18"/>
    <n v="1"/>
    <n v="603046"/>
    <n v="603046"/>
    <n v="500545"/>
    <n v="102501"/>
  </r>
  <r>
    <n v="1332"/>
    <s v="24-02-2024"/>
    <x v="0"/>
    <x v="0"/>
    <x v="0"/>
    <x v="14"/>
    <x v="3"/>
    <x v="5"/>
    <x v="2"/>
    <n v="1.2"/>
    <n v="23"/>
    <n v="4"/>
    <n v="1110433"/>
    <n v="4441732"/>
    <n v="3594649"/>
    <n v="847083"/>
  </r>
  <r>
    <n v="1333"/>
    <s v="17-12-2023"/>
    <x v="1"/>
    <x v="5"/>
    <x v="2"/>
    <x v="7"/>
    <x v="5"/>
    <x v="9"/>
    <x v="0"/>
    <n v="2"/>
    <n v="21"/>
    <n v="3"/>
    <n v="653686"/>
    <n v="1961058"/>
    <n v="1715240"/>
    <n v="245818"/>
  </r>
  <r>
    <n v="1334"/>
    <s v="13-11-2024"/>
    <x v="0"/>
    <x v="1"/>
    <x v="3"/>
    <x v="12"/>
    <x v="7"/>
    <x v="4"/>
    <x v="0"/>
    <n v="1.5"/>
    <n v="19"/>
    <n v="8"/>
    <n v="1063118"/>
    <n v="8504944"/>
    <n v="6792301"/>
    <n v="1712643"/>
  </r>
  <r>
    <n v="1335"/>
    <s v="18-08-2024"/>
    <x v="0"/>
    <x v="4"/>
    <x v="3"/>
    <x v="8"/>
    <x v="6"/>
    <x v="0"/>
    <x v="0"/>
    <n v="1.5"/>
    <n v="23"/>
    <n v="2"/>
    <n v="698910"/>
    <n v="1397820"/>
    <n v="1048405"/>
    <n v="349415"/>
  </r>
  <r>
    <n v="1336"/>
    <s v="21-01-2023"/>
    <x v="1"/>
    <x v="6"/>
    <x v="2"/>
    <x v="7"/>
    <x v="6"/>
    <x v="4"/>
    <x v="0"/>
    <n v="2"/>
    <n v="16"/>
    <n v="7"/>
    <n v="1050034"/>
    <n v="7350238"/>
    <n v="6231225"/>
    <n v="1119013"/>
  </r>
  <r>
    <n v="1337"/>
    <s v="06-10-2023"/>
    <x v="1"/>
    <x v="10"/>
    <x v="3"/>
    <x v="8"/>
    <x v="7"/>
    <x v="0"/>
    <x v="0"/>
    <n v="1.2"/>
    <n v="18"/>
    <n v="6"/>
    <n v="954599"/>
    <n v="5727594"/>
    <n v="4972408"/>
    <n v="755186"/>
  </r>
  <r>
    <n v="1338"/>
    <s v="21-04-2023"/>
    <x v="1"/>
    <x v="9"/>
    <x v="1"/>
    <x v="5"/>
    <x v="2"/>
    <x v="7"/>
    <x v="0"/>
    <n v="2"/>
    <n v="16"/>
    <n v="8"/>
    <n v="1247288"/>
    <n v="9978304"/>
    <n v="7518294"/>
    <n v="2460010"/>
  </r>
  <r>
    <n v="1339"/>
    <s v="03-01-2023"/>
    <x v="1"/>
    <x v="6"/>
    <x v="1"/>
    <x v="5"/>
    <x v="3"/>
    <x v="5"/>
    <x v="2"/>
    <n v="2"/>
    <n v="18"/>
    <n v="6"/>
    <n v="1259817"/>
    <n v="7558902"/>
    <n v="5745410"/>
    <n v="1813492"/>
  </r>
  <r>
    <n v="1340"/>
    <s v="16-01-2023"/>
    <x v="1"/>
    <x v="6"/>
    <x v="2"/>
    <x v="7"/>
    <x v="6"/>
    <x v="4"/>
    <x v="0"/>
    <n v="1.2"/>
    <n v="18"/>
    <n v="2"/>
    <n v="1365589"/>
    <n v="2731178"/>
    <n v="2196702"/>
    <n v="534476"/>
  </r>
  <r>
    <n v="1341"/>
    <s v="22-06-2023"/>
    <x v="1"/>
    <x v="3"/>
    <x v="0"/>
    <x v="0"/>
    <x v="7"/>
    <x v="7"/>
    <x v="0"/>
    <n v="1.2"/>
    <n v="21"/>
    <n v="8"/>
    <n v="882129"/>
    <n v="7057032"/>
    <n v="5343238"/>
    <n v="1713794"/>
  </r>
  <r>
    <n v="1342"/>
    <s v="01-07-2023"/>
    <x v="1"/>
    <x v="11"/>
    <x v="0"/>
    <x v="9"/>
    <x v="6"/>
    <x v="5"/>
    <x v="2"/>
    <n v="2"/>
    <n v="23"/>
    <n v="3"/>
    <n v="617326"/>
    <n v="1851978"/>
    <n v="1565511"/>
    <n v="286467"/>
  </r>
  <r>
    <n v="1343"/>
    <s v="01-12-2024"/>
    <x v="0"/>
    <x v="5"/>
    <x v="1"/>
    <x v="5"/>
    <x v="3"/>
    <x v="3"/>
    <x v="2"/>
    <n v="1"/>
    <n v="19"/>
    <n v="2"/>
    <n v="1458426"/>
    <n v="2916852"/>
    <n v="2201564"/>
    <n v="715288"/>
  </r>
  <r>
    <n v="1344"/>
    <s v="15-02-2024"/>
    <x v="0"/>
    <x v="0"/>
    <x v="0"/>
    <x v="2"/>
    <x v="3"/>
    <x v="4"/>
    <x v="0"/>
    <n v="1.5"/>
    <n v="18"/>
    <n v="6"/>
    <n v="1241331"/>
    <n v="7447986"/>
    <n v="6605254"/>
    <n v="842732"/>
  </r>
  <r>
    <n v="1345"/>
    <s v="31-07-2023"/>
    <x v="1"/>
    <x v="11"/>
    <x v="0"/>
    <x v="2"/>
    <x v="3"/>
    <x v="6"/>
    <x v="2"/>
    <n v="2"/>
    <n v="22"/>
    <n v="3"/>
    <n v="1346015"/>
    <n v="4038045"/>
    <n v="3340143"/>
    <n v="697902"/>
  </r>
  <r>
    <n v="1346"/>
    <s v="28-10-2024"/>
    <x v="0"/>
    <x v="10"/>
    <x v="1"/>
    <x v="1"/>
    <x v="3"/>
    <x v="8"/>
    <x v="2"/>
    <n v="1.5"/>
    <n v="19"/>
    <n v="3"/>
    <n v="764027"/>
    <n v="2292081"/>
    <n v="1804964"/>
    <n v="487117"/>
  </r>
  <r>
    <n v="1347"/>
    <s v="15-07-2023"/>
    <x v="1"/>
    <x v="11"/>
    <x v="1"/>
    <x v="11"/>
    <x v="5"/>
    <x v="9"/>
    <x v="0"/>
    <n v="1"/>
    <n v="21"/>
    <n v="1"/>
    <n v="1175384"/>
    <n v="1175384"/>
    <n v="1044513"/>
    <n v="130871"/>
  </r>
  <r>
    <n v="1348"/>
    <s v="04-01-2023"/>
    <x v="1"/>
    <x v="6"/>
    <x v="3"/>
    <x v="6"/>
    <x v="2"/>
    <x v="1"/>
    <x v="1"/>
    <n v="1"/>
    <n v="20"/>
    <n v="8"/>
    <n v="1270860"/>
    <n v="10166880"/>
    <n v="9124102"/>
    <n v="1042778"/>
  </r>
  <r>
    <n v="1349"/>
    <s v="20-11-2023"/>
    <x v="1"/>
    <x v="1"/>
    <x v="3"/>
    <x v="6"/>
    <x v="7"/>
    <x v="1"/>
    <x v="1"/>
    <n v="2"/>
    <n v="16"/>
    <n v="6"/>
    <n v="1120521"/>
    <n v="6723126"/>
    <n v="5116941"/>
    <n v="1606185"/>
  </r>
  <r>
    <n v="1350"/>
    <s v="17-03-2024"/>
    <x v="0"/>
    <x v="2"/>
    <x v="0"/>
    <x v="2"/>
    <x v="2"/>
    <x v="7"/>
    <x v="0"/>
    <n v="2"/>
    <n v="20"/>
    <n v="7"/>
    <n v="743441"/>
    <n v="5204087"/>
    <n v="4601055"/>
    <n v="603032"/>
  </r>
  <r>
    <n v="1351"/>
    <s v="05-10-2024"/>
    <x v="0"/>
    <x v="10"/>
    <x v="3"/>
    <x v="8"/>
    <x v="4"/>
    <x v="7"/>
    <x v="0"/>
    <n v="1"/>
    <n v="18"/>
    <n v="5"/>
    <n v="1343905"/>
    <n v="6719525"/>
    <n v="5818128"/>
    <n v="901397"/>
  </r>
  <r>
    <n v="1352"/>
    <s v="29-05-2024"/>
    <x v="0"/>
    <x v="8"/>
    <x v="3"/>
    <x v="8"/>
    <x v="2"/>
    <x v="8"/>
    <x v="2"/>
    <n v="1"/>
    <n v="21"/>
    <n v="7"/>
    <n v="1460067"/>
    <n v="10220469"/>
    <n v="7819047"/>
    <n v="2401422"/>
  </r>
  <r>
    <n v="1353"/>
    <s v="26-10-2024"/>
    <x v="0"/>
    <x v="10"/>
    <x v="1"/>
    <x v="1"/>
    <x v="5"/>
    <x v="1"/>
    <x v="1"/>
    <n v="2"/>
    <n v="20"/>
    <n v="3"/>
    <n v="1490724"/>
    <n v="4472172"/>
    <n v="3555049"/>
    <n v="917123"/>
  </r>
  <r>
    <n v="1354"/>
    <s v="23-04-2024"/>
    <x v="0"/>
    <x v="9"/>
    <x v="3"/>
    <x v="6"/>
    <x v="0"/>
    <x v="4"/>
    <x v="0"/>
    <n v="1.5"/>
    <n v="22"/>
    <n v="6"/>
    <n v="996072"/>
    <n v="5976432"/>
    <n v="5259398"/>
    <n v="717034"/>
  </r>
  <r>
    <n v="1355"/>
    <s v="18-01-2024"/>
    <x v="0"/>
    <x v="6"/>
    <x v="2"/>
    <x v="15"/>
    <x v="3"/>
    <x v="8"/>
    <x v="2"/>
    <n v="2"/>
    <n v="20"/>
    <n v="3"/>
    <n v="870271"/>
    <n v="2610813"/>
    <n v="2180102"/>
    <n v="430711"/>
  </r>
  <r>
    <n v="1356"/>
    <s v="15-04-2023"/>
    <x v="1"/>
    <x v="9"/>
    <x v="2"/>
    <x v="15"/>
    <x v="7"/>
    <x v="5"/>
    <x v="2"/>
    <n v="1.2"/>
    <n v="22"/>
    <n v="6"/>
    <n v="1000222"/>
    <n v="6001332"/>
    <n v="4914119"/>
    <n v="1087213"/>
  </r>
  <r>
    <n v="1357"/>
    <s v="07-06-2023"/>
    <x v="1"/>
    <x v="3"/>
    <x v="0"/>
    <x v="9"/>
    <x v="6"/>
    <x v="0"/>
    <x v="0"/>
    <n v="1.5"/>
    <n v="23"/>
    <n v="1"/>
    <n v="670387"/>
    <n v="670387"/>
    <n v="592444"/>
    <n v="77943"/>
  </r>
  <r>
    <n v="1358"/>
    <s v="26-03-2023"/>
    <x v="1"/>
    <x v="2"/>
    <x v="1"/>
    <x v="5"/>
    <x v="2"/>
    <x v="1"/>
    <x v="1"/>
    <n v="1.5"/>
    <n v="19"/>
    <n v="3"/>
    <n v="1204578"/>
    <n v="3613734"/>
    <n v="3108433"/>
    <n v="505301"/>
  </r>
  <r>
    <n v="1359"/>
    <s v="13-07-2024"/>
    <x v="0"/>
    <x v="11"/>
    <x v="1"/>
    <x v="5"/>
    <x v="1"/>
    <x v="3"/>
    <x v="2"/>
    <n v="2"/>
    <n v="19"/>
    <n v="7"/>
    <n v="1494720"/>
    <n v="10463040"/>
    <n v="8646828"/>
    <n v="1816212"/>
  </r>
  <r>
    <n v="1360"/>
    <s v="08-10-2024"/>
    <x v="0"/>
    <x v="10"/>
    <x v="0"/>
    <x v="2"/>
    <x v="7"/>
    <x v="3"/>
    <x v="2"/>
    <n v="1"/>
    <n v="20"/>
    <n v="8"/>
    <n v="644545"/>
    <n v="5156360"/>
    <n v="4335216"/>
    <n v="821144"/>
  </r>
  <r>
    <n v="1361"/>
    <s v="20-02-2024"/>
    <x v="0"/>
    <x v="0"/>
    <x v="0"/>
    <x v="14"/>
    <x v="0"/>
    <x v="1"/>
    <x v="1"/>
    <n v="1"/>
    <n v="18"/>
    <n v="5"/>
    <n v="1406630"/>
    <n v="7033150"/>
    <n v="5290405"/>
    <n v="1742745"/>
  </r>
  <r>
    <n v="1362"/>
    <s v="28-01-2024"/>
    <x v="0"/>
    <x v="6"/>
    <x v="0"/>
    <x v="0"/>
    <x v="4"/>
    <x v="7"/>
    <x v="0"/>
    <n v="2"/>
    <n v="23"/>
    <n v="3"/>
    <n v="1020560"/>
    <n v="3061680"/>
    <n v="2555341"/>
    <n v="506339"/>
  </r>
  <r>
    <n v="1363"/>
    <s v="04-03-2024"/>
    <x v="0"/>
    <x v="2"/>
    <x v="3"/>
    <x v="12"/>
    <x v="3"/>
    <x v="8"/>
    <x v="2"/>
    <n v="1.5"/>
    <n v="21"/>
    <n v="7"/>
    <n v="997515"/>
    <n v="6982605"/>
    <n v="5913757"/>
    <n v="1068848"/>
  </r>
  <r>
    <n v="1364"/>
    <s v="10-08-2023"/>
    <x v="1"/>
    <x v="4"/>
    <x v="1"/>
    <x v="5"/>
    <x v="3"/>
    <x v="7"/>
    <x v="0"/>
    <n v="1"/>
    <n v="16"/>
    <n v="3"/>
    <n v="1271064"/>
    <n v="3813192"/>
    <n v="3161262"/>
    <n v="651930"/>
  </r>
  <r>
    <n v="1365"/>
    <s v="12-11-2024"/>
    <x v="0"/>
    <x v="1"/>
    <x v="2"/>
    <x v="15"/>
    <x v="1"/>
    <x v="2"/>
    <x v="1"/>
    <n v="1"/>
    <n v="18"/>
    <n v="2"/>
    <n v="633235"/>
    <n v="1266470"/>
    <n v="1052536"/>
    <n v="213934"/>
  </r>
  <r>
    <n v="1366"/>
    <s v="13-06-2023"/>
    <x v="1"/>
    <x v="3"/>
    <x v="1"/>
    <x v="11"/>
    <x v="1"/>
    <x v="8"/>
    <x v="2"/>
    <n v="1"/>
    <n v="23"/>
    <n v="3"/>
    <n v="1119122"/>
    <n v="3357366"/>
    <n v="2588773"/>
    <n v="768593"/>
  </r>
  <r>
    <n v="1367"/>
    <s v="16-04-2024"/>
    <x v="0"/>
    <x v="9"/>
    <x v="2"/>
    <x v="13"/>
    <x v="3"/>
    <x v="5"/>
    <x v="2"/>
    <n v="1"/>
    <n v="18"/>
    <n v="1"/>
    <n v="715242"/>
    <n v="715242"/>
    <n v="537807"/>
    <n v="177435"/>
  </r>
  <r>
    <n v="1368"/>
    <s v="21-07-2023"/>
    <x v="1"/>
    <x v="11"/>
    <x v="2"/>
    <x v="15"/>
    <x v="5"/>
    <x v="4"/>
    <x v="0"/>
    <n v="1.5"/>
    <n v="22"/>
    <n v="8"/>
    <n v="642570"/>
    <n v="5140560"/>
    <n v="3872734"/>
    <n v="1267826"/>
  </r>
  <r>
    <n v="1369"/>
    <s v="02-04-2023"/>
    <x v="1"/>
    <x v="9"/>
    <x v="2"/>
    <x v="7"/>
    <x v="5"/>
    <x v="7"/>
    <x v="0"/>
    <n v="1"/>
    <n v="18"/>
    <n v="3"/>
    <n v="647095"/>
    <n v="1941285"/>
    <n v="1562946"/>
    <n v="378339"/>
  </r>
  <r>
    <n v="1370"/>
    <s v="28-10-2024"/>
    <x v="0"/>
    <x v="10"/>
    <x v="0"/>
    <x v="14"/>
    <x v="5"/>
    <x v="1"/>
    <x v="1"/>
    <n v="1"/>
    <n v="20"/>
    <n v="8"/>
    <n v="1147037"/>
    <n v="9176296"/>
    <n v="7654228"/>
    <n v="1522068"/>
  </r>
  <r>
    <n v="1371"/>
    <s v="01-07-2024"/>
    <x v="0"/>
    <x v="11"/>
    <x v="1"/>
    <x v="10"/>
    <x v="1"/>
    <x v="1"/>
    <x v="1"/>
    <n v="1.2"/>
    <n v="16"/>
    <n v="8"/>
    <n v="1203157"/>
    <n v="9625256"/>
    <n v="7464822"/>
    <n v="2160434"/>
  </r>
  <r>
    <n v="1372"/>
    <s v="20-01-2023"/>
    <x v="1"/>
    <x v="6"/>
    <x v="1"/>
    <x v="5"/>
    <x v="2"/>
    <x v="3"/>
    <x v="2"/>
    <n v="2"/>
    <n v="21"/>
    <n v="6"/>
    <n v="915159"/>
    <n v="5490954"/>
    <n v="4834709"/>
    <n v="656245"/>
  </r>
  <r>
    <n v="1373"/>
    <s v="29-12-2024"/>
    <x v="0"/>
    <x v="5"/>
    <x v="2"/>
    <x v="13"/>
    <x v="1"/>
    <x v="4"/>
    <x v="0"/>
    <n v="1.2"/>
    <n v="16"/>
    <n v="3"/>
    <n v="1229402"/>
    <n v="3688206"/>
    <n v="3136846"/>
    <n v="551360"/>
  </r>
  <r>
    <n v="1374"/>
    <s v="28-07-2023"/>
    <x v="1"/>
    <x v="11"/>
    <x v="2"/>
    <x v="15"/>
    <x v="1"/>
    <x v="0"/>
    <x v="0"/>
    <n v="1"/>
    <n v="22"/>
    <n v="4"/>
    <n v="1149662"/>
    <n v="4598648"/>
    <n v="3636801"/>
    <n v="961847"/>
  </r>
  <r>
    <n v="1375"/>
    <s v="07-09-2024"/>
    <x v="0"/>
    <x v="7"/>
    <x v="1"/>
    <x v="1"/>
    <x v="4"/>
    <x v="2"/>
    <x v="1"/>
    <n v="2"/>
    <n v="20"/>
    <n v="5"/>
    <n v="806638"/>
    <n v="4033190"/>
    <n v="3377180"/>
    <n v="656010"/>
  </r>
  <r>
    <n v="1376"/>
    <s v="26-09-2024"/>
    <x v="0"/>
    <x v="7"/>
    <x v="3"/>
    <x v="4"/>
    <x v="6"/>
    <x v="8"/>
    <x v="2"/>
    <n v="1"/>
    <n v="20"/>
    <n v="2"/>
    <n v="819613"/>
    <n v="1639226"/>
    <n v="1351982"/>
    <n v="287244"/>
  </r>
  <r>
    <n v="1377"/>
    <s v="17-08-2023"/>
    <x v="1"/>
    <x v="4"/>
    <x v="2"/>
    <x v="3"/>
    <x v="5"/>
    <x v="6"/>
    <x v="2"/>
    <n v="1.5"/>
    <n v="21"/>
    <n v="8"/>
    <n v="607220"/>
    <n v="4857760"/>
    <n v="4069459"/>
    <n v="788301"/>
  </r>
  <r>
    <n v="1378"/>
    <s v="16-02-2024"/>
    <x v="0"/>
    <x v="0"/>
    <x v="2"/>
    <x v="7"/>
    <x v="6"/>
    <x v="5"/>
    <x v="2"/>
    <n v="2"/>
    <n v="19"/>
    <n v="5"/>
    <n v="601217"/>
    <n v="3006085"/>
    <n v="2474243"/>
    <n v="531842"/>
  </r>
  <r>
    <n v="1379"/>
    <s v="24-01-2024"/>
    <x v="0"/>
    <x v="6"/>
    <x v="3"/>
    <x v="8"/>
    <x v="1"/>
    <x v="1"/>
    <x v="1"/>
    <n v="1"/>
    <n v="23"/>
    <n v="1"/>
    <n v="837793"/>
    <n v="837793"/>
    <n v="693690"/>
    <n v="144103"/>
  </r>
  <r>
    <n v="1380"/>
    <s v="25-01-2024"/>
    <x v="0"/>
    <x v="6"/>
    <x v="2"/>
    <x v="13"/>
    <x v="5"/>
    <x v="7"/>
    <x v="0"/>
    <n v="2"/>
    <n v="21"/>
    <n v="1"/>
    <n v="685546"/>
    <n v="685546"/>
    <n v="579252"/>
    <n v="106294"/>
  </r>
  <r>
    <n v="1381"/>
    <s v="15-09-2024"/>
    <x v="0"/>
    <x v="7"/>
    <x v="1"/>
    <x v="10"/>
    <x v="3"/>
    <x v="9"/>
    <x v="0"/>
    <n v="1"/>
    <n v="22"/>
    <n v="6"/>
    <n v="1399713"/>
    <n v="8398278"/>
    <n v="7327687"/>
    <n v="1070591"/>
  </r>
  <r>
    <n v="1382"/>
    <s v="26-02-2024"/>
    <x v="0"/>
    <x v="0"/>
    <x v="3"/>
    <x v="4"/>
    <x v="1"/>
    <x v="5"/>
    <x v="2"/>
    <n v="2"/>
    <n v="20"/>
    <n v="7"/>
    <n v="1419551"/>
    <n v="9936857"/>
    <n v="8927234"/>
    <n v="1009623"/>
  </r>
  <r>
    <n v="1383"/>
    <s v="10-05-2024"/>
    <x v="0"/>
    <x v="8"/>
    <x v="2"/>
    <x v="3"/>
    <x v="5"/>
    <x v="3"/>
    <x v="2"/>
    <n v="1.5"/>
    <n v="19"/>
    <n v="1"/>
    <n v="1074820"/>
    <n v="1074820"/>
    <n v="863245"/>
    <n v="211575"/>
  </r>
  <r>
    <n v="1384"/>
    <s v="09-02-2024"/>
    <x v="0"/>
    <x v="0"/>
    <x v="1"/>
    <x v="11"/>
    <x v="7"/>
    <x v="7"/>
    <x v="0"/>
    <n v="1.5"/>
    <n v="18"/>
    <n v="8"/>
    <n v="1285616"/>
    <n v="10284928"/>
    <n v="8847345"/>
    <n v="1437583"/>
  </r>
  <r>
    <n v="1385"/>
    <s v="24-05-2024"/>
    <x v="0"/>
    <x v="8"/>
    <x v="0"/>
    <x v="14"/>
    <x v="6"/>
    <x v="5"/>
    <x v="2"/>
    <n v="1"/>
    <n v="16"/>
    <n v="8"/>
    <n v="1317079"/>
    <n v="10536632"/>
    <n v="8370690"/>
    <n v="2165942"/>
  </r>
  <r>
    <n v="1386"/>
    <s v="08-07-2023"/>
    <x v="1"/>
    <x v="11"/>
    <x v="1"/>
    <x v="1"/>
    <x v="4"/>
    <x v="6"/>
    <x v="2"/>
    <n v="1"/>
    <n v="18"/>
    <n v="3"/>
    <n v="1351852"/>
    <n v="4055556"/>
    <n v="3122077"/>
    <n v="933479"/>
  </r>
  <r>
    <n v="1387"/>
    <s v="08-01-2023"/>
    <x v="1"/>
    <x v="6"/>
    <x v="0"/>
    <x v="9"/>
    <x v="7"/>
    <x v="3"/>
    <x v="2"/>
    <n v="1.2"/>
    <n v="19"/>
    <n v="5"/>
    <n v="792532"/>
    <n v="3962660"/>
    <n v="3336853"/>
    <n v="625807"/>
  </r>
  <r>
    <n v="1388"/>
    <s v="24-12-2023"/>
    <x v="1"/>
    <x v="5"/>
    <x v="0"/>
    <x v="2"/>
    <x v="3"/>
    <x v="9"/>
    <x v="0"/>
    <n v="1.5"/>
    <n v="18"/>
    <n v="1"/>
    <n v="799889"/>
    <n v="799889"/>
    <n v="671693"/>
    <n v="128196"/>
  </r>
  <r>
    <n v="1389"/>
    <s v="04-03-2023"/>
    <x v="1"/>
    <x v="2"/>
    <x v="0"/>
    <x v="0"/>
    <x v="7"/>
    <x v="2"/>
    <x v="1"/>
    <n v="1"/>
    <n v="23"/>
    <n v="3"/>
    <n v="997314"/>
    <n v="2991942"/>
    <n v="2568400"/>
    <n v="423542"/>
  </r>
  <r>
    <n v="1390"/>
    <s v="21-02-2023"/>
    <x v="1"/>
    <x v="0"/>
    <x v="1"/>
    <x v="1"/>
    <x v="0"/>
    <x v="0"/>
    <x v="0"/>
    <n v="1.5"/>
    <n v="18"/>
    <n v="8"/>
    <n v="994632"/>
    <n v="7957056"/>
    <n v="7103492"/>
    <n v="853564"/>
  </r>
  <r>
    <n v="1391"/>
    <s v="17-08-2024"/>
    <x v="0"/>
    <x v="4"/>
    <x v="3"/>
    <x v="12"/>
    <x v="4"/>
    <x v="2"/>
    <x v="1"/>
    <n v="1.2"/>
    <n v="18"/>
    <n v="5"/>
    <n v="1379569"/>
    <n v="6897845"/>
    <n v="5584854"/>
    <n v="1312991"/>
  </r>
  <r>
    <n v="1392"/>
    <s v="13-03-2024"/>
    <x v="0"/>
    <x v="2"/>
    <x v="1"/>
    <x v="1"/>
    <x v="1"/>
    <x v="6"/>
    <x v="2"/>
    <n v="1"/>
    <n v="20"/>
    <n v="4"/>
    <n v="699237"/>
    <n v="2796948"/>
    <n v="2449343"/>
    <n v="347605"/>
  </r>
  <r>
    <n v="1393"/>
    <s v="26-10-2024"/>
    <x v="0"/>
    <x v="10"/>
    <x v="0"/>
    <x v="14"/>
    <x v="4"/>
    <x v="8"/>
    <x v="2"/>
    <n v="1"/>
    <n v="23"/>
    <n v="7"/>
    <n v="850412"/>
    <n v="5952884"/>
    <n v="4978187"/>
    <n v="974697"/>
  </r>
  <r>
    <n v="1394"/>
    <s v="12-09-2024"/>
    <x v="0"/>
    <x v="7"/>
    <x v="2"/>
    <x v="3"/>
    <x v="0"/>
    <x v="9"/>
    <x v="0"/>
    <n v="2"/>
    <n v="20"/>
    <n v="4"/>
    <n v="1250403"/>
    <n v="5001612"/>
    <n v="4432979"/>
    <n v="568633"/>
  </r>
  <r>
    <n v="1395"/>
    <s v="27-08-2023"/>
    <x v="1"/>
    <x v="4"/>
    <x v="2"/>
    <x v="15"/>
    <x v="1"/>
    <x v="2"/>
    <x v="1"/>
    <n v="1.5"/>
    <n v="20"/>
    <n v="5"/>
    <n v="1255294"/>
    <n v="6276470"/>
    <n v="5506384"/>
    <n v="770086"/>
  </r>
  <r>
    <n v="1396"/>
    <s v="02-09-2024"/>
    <x v="0"/>
    <x v="7"/>
    <x v="1"/>
    <x v="1"/>
    <x v="1"/>
    <x v="2"/>
    <x v="1"/>
    <n v="1.2"/>
    <n v="22"/>
    <n v="8"/>
    <n v="1348828"/>
    <n v="10790624"/>
    <n v="8752971"/>
    <n v="2037653"/>
  </r>
  <r>
    <n v="1397"/>
    <s v="28-02-2024"/>
    <x v="0"/>
    <x v="0"/>
    <x v="2"/>
    <x v="15"/>
    <x v="1"/>
    <x v="1"/>
    <x v="1"/>
    <n v="2"/>
    <n v="16"/>
    <n v="3"/>
    <n v="828731"/>
    <n v="2486193"/>
    <n v="2231391"/>
    <n v="254802"/>
  </r>
  <r>
    <n v="1398"/>
    <s v="01-11-2024"/>
    <x v="0"/>
    <x v="1"/>
    <x v="3"/>
    <x v="6"/>
    <x v="1"/>
    <x v="1"/>
    <x v="1"/>
    <n v="2"/>
    <n v="22"/>
    <n v="1"/>
    <n v="1007570"/>
    <n v="1007570"/>
    <n v="763474"/>
    <n v="244096"/>
  </r>
  <r>
    <n v="1399"/>
    <s v="03-05-2024"/>
    <x v="0"/>
    <x v="8"/>
    <x v="0"/>
    <x v="14"/>
    <x v="4"/>
    <x v="0"/>
    <x v="0"/>
    <n v="1.5"/>
    <n v="19"/>
    <n v="2"/>
    <n v="1076561"/>
    <n v="2153122"/>
    <n v="1731744"/>
    <n v="421378"/>
  </r>
  <r>
    <n v="1400"/>
    <s v="15-01-2023"/>
    <x v="1"/>
    <x v="6"/>
    <x v="0"/>
    <x v="14"/>
    <x v="5"/>
    <x v="2"/>
    <x v="1"/>
    <n v="1"/>
    <n v="18"/>
    <n v="1"/>
    <n v="986814"/>
    <n v="986814"/>
    <n v="794573"/>
    <n v="192241"/>
  </r>
  <r>
    <n v="1401"/>
    <s v="24-04-2023"/>
    <x v="1"/>
    <x v="9"/>
    <x v="0"/>
    <x v="14"/>
    <x v="1"/>
    <x v="2"/>
    <x v="1"/>
    <n v="1.2"/>
    <n v="16"/>
    <n v="1"/>
    <n v="1261071"/>
    <n v="1261071"/>
    <n v="974887"/>
    <n v="286184"/>
  </r>
  <r>
    <n v="1402"/>
    <s v="14-03-2023"/>
    <x v="1"/>
    <x v="2"/>
    <x v="0"/>
    <x v="0"/>
    <x v="4"/>
    <x v="2"/>
    <x v="1"/>
    <n v="2"/>
    <n v="19"/>
    <n v="7"/>
    <n v="608236"/>
    <n v="4257652"/>
    <n v="3354554"/>
    <n v="903098"/>
  </r>
  <r>
    <n v="1403"/>
    <s v="14-08-2024"/>
    <x v="0"/>
    <x v="4"/>
    <x v="3"/>
    <x v="12"/>
    <x v="6"/>
    <x v="5"/>
    <x v="2"/>
    <n v="1"/>
    <n v="19"/>
    <n v="3"/>
    <n v="1485829"/>
    <n v="4457487"/>
    <n v="3591292"/>
    <n v="866195"/>
  </r>
  <r>
    <n v="1404"/>
    <s v="16-06-2023"/>
    <x v="1"/>
    <x v="3"/>
    <x v="1"/>
    <x v="5"/>
    <x v="3"/>
    <x v="6"/>
    <x v="2"/>
    <n v="1"/>
    <n v="20"/>
    <n v="7"/>
    <n v="746089"/>
    <n v="5222623"/>
    <n v="4094756"/>
    <n v="1127867"/>
  </r>
  <r>
    <n v="1405"/>
    <s v="28-04-2024"/>
    <x v="0"/>
    <x v="9"/>
    <x v="3"/>
    <x v="12"/>
    <x v="1"/>
    <x v="7"/>
    <x v="0"/>
    <n v="1.5"/>
    <n v="18"/>
    <n v="1"/>
    <n v="688300"/>
    <n v="688300"/>
    <n v="581581"/>
    <n v="106719"/>
  </r>
  <r>
    <n v="1406"/>
    <s v="27-10-2023"/>
    <x v="1"/>
    <x v="10"/>
    <x v="0"/>
    <x v="0"/>
    <x v="5"/>
    <x v="8"/>
    <x v="2"/>
    <n v="1.5"/>
    <n v="20"/>
    <n v="2"/>
    <n v="881579"/>
    <n v="1763158"/>
    <n v="1458953"/>
    <n v="304205"/>
  </r>
  <r>
    <n v="1407"/>
    <s v="15-10-2023"/>
    <x v="1"/>
    <x v="10"/>
    <x v="3"/>
    <x v="8"/>
    <x v="0"/>
    <x v="8"/>
    <x v="2"/>
    <n v="1"/>
    <n v="23"/>
    <n v="4"/>
    <n v="865511"/>
    <n v="3462044"/>
    <n v="2767801"/>
    <n v="694243"/>
  </r>
  <r>
    <n v="1408"/>
    <s v="30-08-2023"/>
    <x v="1"/>
    <x v="4"/>
    <x v="0"/>
    <x v="9"/>
    <x v="3"/>
    <x v="6"/>
    <x v="2"/>
    <n v="1.5"/>
    <n v="22"/>
    <n v="1"/>
    <n v="900627"/>
    <n v="900627"/>
    <n v="741578"/>
    <n v="159049"/>
  </r>
  <r>
    <n v="1409"/>
    <s v="11-01-2023"/>
    <x v="1"/>
    <x v="6"/>
    <x v="1"/>
    <x v="1"/>
    <x v="1"/>
    <x v="9"/>
    <x v="0"/>
    <n v="1.5"/>
    <n v="22"/>
    <n v="5"/>
    <n v="1142895"/>
    <n v="5714475"/>
    <n v="4439878"/>
    <n v="1274597"/>
  </r>
  <r>
    <n v="1410"/>
    <s v="19-09-2023"/>
    <x v="1"/>
    <x v="7"/>
    <x v="1"/>
    <x v="5"/>
    <x v="1"/>
    <x v="5"/>
    <x v="2"/>
    <n v="1"/>
    <n v="19"/>
    <n v="4"/>
    <n v="1322994"/>
    <n v="5291976"/>
    <n v="4450132"/>
    <n v="841844"/>
  </r>
  <r>
    <n v="1411"/>
    <s v="11-09-2023"/>
    <x v="1"/>
    <x v="7"/>
    <x v="3"/>
    <x v="4"/>
    <x v="3"/>
    <x v="1"/>
    <x v="1"/>
    <n v="1"/>
    <n v="22"/>
    <n v="5"/>
    <n v="883451"/>
    <n v="4417255"/>
    <n v="3490102"/>
    <n v="927153"/>
  </r>
  <r>
    <n v="1412"/>
    <s v="22-07-2024"/>
    <x v="0"/>
    <x v="11"/>
    <x v="2"/>
    <x v="3"/>
    <x v="4"/>
    <x v="2"/>
    <x v="1"/>
    <n v="2"/>
    <n v="20"/>
    <n v="5"/>
    <n v="1318305"/>
    <n v="6591525"/>
    <n v="5415520"/>
    <n v="1176005"/>
  </r>
  <r>
    <n v="1413"/>
    <s v="29-08-2024"/>
    <x v="0"/>
    <x v="4"/>
    <x v="3"/>
    <x v="8"/>
    <x v="0"/>
    <x v="3"/>
    <x v="2"/>
    <n v="1.2"/>
    <n v="20"/>
    <n v="2"/>
    <n v="1129896"/>
    <n v="2259792"/>
    <n v="1739957"/>
    <n v="519835"/>
  </r>
  <r>
    <n v="1414"/>
    <s v="16-02-2023"/>
    <x v="1"/>
    <x v="0"/>
    <x v="3"/>
    <x v="4"/>
    <x v="1"/>
    <x v="4"/>
    <x v="0"/>
    <n v="1"/>
    <n v="16"/>
    <n v="4"/>
    <n v="683005"/>
    <n v="2732020"/>
    <n v="2433380"/>
    <n v="298640"/>
  </r>
  <r>
    <n v="1415"/>
    <s v="06-12-2024"/>
    <x v="0"/>
    <x v="5"/>
    <x v="1"/>
    <x v="11"/>
    <x v="7"/>
    <x v="4"/>
    <x v="0"/>
    <n v="1.2"/>
    <n v="16"/>
    <n v="3"/>
    <n v="957022"/>
    <n v="2871066"/>
    <n v="2462569"/>
    <n v="408497"/>
  </r>
  <r>
    <n v="1416"/>
    <s v="26-02-2024"/>
    <x v="0"/>
    <x v="0"/>
    <x v="2"/>
    <x v="13"/>
    <x v="4"/>
    <x v="5"/>
    <x v="2"/>
    <n v="1"/>
    <n v="20"/>
    <n v="4"/>
    <n v="1221323"/>
    <n v="4885292"/>
    <n v="3705700"/>
    <n v="1179592"/>
  </r>
  <r>
    <n v="1417"/>
    <s v="21-07-2024"/>
    <x v="0"/>
    <x v="11"/>
    <x v="1"/>
    <x v="10"/>
    <x v="3"/>
    <x v="4"/>
    <x v="0"/>
    <n v="1.2"/>
    <n v="23"/>
    <n v="6"/>
    <n v="889166"/>
    <n v="5334996"/>
    <n v="4422905"/>
    <n v="912091"/>
  </r>
  <r>
    <n v="1418"/>
    <s v="09-11-2024"/>
    <x v="0"/>
    <x v="1"/>
    <x v="3"/>
    <x v="6"/>
    <x v="4"/>
    <x v="4"/>
    <x v="0"/>
    <n v="1.2"/>
    <n v="22"/>
    <n v="8"/>
    <n v="1009364"/>
    <n v="8074912"/>
    <n v="6703639"/>
    <n v="1371273"/>
  </r>
  <r>
    <n v="1419"/>
    <s v="04-03-2023"/>
    <x v="1"/>
    <x v="2"/>
    <x v="3"/>
    <x v="6"/>
    <x v="4"/>
    <x v="0"/>
    <x v="0"/>
    <n v="1"/>
    <n v="22"/>
    <n v="1"/>
    <n v="1205657"/>
    <n v="1205657"/>
    <n v="987817"/>
    <n v="217840"/>
  </r>
  <r>
    <n v="1420"/>
    <s v="18-08-2024"/>
    <x v="0"/>
    <x v="4"/>
    <x v="2"/>
    <x v="7"/>
    <x v="4"/>
    <x v="9"/>
    <x v="0"/>
    <n v="2"/>
    <n v="22"/>
    <n v="8"/>
    <n v="1311846"/>
    <n v="10494768"/>
    <n v="8255420"/>
    <n v="2239348"/>
  </r>
  <r>
    <n v="1421"/>
    <s v="10-02-2023"/>
    <x v="1"/>
    <x v="0"/>
    <x v="1"/>
    <x v="11"/>
    <x v="3"/>
    <x v="1"/>
    <x v="1"/>
    <n v="1.2"/>
    <n v="19"/>
    <n v="1"/>
    <n v="1239674"/>
    <n v="1239674"/>
    <n v="950930"/>
    <n v="288744"/>
  </r>
  <r>
    <n v="1422"/>
    <s v="24-08-2024"/>
    <x v="0"/>
    <x v="4"/>
    <x v="1"/>
    <x v="11"/>
    <x v="2"/>
    <x v="5"/>
    <x v="2"/>
    <n v="2"/>
    <n v="16"/>
    <n v="5"/>
    <n v="1298831"/>
    <n v="6494155"/>
    <n v="5236241"/>
    <n v="1257914"/>
  </r>
  <r>
    <n v="1423"/>
    <s v="31-07-2023"/>
    <x v="1"/>
    <x v="11"/>
    <x v="0"/>
    <x v="0"/>
    <x v="4"/>
    <x v="3"/>
    <x v="2"/>
    <n v="2"/>
    <n v="20"/>
    <n v="4"/>
    <n v="1174843"/>
    <n v="4699372"/>
    <n v="3936848"/>
    <n v="762524"/>
  </r>
  <r>
    <n v="1424"/>
    <s v="23-09-2023"/>
    <x v="1"/>
    <x v="7"/>
    <x v="2"/>
    <x v="15"/>
    <x v="2"/>
    <x v="9"/>
    <x v="0"/>
    <n v="1.5"/>
    <n v="20"/>
    <n v="4"/>
    <n v="703167"/>
    <n v="2812668"/>
    <n v="2228776"/>
    <n v="583892"/>
  </r>
  <r>
    <n v="1425"/>
    <s v="31-12-2024"/>
    <x v="0"/>
    <x v="5"/>
    <x v="2"/>
    <x v="13"/>
    <x v="4"/>
    <x v="3"/>
    <x v="2"/>
    <n v="1.5"/>
    <n v="19"/>
    <n v="2"/>
    <n v="1114337"/>
    <n v="2228674"/>
    <n v="1978493"/>
    <n v="250181"/>
  </r>
  <r>
    <n v="1426"/>
    <s v="10-01-2024"/>
    <x v="0"/>
    <x v="6"/>
    <x v="1"/>
    <x v="10"/>
    <x v="4"/>
    <x v="3"/>
    <x v="2"/>
    <n v="1.5"/>
    <n v="18"/>
    <n v="5"/>
    <n v="1024119"/>
    <n v="5120595"/>
    <n v="4111070"/>
    <n v="1009525"/>
  </r>
  <r>
    <n v="1427"/>
    <s v="30-04-2024"/>
    <x v="0"/>
    <x v="9"/>
    <x v="3"/>
    <x v="12"/>
    <x v="2"/>
    <x v="0"/>
    <x v="0"/>
    <n v="1"/>
    <n v="23"/>
    <n v="1"/>
    <n v="1128260"/>
    <n v="1128260"/>
    <n v="862892"/>
    <n v="265368"/>
  </r>
  <r>
    <n v="1428"/>
    <s v="06-09-2023"/>
    <x v="1"/>
    <x v="7"/>
    <x v="0"/>
    <x v="0"/>
    <x v="0"/>
    <x v="8"/>
    <x v="2"/>
    <n v="1.5"/>
    <n v="18"/>
    <n v="8"/>
    <n v="1326082"/>
    <n v="10608656"/>
    <n v="8937956"/>
    <n v="1670700"/>
  </r>
  <r>
    <n v="1429"/>
    <s v="22-06-2024"/>
    <x v="0"/>
    <x v="3"/>
    <x v="3"/>
    <x v="8"/>
    <x v="7"/>
    <x v="3"/>
    <x v="2"/>
    <n v="1"/>
    <n v="18"/>
    <n v="3"/>
    <n v="721664"/>
    <n v="2164992"/>
    <n v="1887292"/>
    <n v="277700"/>
  </r>
  <r>
    <n v="1430"/>
    <s v="05-01-2023"/>
    <x v="1"/>
    <x v="6"/>
    <x v="1"/>
    <x v="11"/>
    <x v="7"/>
    <x v="7"/>
    <x v="0"/>
    <n v="2"/>
    <n v="22"/>
    <n v="1"/>
    <n v="962394"/>
    <n v="962394"/>
    <n v="732742"/>
    <n v="229652"/>
  </r>
  <r>
    <n v="1431"/>
    <s v="11-10-2023"/>
    <x v="1"/>
    <x v="10"/>
    <x v="3"/>
    <x v="4"/>
    <x v="1"/>
    <x v="7"/>
    <x v="0"/>
    <n v="2"/>
    <n v="21"/>
    <n v="8"/>
    <n v="689766"/>
    <n v="5518128"/>
    <n v="4783091"/>
    <n v="735037"/>
  </r>
  <r>
    <n v="1432"/>
    <s v="27-03-2024"/>
    <x v="0"/>
    <x v="2"/>
    <x v="2"/>
    <x v="7"/>
    <x v="1"/>
    <x v="8"/>
    <x v="2"/>
    <n v="1"/>
    <n v="22"/>
    <n v="1"/>
    <n v="1067695"/>
    <n v="1067695"/>
    <n v="842895"/>
    <n v="224800"/>
  </r>
  <r>
    <n v="1433"/>
    <s v="05-12-2023"/>
    <x v="1"/>
    <x v="5"/>
    <x v="0"/>
    <x v="9"/>
    <x v="3"/>
    <x v="3"/>
    <x v="2"/>
    <n v="2"/>
    <n v="19"/>
    <n v="8"/>
    <n v="1415371"/>
    <n v="11322968"/>
    <n v="9792211"/>
    <n v="1530757"/>
  </r>
  <r>
    <n v="1434"/>
    <s v="04-12-2024"/>
    <x v="0"/>
    <x v="5"/>
    <x v="1"/>
    <x v="5"/>
    <x v="0"/>
    <x v="6"/>
    <x v="2"/>
    <n v="1"/>
    <n v="19"/>
    <n v="6"/>
    <n v="1125859"/>
    <n v="6755154"/>
    <n v="5339765"/>
    <n v="1415389"/>
  </r>
  <r>
    <n v="1435"/>
    <s v="07-04-2023"/>
    <x v="1"/>
    <x v="9"/>
    <x v="2"/>
    <x v="7"/>
    <x v="0"/>
    <x v="2"/>
    <x v="1"/>
    <n v="2"/>
    <n v="18"/>
    <n v="4"/>
    <n v="1395148"/>
    <n v="5580592"/>
    <n v="5017054"/>
    <n v="563538"/>
  </r>
  <r>
    <n v="1436"/>
    <s v="20-12-2024"/>
    <x v="0"/>
    <x v="5"/>
    <x v="3"/>
    <x v="8"/>
    <x v="6"/>
    <x v="0"/>
    <x v="0"/>
    <n v="1.5"/>
    <n v="20"/>
    <n v="2"/>
    <n v="969402"/>
    <n v="1938804"/>
    <n v="1697614"/>
    <n v="241190"/>
  </r>
  <r>
    <n v="1437"/>
    <s v="13-03-2024"/>
    <x v="0"/>
    <x v="2"/>
    <x v="1"/>
    <x v="11"/>
    <x v="7"/>
    <x v="6"/>
    <x v="2"/>
    <n v="1.5"/>
    <n v="20"/>
    <n v="8"/>
    <n v="1200535"/>
    <n v="9604280"/>
    <n v="7614132"/>
    <n v="1990148"/>
  </r>
  <r>
    <n v="1438"/>
    <s v="12-07-2023"/>
    <x v="1"/>
    <x v="11"/>
    <x v="0"/>
    <x v="14"/>
    <x v="1"/>
    <x v="6"/>
    <x v="2"/>
    <n v="1.5"/>
    <n v="23"/>
    <n v="1"/>
    <n v="676069"/>
    <n v="676069"/>
    <n v="512233"/>
    <n v="163836"/>
  </r>
  <r>
    <n v="1439"/>
    <s v="13-09-2024"/>
    <x v="0"/>
    <x v="7"/>
    <x v="2"/>
    <x v="3"/>
    <x v="2"/>
    <x v="4"/>
    <x v="0"/>
    <n v="1.5"/>
    <n v="16"/>
    <n v="8"/>
    <n v="921834"/>
    <n v="7374672"/>
    <n v="6545166"/>
    <n v="829506"/>
  </r>
  <r>
    <n v="1440"/>
    <s v="09-05-2023"/>
    <x v="1"/>
    <x v="8"/>
    <x v="1"/>
    <x v="1"/>
    <x v="1"/>
    <x v="6"/>
    <x v="2"/>
    <n v="1.2"/>
    <n v="19"/>
    <n v="8"/>
    <n v="1366054"/>
    <n v="10928432"/>
    <n v="8392088"/>
    <n v="2536344"/>
  </r>
  <r>
    <n v="1441"/>
    <s v="01-08-2024"/>
    <x v="0"/>
    <x v="4"/>
    <x v="3"/>
    <x v="12"/>
    <x v="3"/>
    <x v="3"/>
    <x v="2"/>
    <n v="2"/>
    <n v="20"/>
    <n v="4"/>
    <n v="1192505"/>
    <n v="4770020"/>
    <n v="4190565"/>
    <n v="579455"/>
  </r>
  <r>
    <n v="1442"/>
    <s v="21-11-2024"/>
    <x v="0"/>
    <x v="1"/>
    <x v="3"/>
    <x v="8"/>
    <x v="0"/>
    <x v="7"/>
    <x v="0"/>
    <n v="1.2"/>
    <n v="22"/>
    <n v="1"/>
    <n v="726418"/>
    <n v="726418"/>
    <n v="561972"/>
    <n v="164446"/>
  </r>
  <r>
    <n v="1443"/>
    <s v="07-08-2023"/>
    <x v="1"/>
    <x v="4"/>
    <x v="2"/>
    <x v="13"/>
    <x v="5"/>
    <x v="5"/>
    <x v="2"/>
    <n v="1.5"/>
    <n v="16"/>
    <n v="6"/>
    <n v="850955"/>
    <n v="5105730"/>
    <n v="4101484"/>
    <n v="1004246"/>
  </r>
  <r>
    <n v="1444"/>
    <s v="07-09-2023"/>
    <x v="1"/>
    <x v="7"/>
    <x v="1"/>
    <x v="11"/>
    <x v="0"/>
    <x v="3"/>
    <x v="2"/>
    <n v="2"/>
    <n v="18"/>
    <n v="2"/>
    <n v="910880"/>
    <n v="1821760"/>
    <n v="1520440"/>
    <n v="301320"/>
  </r>
  <r>
    <n v="1445"/>
    <s v="28-03-2024"/>
    <x v="0"/>
    <x v="2"/>
    <x v="3"/>
    <x v="12"/>
    <x v="0"/>
    <x v="3"/>
    <x v="2"/>
    <n v="2"/>
    <n v="20"/>
    <n v="5"/>
    <n v="1172959"/>
    <n v="5864795"/>
    <n v="4710262"/>
    <n v="1154533"/>
  </r>
  <r>
    <n v="1446"/>
    <s v="08-03-2024"/>
    <x v="0"/>
    <x v="2"/>
    <x v="1"/>
    <x v="10"/>
    <x v="2"/>
    <x v="3"/>
    <x v="2"/>
    <n v="1.5"/>
    <n v="16"/>
    <n v="6"/>
    <n v="1152112"/>
    <n v="6912672"/>
    <n v="6106274"/>
    <n v="806398"/>
  </r>
  <r>
    <n v="1447"/>
    <s v="07-02-2023"/>
    <x v="1"/>
    <x v="0"/>
    <x v="3"/>
    <x v="4"/>
    <x v="6"/>
    <x v="9"/>
    <x v="0"/>
    <n v="1.2"/>
    <n v="18"/>
    <n v="8"/>
    <n v="704846"/>
    <n v="5638768"/>
    <n v="4522256"/>
    <n v="1116512"/>
  </r>
  <r>
    <n v="1448"/>
    <s v="29-09-2024"/>
    <x v="0"/>
    <x v="7"/>
    <x v="3"/>
    <x v="12"/>
    <x v="0"/>
    <x v="6"/>
    <x v="2"/>
    <n v="1.2"/>
    <n v="20"/>
    <n v="5"/>
    <n v="1155931"/>
    <n v="5779655"/>
    <n v="5051787"/>
    <n v="727868"/>
  </r>
  <r>
    <n v="1449"/>
    <s v="11-11-2024"/>
    <x v="0"/>
    <x v="1"/>
    <x v="1"/>
    <x v="5"/>
    <x v="4"/>
    <x v="4"/>
    <x v="0"/>
    <n v="2"/>
    <n v="23"/>
    <n v="7"/>
    <n v="826231"/>
    <n v="5783617"/>
    <n v="4811919"/>
    <n v="971698"/>
  </r>
  <r>
    <n v="1450"/>
    <s v="12-01-2023"/>
    <x v="1"/>
    <x v="6"/>
    <x v="0"/>
    <x v="9"/>
    <x v="2"/>
    <x v="2"/>
    <x v="1"/>
    <n v="1.2"/>
    <n v="20"/>
    <n v="6"/>
    <n v="982808"/>
    <n v="5896848"/>
    <n v="4760517"/>
    <n v="1136331"/>
  </r>
  <r>
    <n v="1451"/>
    <s v="16-09-2023"/>
    <x v="1"/>
    <x v="7"/>
    <x v="1"/>
    <x v="1"/>
    <x v="0"/>
    <x v="4"/>
    <x v="0"/>
    <n v="1.5"/>
    <n v="19"/>
    <n v="7"/>
    <n v="1452714"/>
    <n v="10168998"/>
    <n v="8812384"/>
    <n v="1356614"/>
  </r>
  <r>
    <n v="1452"/>
    <s v="17-04-2024"/>
    <x v="0"/>
    <x v="9"/>
    <x v="2"/>
    <x v="3"/>
    <x v="3"/>
    <x v="9"/>
    <x v="0"/>
    <n v="1"/>
    <n v="22"/>
    <n v="1"/>
    <n v="1214863"/>
    <n v="1214863"/>
    <n v="1065724"/>
    <n v="149139"/>
  </r>
  <r>
    <n v="1453"/>
    <s v="11-04-2023"/>
    <x v="1"/>
    <x v="9"/>
    <x v="0"/>
    <x v="0"/>
    <x v="2"/>
    <x v="5"/>
    <x v="2"/>
    <n v="2"/>
    <n v="18"/>
    <n v="8"/>
    <n v="1328692"/>
    <n v="10629536"/>
    <n v="8555100"/>
    <n v="2074436"/>
  </r>
  <r>
    <n v="1454"/>
    <s v="30-08-2023"/>
    <x v="1"/>
    <x v="4"/>
    <x v="2"/>
    <x v="13"/>
    <x v="6"/>
    <x v="7"/>
    <x v="0"/>
    <n v="2"/>
    <n v="18"/>
    <n v="5"/>
    <n v="1374192"/>
    <n v="6870960"/>
    <n v="5853929"/>
    <n v="1017031"/>
  </r>
  <r>
    <n v="1455"/>
    <s v="05-07-2024"/>
    <x v="0"/>
    <x v="11"/>
    <x v="1"/>
    <x v="11"/>
    <x v="3"/>
    <x v="8"/>
    <x v="2"/>
    <n v="1"/>
    <n v="19"/>
    <n v="6"/>
    <n v="1194233"/>
    <n v="7165398"/>
    <n v="5441791"/>
    <n v="1723607"/>
  </r>
  <r>
    <n v="1456"/>
    <s v="26-01-2024"/>
    <x v="0"/>
    <x v="6"/>
    <x v="0"/>
    <x v="0"/>
    <x v="1"/>
    <x v="9"/>
    <x v="0"/>
    <n v="1"/>
    <n v="21"/>
    <n v="6"/>
    <n v="1420667"/>
    <n v="8524002"/>
    <n v="6973558"/>
    <n v="1550444"/>
  </r>
  <r>
    <n v="1457"/>
    <s v="05-02-2024"/>
    <x v="0"/>
    <x v="0"/>
    <x v="3"/>
    <x v="12"/>
    <x v="0"/>
    <x v="9"/>
    <x v="0"/>
    <n v="1.2"/>
    <n v="22"/>
    <n v="3"/>
    <n v="938644"/>
    <n v="2815932"/>
    <n v="2478048"/>
    <n v="337884"/>
  </r>
  <r>
    <n v="1458"/>
    <s v="19-09-2023"/>
    <x v="1"/>
    <x v="7"/>
    <x v="1"/>
    <x v="11"/>
    <x v="4"/>
    <x v="4"/>
    <x v="0"/>
    <n v="2"/>
    <n v="19"/>
    <n v="4"/>
    <n v="862398"/>
    <n v="3449592"/>
    <n v="3087790"/>
    <n v="361802"/>
  </r>
  <r>
    <n v="1459"/>
    <s v="23-09-2023"/>
    <x v="1"/>
    <x v="7"/>
    <x v="2"/>
    <x v="3"/>
    <x v="4"/>
    <x v="7"/>
    <x v="0"/>
    <n v="1"/>
    <n v="18"/>
    <n v="3"/>
    <n v="777431"/>
    <n v="2332293"/>
    <n v="2031915"/>
    <n v="300378"/>
  </r>
  <r>
    <n v="1460"/>
    <s v="13-12-2024"/>
    <x v="0"/>
    <x v="5"/>
    <x v="3"/>
    <x v="8"/>
    <x v="0"/>
    <x v="6"/>
    <x v="2"/>
    <n v="1.2"/>
    <n v="19"/>
    <n v="1"/>
    <n v="684599"/>
    <n v="684599"/>
    <n v="516574"/>
    <n v="168025"/>
  </r>
  <r>
    <n v="1461"/>
    <s v="05-01-2023"/>
    <x v="1"/>
    <x v="6"/>
    <x v="0"/>
    <x v="14"/>
    <x v="3"/>
    <x v="2"/>
    <x v="1"/>
    <n v="2"/>
    <n v="22"/>
    <n v="7"/>
    <n v="1045657"/>
    <n v="7319599"/>
    <n v="5561597"/>
    <n v="1758002"/>
  </r>
  <r>
    <n v="1462"/>
    <s v="09-05-2024"/>
    <x v="0"/>
    <x v="8"/>
    <x v="1"/>
    <x v="11"/>
    <x v="6"/>
    <x v="6"/>
    <x v="2"/>
    <n v="1"/>
    <n v="22"/>
    <n v="6"/>
    <n v="1368633"/>
    <n v="8211798"/>
    <n v="7196687"/>
    <n v="1015111"/>
  </r>
  <r>
    <n v="1463"/>
    <s v="11-05-2024"/>
    <x v="0"/>
    <x v="8"/>
    <x v="3"/>
    <x v="8"/>
    <x v="1"/>
    <x v="4"/>
    <x v="0"/>
    <n v="1.5"/>
    <n v="18"/>
    <n v="4"/>
    <n v="1153856"/>
    <n v="4615424"/>
    <n v="3657217"/>
    <n v="958207"/>
  </r>
  <r>
    <n v="1464"/>
    <s v="10-11-2024"/>
    <x v="0"/>
    <x v="1"/>
    <x v="3"/>
    <x v="4"/>
    <x v="2"/>
    <x v="6"/>
    <x v="2"/>
    <n v="1.5"/>
    <n v="21"/>
    <n v="4"/>
    <n v="1066233"/>
    <n v="4264932"/>
    <n v="3489058"/>
    <n v="775874"/>
  </r>
  <r>
    <n v="1465"/>
    <s v="23-01-2024"/>
    <x v="0"/>
    <x v="6"/>
    <x v="3"/>
    <x v="4"/>
    <x v="5"/>
    <x v="7"/>
    <x v="0"/>
    <n v="2"/>
    <n v="18"/>
    <n v="1"/>
    <n v="1476708"/>
    <n v="1476708"/>
    <n v="1180246"/>
    <n v="296462"/>
  </r>
  <r>
    <n v="1466"/>
    <s v="12-04-2024"/>
    <x v="0"/>
    <x v="9"/>
    <x v="0"/>
    <x v="14"/>
    <x v="0"/>
    <x v="9"/>
    <x v="0"/>
    <n v="1.2"/>
    <n v="19"/>
    <n v="1"/>
    <n v="949129"/>
    <n v="949129"/>
    <n v="756494"/>
    <n v="192635"/>
  </r>
  <r>
    <n v="1467"/>
    <s v="30-06-2024"/>
    <x v="0"/>
    <x v="3"/>
    <x v="2"/>
    <x v="13"/>
    <x v="0"/>
    <x v="8"/>
    <x v="2"/>
    <n v="1.5"/>
    <n v="23"/>
    <n v="2"/>
    <n v="639922"/>
    <n v="1279844"/>
    <n v="985719"/>
    <n v="294125"/>
  </r>
  <r>
    <n v="1468"/>
    <s v="08-05-2024"/>
    <x v="0"/>
    <x v="8"/>
    <x v="0"/>
    <x v="2"/>
    <x v="2"/>
    <x v="6"/>
    <x v="2"/>
    <n v="2"/>
    <n v="20"/>
    <n v="3"/>
    <n v="803763"/>
    <n v="2411289"/>
    <n v="2118034"/>
    <n v="293255"/>
  </r>
  <r>
    <n v="1469"/>
    <s v="21-02-2023"/>
    <x v="1"/>
    <x v="0"/>
    <x v="3"/>
    <x v="12"/>
    <x v="6"/>
    <x v="8"/>
    <x v="2"/>
    <n v="1.2"/>
    <n v="22"/>
    <n v="7"/>
    <n v="824622"/>
    <n v="5772354"/>
    <n v="4559288"/>
    <n v="1213066"/>
  </r>
  <r>
    <n v="1470"/>
    <s v="19-09-2023"/>
    <x v="1"/>
    <x v="7"/>
    <x v="0"/>
    <x v="0"/>
    <x v="6"/>
    <x v="9"/>
    <x v="0"/>
    <n v="1.5"/>
    <n v="22"/>
    <n v="6"/>
    <n v="652717"/>
    <n v="3916302"/>
    <n v="3503160"/>
    <n v="413142"/>
  </r>
  <r>
    <n v="1471"/>
    <s v="09-08-2023"/>
    <x v="1"/>
    <x v="4"/>
    <x v="0"/>
    <x v="9"/>
    <x v="0"/>
    <x v="6"/>
    <x v="2"/>
    <n v="1"/>
    <n v="23"/>
    <n v="6"/>
    <n v="1161635"/>
    <n v="6969810"/>
    <n v="5374818"/>
    <n v="1594992"/>
  </r>
  <r>
    <n v="1472"/>
    <s v="20-07-2023"/>
    <x v="1"/>
    <x v="11"/>
    <x v="3"/>
    <x v="4"/>
    <x v="0"/>
    <x v="6"/>
    <x v="2"/>
    <n v="1.2"/>
    <n v="21"/>
    <n v="1"/>
    <n v="905027"/>
    <n v="905027"/>
    <n v="760621"/>
    <n v="144406"/>
  </r>
  <r>
    <n v="1473"/>
    <s v="22-09-2023"/>
    <x v="1"/>
    <x v="7"/>
    <x v="3"/>
    <x v="4"/>
    <x v="5"/>
    <x v="7"/>
    <x v="0"/>
    <n v="1"/>
    <n v="22"/>
    <n v="6"/>
    <n v="1212701"/>
    <n v="7276206"/>
    <n v="6290917"/>
    <n v="985289"/>
  </r>
  <r>
    <n v="1474"/>
    <s v="14-12-2024"/>
    <x v="0"/>
    <x v="5"/>
    <x v="3"/>
    <x v="8"/>
    <x v="5"/>
    <x v="5"/>
    <x v="2"/>
    <n v="1"/>
    <n v="18"/>
    <n v="6"/>
    <n v="1245005"/>
    <n v="7470030"/>
    <n v="6033316"/>
    <n v="1436714"/>
  </r>
  <r>
    <n v="1475"/>
    <s v="17-01-2023"/>
    <x v="1"/>
    <x v="6"/>
    <x v="0"/>
    <x v="14"/>
    <x v="1"/>
    <x v="1"/>
    <x v="1"/>
    <n v="1"/>
    <n v="20"/>
    <n v="6"/>
    <n v="1272068"/>
    <n v="7632408"/>
    <n v="6319150"/>
    <n v="1313258"/>
  </r>
  <r>
    <n v="1476"/>
    <s v="20-10-2023"/>
    <x v="1"/>
    <x v="10"/>
    <x v="1"/>
    <x v="11"/>
    <x v="6"/>
    <x v="5"/>
    <x v="2"/>
    <n v="2"/>
    <n v="16"/>
    <n v="2"/>
    <n v="704352"/>
    <n v="1408704"/>
    <n v="1243970"/>
    <n v="164734"/>
  </r>
  <r>
    <n v="1477"/>
    <s v="07-01-2024"/>
    <x v="0"/>
    <x v="6"/>
    <x v="0"/>
    <x v="9"/>
    <x v="7"/>
    <x v="8"/>
    <x v="2"/>
    <n v="2"/>
    <n v="16"/>
    <n v="7"/>
    <n v="936077"/>
    <n v="6552539"/>
    <n v="5851702"/>
    <n v="700837"/>
  </r>
  <r>
    <n v="1478"/>
    <s v="13-11-2023"/>
    <x v="1"/>
    <x v="1"/>
    <x v="3"/>
    <x v="6"/>
    <x v="3"/>
    <x v="4"/>
    <x v="0"/>
    <n v="1.5"/>
    <n v="20"/>
    <n v="3"/>
    <n v="766580"/>
    <n v="2299740"/>
    <n v="1940425"/>
    <n v="359315"/>
  </r>
  <r>
    <n v="1479"/>
    <s v="22-08-2023"/>
    <x v="1"/>
    <x v="4"/>
    <x v="0"/>
    <x v="9"/>
    <x v="4"/>
    <x v="7"/>
    <x v="0"/>
    <n v="2"/>
    <n v="16"/>
    <n v="3"/>
    <n v="962275"/>
    <n v="2886825"/>
    <n v="2332766"/>
    <n v="554059"/>
  </r>
  <r>
    <n v="1480"/>
    <s v="03-06-2024"/>
    <x v="0"/>
    <x v="3"/>
    <x v="1"/>
    <x v="1"/>
    <x v="0"/>
    <x v="7"/>
    <x v="0"/>
    <n v="1.5"/>
    <n v="20"/>
    <n v="5"/>
    <n v="1243901"/>
    <n v="6219505"/>
    <n v="5467944"/>
    <n v="751561"/>
  </r>
  <r>
    <n v="1481"/>
    <s v="13-04-2024"/>
    <x v="0"/>
    <x v="9"/>
    <x v="2"/>
    <x v="3"/>
    <x v="3"/>
    <x v="8"/>
    <x v="2"/>
    <n v="1"/>
    <n v="16"/>
    <n v="1"/>
    <n v="1344744"/>
    <n v="1344744"/>
    <n v="1185238"/>
    <n v="159506"/>
  </r>
  <r>
    <n v="1482"/>
    <s v="14-12-2023"/>
    <x v="1"/>
    <x v="5"/>
    <x v="1"/>
    <x v="5"/>
    <x v="1"/>
    <x v="1"/>
    <x v="1"/>
    <n v="1"/>
    <n v="19"/>
    <n v="1"/>
    <n v="905514"/>
    <n v="905514"/>
    <n v="796229"/>
    <n v="109285"/>
  </r>
  <r>
    <n v="1483"/>
    <s v="13-08-2024"/>
    <x v="0"/>
    <x v="4"/>
    <x v="3"/>
    <x v="6"/>
    <x v="1"/>
    <x v="1"/>
    <x v="1"/>
    <n v="2"/>
    <n v="16"/>
    <n v="7"/>
    <n v="615130"/>
    <n v="4305910"/>
    <n v="3581028"/>
    <n v="724882"/>
  </r>
  <r>
    <n v="1484"/>
    <s v="21-03-2023"/>
    <x v="1"/>
    <x v="2"/>
    <x v="0"/>
    <x v="9"/>
    <x v="7"/>
    <x v="7"/>
    <x v="0"/>
    <n v="1"/>
    <n v="20"/>
    <n v="1"/>
    <n v="909700"/>
    <n v="909700"/>
    <n v="794244"/>
    <n v="115456"/>
  </r>
  <r>
    <n v="1485"/>
    <s v="30-09-2024"/>
    <x v="0"/>
    <x v="7"/>
    <x v="2"/>
    <x v="3"/>
    <x v="4"/>
    <x v="6"/>
    <x v="2"/>
    <n v="1.2"/>
    <n v="18"/>
    <n v="6"/>
    <n v="793504"/>
    <n v="4761024"/>
    <n v="4067186"/>
    <n v="693838"/>
  </r>
  <r>
    <n v="1486"/>
    <s v="21-05-2023"/>
    <x v="1"/>
    <x v="8"/>
    <x v="3"/>
    <x v="12"/>
    <x v="4"/>
    <x v="9"/>
    <x v="0"/>
    <n v="1.2"/>
    <n v="21"/>
    <n v="6"/>
    <n v="1219312"/>
    <n v="7315872"/>
    <n v="5521635"/>
    <n v="1794237"/>
  </r>
  <r>
    <n v="1487"/>
    <s v="05-01-2023"/>
    <x v="1"/>
    <x v="6"/>
    <x v="2"/>
    <x v="3"/>
    <x v="3"/>
    <x v="5"/>
    <x v="2"/>
    <n v="2"/>
    <n v="21"/>
    <n v="2"/>
    <n v="1373139"/>
    <n v="2746278"/>
    <n v="2460594"/>
    <n v="285684"/>
  </r>
  <r>
    <n v="1488"/>
    <s v="09-08-2024"/>
    <x v="0"/>
    <x v="4"/>
    <x v="2"/>
    <x v="13"/>
    <x v="2"/>
    <x v="6"/>
    <x v="2"/>
    <n v="2"/>
    <n v="20"/>
    <n v="6"/>
    <n v="1473627"/>
    <n v="8841762"/>
    <n v="7510710"/>
    <n v="1331052"/>
  </r>
  <r>
    <n v="1489"/>
    <s v="15-06-2023"/>
    <x v="1"/>
    <x v="3"/>
    <x v="1"/>
    <x v="1"/>
    <x v="0"/>
    <x v="0"/>
    <x v="0"/>
    <n v="2"/>
    <n v="22"/>
    <n v="1"/>
    <n v="603443"/>
    <n v="603443"/>
    <n v="510209"/>
    <n v="93234"/>
  </r>
  <r>
    <n v="1490"/>
    <s v="29-08-2023"/>
    <x v="1"/>
    <x v="4"/>
    <x v="1"/>
    <x v="10"/>
    <x v="7"/>
    <x v="8"/>
    <x v="2"/>
    <n v="1.5"/>
    <n v="18"/>
    <n v="7"/>
    <n v="601958"/>
    <n v="4213706"/>
    <n v="3232624"/>
    <n v="981082"/>
  </r>
  <r>
    <n v="1491"/>
    <s v="05-04-2024"/>
    <x v="0"/>
    <x v="9"/>
    <x v="3"/>
    <x v="8"/>
    <x v="0"/>
    <x v="5"/>
    <x v="2"/>
    <n v="1.5"/>
    <n v="16"/>
    <n v="6"/>
    <n v="1303241"/>
    <n v="7819446"/>
    <n v="6175599"/>
    <n v="1643847"/>
  </r>
  <r>
    <n v="1492"/>
    <s v="14-01-2024"/>
    <x v="0"/>
    <x v="6"/>
    <x v="2"/>
    <x v="3"/>
    <x v="0"/>
    <x v="6"/>
    <x v="2"/>
    <n v="1"/>
    <n v="21"/>
    <n v="8"/>
    <n v="1145501"/>
    <n v="9164008"/>
    <n v="7927196"/>
    <n v="1236812"/>
  </r>
  <r>
    <n v="1493"/>
    <s v="06-02-2024"/>
    <x v="0"/>
    <x v="0"/>
    <x v="2"/>
    <x v="15"/>
    <x v="2"/>
    <x v="4"/>
    <x v="0"/>
    <n v="2"/>
    <n v="20"/>
    <n v="7"/>
    <n v="997867"/>
    <n v="6985069"/>
    <n v="6114624"/>
    <n v="870445"/>
  </r>
  <r>
    <n v="1494"/>
    <s v="24-01-2024"/>
    <x v="0"/>
    <x v="6"/>
    <x v="3"/>
    <x v="8"/>
    <x v="6"/>
    <x v="8"/>
    <x v="2"/>
    <n v="1.2"/>
    <n v="16"/>
    <n v="8"/>
    <n v="897976"/>
    <n v="7183808"/>
    <n v="6313562"/>
    <n v="870246"/>
  </r>
  <r>
    <n v="1495"/>
    <s v="12-03-2023"/>
    <x v="1"/>
    <x v="2"/>
    <x v="3"/>
    <x v="4"/>
    <x v="2"/>
    <x v="4"/>
    <x v="0"/>
    <n v="1"/>
    <n v="18"/>
    <n v="7"/>
    <n v="1220096"/>
    <n v="8540672"/>
    <n v="7127722"/>
    <n v="1412950"/>
  </r>
  <r>
    <n v="1496"/>
    <s v="10-11-2023"/>
    <x v="1"/>
    <x v="1"/>
    <x v="2"/>
    <x v="13"/>
    <x v="7"/>
    <x v="7"/>
    <x v="0"/>
    <n v="1.5"/>
    <n v="20"/>
    <n v="5"/>
    <n v="749267"/>
    <n v="3746335"/>
    <n v="2872712"/>
    <n v="873623"/>
  </r>
  <r>
    <n v="1497"/>
    <s v="15-01-2023"/>
    <x v="1"/>
    <x v="6"/>
    <x v="3"/>
    <x v="12"/>
    <x v="7"/>
    <x v="4"/>
    <x v="0"/>
    <n v="2"/>
    <n v="16"/>
    <n v="7"/>
    <n v="979579"/>
    <n v="6857053"/>
    <n v="6097612"/>
    <n v="759441"/>
  </r>
  <r>
    <n v="1498"/>
    <s v="18-08-2024"/>
    <x v="0"/>
    <x v="4"/>
    <x v="1"/>
    <x v="11"/>
    <x v="6"/>
    <x v="3"/>
    <x v="2"/>
    <n v="1.5"/>
    <n v="22"/>
    <n v="8"/>
    <n v="1249733"/>
    <n v="9997864"/>
    <n v="8844891"/>
    <n v="1152973"/>
  </r>
  <r>
    <n v="1499"/>
    <s v="17-01-2023"/>
    <x v="1"/>
    <x v="6"/>
    <x v="1"/>
    <x v="11"/>
    <x v="7"/>
    <x v="8"/>
    <x v="2"/>
    <n v="1.5"/>
    <n v="23"/>
    <n v="7"/>
    <n v="1406756"/>
    <n v="9847292"/>
    <n v="7851078"/>
    <n v="1996214"/>
  </r>
  <r>
    <n v="1500"/>
    <s v="04-08-2024"/>
    <x v="0"/>
    <x v="4"/>
    <x v="2"/>
    <x v="15"/>
    <x v="5"/>
    <x v="9"/>
    <x v="0"/>
    <n v="1.5"/>
    <n v="20"/>
    <n v="7"/>
    <n v="1240714"/>
    <n v="8684998"/>
    <n v="6980532"/>
    <n v="1704466"/>
  </r>
  <r>
    <n v="1501"/>
    <s v="11-09-2024"/>
    <x v="0"/>
    <x v="7"/>
    <x v="2"/>
    <x v="15"/>
    <x v="2"/>
    <x v="4"/>
    <x v="0"/>
    <n v="2"/>
    <n v="20"/>
    <n v="2"/>
    <n v="1320419"/>
    <n v="2640838"/>
    <n v="2306772"/>
    <n v="334066"/>
  </r>
  <r>
    <n v="1502"/>
    <s v="07-08-2024"/>
    <x v="0"/>
    <x v="4"/>
    <x v="3"/>
    <x v="4"/>
    <x v="1"/>
    <x v="1"/>
    <x v="1"/>
    <n v="2"/>
    <n v="22"/>
    <n v="5"/>
    <n v="1235526"/>
    <n v="6177630"/>
    <n v="5441054"/>
    <n v="736576"/>
  </r>
  <r>
    <n v="1503"/>
    <s v="23-11-2024"/>
    <x v="0"/>
    <x v="1"/>
    <x v="2"/>
    <x v="13"/>
    <x v="0"/>
    <x v="9"/>
    <x v="0"/>
    <n v="1"/>
    <n v="23"/>
    <n v="3"/>
    <n v="1294046"/>
    <n v="3882138"/>
    <n v="3222814"/>
    <n v="659324"/>
  </r>
  <r>
    <n v="1504"/>
    <s v="01-10-2024"/>
    <x v="0"/>
    <x v="10"/>
    <x v="0"/>
    <x v="2"/>
    <x v="6"/>
    <x v="2"/>
    <x v="1"/>
    <n v="1"/>
    <n v="22"/>
    <n v="6"/>
    <n v="675745"/>
    <n v="4054470"/>
    <n v="3295023"/>
    <n v="759447"/>
  </r>
  <r>
    <n v="1505"/>
    <s v="23-12-2023"/>
    <x v="1"/>
    <x v="5"/>
    <x v="3"/>
    <x v="8"/>
    <x v="2"/>
    <x v="3"/>
    <x v="2"/>
    <n v="1.2"/>
    <n v="19"/>
    <n v="8"/>
    <n v="1302995"/>
    <n v="10423960"/>
    <n v="9248928"/>
    <n v="1175032"/>
  </r>
  <r>
    <n v="1506"/>
    <s v="04-03-2023"/>
    <x v="1"/>
    <x v="2"/>
    <x v="1"/>
    <x v="10"/>
    <x v="4"/>
    <x v="7"/>
    <x v="0"/>
    <n v="1.5"/>
    <n v="21"/>
    <n v="1"/>
    <n v="735972"/>
    <n v="735972"/>
    <n v="644614"/>
    <n v="91358"/>
  </r>
  <r>
    <n v="1507"/>
    <s v="02-03-2023"/>
    <x v="1"/>
    <x v="2"/>
    <x v="3"/>
    <x v="12"/>
    <x v="1"/>
    <x v="4"/>
    <x v="0"/>
    <n v="2"/>
    <n v="19"/>
    <n v="1"/>
    <n v="629964"/>
    <n v="629964"/>
    <n v="555328"/>
    <n v="74636"/>
  </r>
  <r>
    <n v="1508"/>
    <s v="08-12-2024"/>
    <x v="0"/>
    <x v="5"/>
    <x v="3"/>
    <x v="6"/>
    <x v="6"/>
    <x v="5"/>
    <x v="2"/>
    <n v="1"/>
    <n v="21"/>
    <n v="3"/>
    <n v="702200"/>
    <n v="2106600"/>
    <n v="1675520"/>
    <n v="431080"/>
  </r>
  <r>
    <n v="1509"/>
    <s v="06-04-2024"/>
    <x v="0"/>
    <x v="9"/>
    <x v="0"/>
    <x v="0"/>
    <x v="4"/>
    <x v="9"/>
    <x v="0"/>
    <n v="1.5"/>
    <n v="16"/>
    <n v="7"/>
    <n v="1356830"/>
    <n v="9497810"/>
    <n v="7992644"/>
    <n v="1505166"/>
  </r>
  <r>
    <n v="1510"/>
    <s v="09-02-2023"/>
    <x v="1"/>
    <x v="0"/>
    <x v="2"/>
    <x v="3"/>
    <x v="6"/>
    <x v="0"/>
    <x v="0"/>
    <n v="1.5"/>
    <n v="23"/>
    <n v="5"/>
    <n v="886006"/>
    <n v="4430030"/>
    <n v="3712982"/>
    <n v="717048"/>
  </r>
  <r>
    <n v="1511"/>
    <s v="23-03-2023"/>
    <x v="1"/>
    <x v="2"/>
    <x v="3"/>
    <x v="8"/>
    <x v="6"/>
    <x v="1"/>
    <x v="1"/>
    <n v="1.5"/>
    <n v="16"/>
    <n v="2"/>
    <n v="1477003"/>
    <n v="2954006"/>
    <n v="2511027"/>
    <n v="442979"/>
  </r>
  <r>
    <n v="1512"/>
    <s v="10-06-2024"/>
    <x v="0"/>
    <x v="3"/>
    <x v="0"/>
    <x v="14"/>
    <x v="6"/>
    <x v="4"/>
    <x v="0"/>
    <n v="1"/>
    <n v="18"/>
    <n v="7"/>
    <n v="1446962"/>
    <n v="10128734"/>
    <n v="8819918"/>
    <n v="1308816"/>
  </r>
  <r>
    <n v="1513"/>
    <s v="18-03-2024"/>
    <x v="0"/>
    <x v="2"/>
    <x v="1"/>
    <x v="11"/>
    <x v="6"/>
    <x v="8"/>
    <x v="2"/>
    <n v="1.2"/>
    <n v="21"/>
    <n v="1"/>
    <n v="1231622"/>
    <n v="1231622"/>
    <n v="966028"/>
    <n v="265594"/>
  </r>
  <r>
    <n v="1514"/>
    <s v="29-07-2024"/>
    <x v="0"/>
    <x v="11"/>
    <x v="2"/>
    <x v="7"/>
    <x v="4"/>
    <x v="7"/>
    <x v="0"/>
    <n v="1.2"/>
    <n v="16"/>
    <n v="2"/>
    <n v="1070151"/>
    <n v="2140302"/>
    <n v="1675381"/>
    <n v="464921"/>
  </r>
  <r>
    <n v="1515"/>
    <s v="01-10-2024"/>
    <x v="0"/>
    <x v="10"/>
    <x v="0"/>
    <x v="2"/>
    <x v="0"/>
    <x v="5"/>
    <x v="2"/>
    <n v="1.2"/>
    <n v="21"/>
    <n v="6"/>
    <n v="1069589"/>
    <n v="6417534"/>
    <n v="5394344"/>
    <n v="1023190"/>
  </r>
  <r>
    <n v="1516"/>
    <s v="01-03-2024"/>
    <x v="0"/>
    <x v="2"/>
    <x v="0"/>
    <x v="9"/>
    <x v="4"/>
    <x v="0"/>
    <x v="0"/>
    <n v="1.2"/>
    <n v="23"/>
    <n v="2"/>
    <n v="820578"/>
    <n v="1641156"/>
    <n v="1458350"/>
    <n v="182806"/>
  </r>
  <r>
    <n v="1517"/>
    <s v="18-05-2024"/>
    <x v="0"/>
    <x v="8"/>
    <x v="3"/>
    <x v="8"/>
    <x v="1"/>
    <x v="3"/>
    <x v="2"/>
    <n v="1"/>
    <n v="16"/>
    <n v="1"/>
    <n v="1192480"/>
    <n v="1192480"/>
    <n v="1064941"/>
    <n v="127539"/>
  </r>
  <r>
    <n v="1518"/>
    <s v="18-06-2023"/>
    <x v="1"/>
    <x v="3"/>
    <x v="1"/>
    <x v="1"/>
    <x v="2"/>
    <x v="8"/>
    <x v="2"/>
    <n v="1.2"/>
    <n v="20"/>
    <n v="6"/>
    <n v="1424080"/>
    <n v="8544480"/>
    <n v="6617153"/>
    <n v="1927327"/>
  </r>
  <r>
    <n v="1519"/>
    <s v="02-09-2023"/>
    <x v="1"/>
    <x v="7"/>
    <x v="0"/>
    <x v="0"/>
    <x v="4"/>
    <x v="4"/>
    <x v="0"/>
    <n v="2"/>
    <n v="16"/>
    <n v="7"/>
    <n v="751969"/>
    <n v="5263783"/>
    <n v="4336469"/>
    <n v="927314"/>
  </r>
  <r>
    <n v="1520"/>
    <s v="26-12-2023"/>
    <x v="1"/>
    <x v="5"/>
    <x v="2"/>
    <x v="3"/>
    <x v="2"/>
    <x v="2"/>
    <x v="1"/>
    <n v="1.5"/>
    <n v="19"/>
    <n v="5"/>
    <n v="1488194"/>
    <n v="7440970"/>
    <n v="5721635"/>
    <n v="1719335"/>
  </r>
  <r>
    <n v="1521"/>
    <s v="15-03-2023"/>
    <x v="1"/>
    <x v="2"/>
    <x v="2"/>
    <x v="7"/>
    <x v="7"/>
    <x v="6"/>
    <x v="2"/>
    <n v="1.5"/>
    <n v="20"/>
    <n v="2"/>
    <n v="862693"/>
    <n v="1725386"/>
    <n v="1365698"/>
    <n v="359688"/>
  </r>
  <r>
    <n v="1522"/>
    <s v="21-01-2024"/>
    <x v="0"/>
    <x v="6"/>
    <x v="3"/>
    <x v="8"/>
    <x v="7"/>
    <x v="7"/>
    <x v="0"/>
    <n v="2"/>
    <n v="23"/>
    <n v="4"/>
    <n v="1157642"/>
    <n v="4630568"/>
    <n v="3737551"/>
    <n v="893017"/>
  </r>
  <r>
    <n v="1523"/>
    <s v="20-04-2023"/>
    <x v="1"/>
    <x v="9"/>
    <x v="0"/>
    <x v="14"/>
    <x v="2"/>
    <x v="4"/>
    <x v="0"/>
    <n v="1.5"/>
    <n v="21"/>
    <n v="5"/>
    <n v="1479491"/>
    <n v="7397455"/>
    <n v="6046937"/>
    <n v="1350518"/>
  </r>
  <r>
    <n v="1524"/>
    <s v="30-03-2024"/>
    <x v="0"/>
    <x v="2"/>
    <x v="3"/>
    <x v="12"/>
    <x v="7"/>
    <x v="6"/>
    <x v="2"/>
    <n v="1.2"/>
    <n v="16"/>
    <n v="2"/>
    <n v="1093048"/>
    <n v="2186096"/>
    <n v="1841727"/>
    <n v="344369"/>
  </r>
  <r>
    <n v="1525"/>
    <s v="27-05-2024"/>
    <x v="0"/>
    <x v="8"/>
    <x v="3"/>
    <x v="12"/>
    <x v="5"/>
    <x v="4"/>
    <x v="0"/>
    <n v="1"/>
    <n v="19"/>
    <n v="7"/>
    <n v="1484669"/>
    <n v="10392683"/>
    <n v="8080592"/>
    <n v="2312091"/>
  </r>
  <r>
    <n v="1526"/>
    <s v="07-06-2023"/>
    <x v="1"/>
    <x v="3"/>
    <x v="1"/>
    <x v="1"/>
    <x v="6"/>
    <x v="0"/>
    <x v="0"/>
    <n v="2"/>
    <n v="18"/>
    <n v="4"/>
    <n v="648778"/>
    <n v="2595112"/>
    <n v="2030069"/>
    <n v="565043"/>
  </r>
  <r>
    <n v="1527"/>
    <s v="19-01-2023"/>
    <x v="1"/>
    <x v="6"/>
    <x v="3"/>
    <x v="8"/>
    <x v="0"/>
    <x v="2"/>
    <x v="1"/>
    <n v="1"/>
    <n v="19"/>
    <n v="1"/>
    <n v="1116121"/>
    <n v="1116121"/>
    <n v="989816"/>
    <n v="126305"/>
  </r>
  <r>
    <n v="1528"/>
    <s v="28-04-2023"/>
    <x v="1"/>
    <x v="9"/>
    <x v="0"/>
    <x v="2"/>
    <x v="5"/>
    <x v="4"/>
    <x v="0"/>
    <n v="1.2"/>
    <n v="19"/>
    <n v="4"/>
    <n v="1177370"/>
    <n v="4709480"/>
    <n v="3705996"/>
    <n v="1003484"/>
  </r>
  <r>
    <n v="1529"/>
    <s v="28-02-2023"/>
    <x v="1"/>
    <x v="0"/>
    <x v="3"/>
    <x v="8"/>
    <x v="4"/>
    <x v="6"/>
    <x v="2"/>
    <n v="1"/>
    <n v="20"/>
    <n v="3"/>
    <n v="1370564"/>
    <n v="4111692"/>
    <n v="3341773"/>
    <n v="769919"/>
  </r>
  <r>
    <n v="1530"/>
    <s v="27-05-2023"/>
    <x v="1"/>
    <x v="8"/>
    <x v="1"/>
    <x v="10"/>
    <x v="6"/>
    <x v="4"/>
    <x v="0"/>
    <n v="1.2"/>
    <n v="19"/>
    <n v="2"/>
    <n v="746385"/>
    <n v="1492770"/>
    <n v="1200854"/>
    <n v="291916"/>
  </r>
  <r>
    <n v="1531"/>
    <s v="07-03-2024"/>
    <x v="0"/>
    <x v="2"/>
    <x v="0"/>
    <x v="2"/>
    <x v="3"/>
    <x v="0"/>
    <x v="0"/>
    <n v="1.5"/>
    <n v="18"/>
    <n v="6"/>
    <n v="929777"/>
    <n v="5578662"/>
    <n v="4914180"/>
    <n v="664482"/>
  </r>
  <r>
    <n v="1532"/>
    <s v="19-11-2023"/>
    <x v="1"/>
    <x v="1"/>
    <x v="0"/>
    <x v="0"/>
    <x v="5"/>
    <x v="5"/>
    <x v="2"/>
    <n v="1.2"/>
    <n v="23"/>
    <n v="2"/>
    <n v="1059376"/>
    <n v="2118752"/>
    <n v="1770272"/>
    <n v="348480"/>
  </r>
  <r>
    <n v="1533"/>
    <s v="12-12-2024"/>
    <x v="0"/>
    <x v="5"/>
    <x v="0"/>
    <x v="9"/>
    <x v="2"/>
    <x v="4"/>
    <x v="0"/>
    <n v="1.5"/>
    <n v="16"/>
    <n v="6"/>
    <n v="1359148"/>
    <n v="8154888"/>
    <n v="7257286"/>
    <n v="897602"/>
  </r>
  <r>
    <n v="1534"/>
    <s v="15-09-2024"/>
    <x v="0"/>
    <x v="7"/>
    <x v="3"/>
    <x v="6"/>
    <x v="3"/>
    <x v="4"/>
    <x v="0"/>
    <n v="1.5"/>
    <n v="18"/>
    <n v="1"/>
    <n v="882273"/>
    <n v="882273"/>
    <n v="722593"/>
    <n v="159680"/>
  </r>
  <r>
    <n v="1535"/>
    <s v="19-06-2024"/>
    <x v="0"/>
    <x v="3"/>
    <x v="2"/>
    <x v="13"/>
    <x v="6"/>
    <x v="3"/>
    <x v="2"/>
    <n v="2"/>
    <n v="23"/>
    <n v="4"/>
    <n v="1385089"/>
    <n v="5540356"/>
    <n v="4827260"/>
    <n v="713096"/>
  </r>
  <r>
    <n v="1536"/>
    <s v="31-08-2023"/>
    <x v="1"/>
    <x v="4"/>
    <x v="0"/>
    <x v="2"/>
    <x v="1"/>
    <x v="3"/>
    <x v="2"/>
    <n v="2"/>
    <n v="18"/>
    <n v="3"/>
    <n v="840350"/>
    <n v="2521050"/>
    <n v="2115045"/>
    <n v="406005"/>
  </r>
  <r>
    <n v="1537"/>
    <s v="26-06-2024"/>
    <x v="0"/>
    <x v="3"/>
    <x v="3"/>
    <x v="8"/>
    <x v="0"/>
    <x v="4"/>
    <x v="0"/>
    <n v="1.5"/>
    <n v="18"/>
    <n v="6"/>
    <n v="1022374"/>
    <n v="6134244"/>
    <n v="5472328"/>
    <n v="661916"/>
  </r>
  <r>
    <n v="1538"/>
    <s v="08-09-2023"/>
    <x v="1"/>
    <x v="7"/>
    <x v="0"/>
    <x v="0"/>
    <x v="0"/>
    <x v="2"/>
    <x v="1"/>
    <n v="1.5"/>
    <n v="23"/>
    <n v="1"/>
    <n v="689718"/>
    <n v="689718"/>
    <n v="607566"/>
    <n v="82152"/>
  </r>
  <r>
    <n v="1539"/>
    <s v="26-08-2024"/>
    <x v="0"/>
    <x v="4"/>
    <x v="3"/>
    <x v="4"/>
    <x v="6"/>
    <x v="3"/>
    <x v="2"/>
    <n v="1"/>
    <n v="19"/>
    <n v="8"/>
    <n v="1430110"/>
    <n v="11440880"/>
    <n v="8701321"/>
    <n v="2739559"/>
  </r>
  <r>
    <n v="1540"/>
    <s v="08-08-2024"/>
    <x v="0"/>
    <x v="4"/>
    <x v="0"/>
    <x v="9"/>
    <x v="3"/>
    <x v="7"/>
    <x v="0"/>
    <n v="1.2"/>
    <n v="23"/>
    <n v="8"/>
    <n v="1404594"/>
    <n v="11236752"/>
    <n v="8575511"/>
    <n v="2661241"/>
  </r>
  <r>
    <n v="1541"/>
    <s v="08-09-2024"/>
    <x v="0"/>
    <x v="7"/>
    <x v="3"/>
    <x v="4"/>
    <x v="6"/>
    <x v="9"/>
    <x v="0"/>
    <n v="1"/>
    <n v="20"/>
    <n v="7"/>
    <n v="1250401"/>
    <n v="8752807"/>
    <n v="7261036"/>
    <n v="1491771"/>
  </r>
  <r>
    <n v="1542"/>
    <s v="21-04-2024"/>
    <x v="0"/>
    <x v="9"/>
    <x v="0"/>
    <x v="14"/>
    <x v="1"/>
    <x v="7"/>
    <x v="0"/>
    <n v="1.5"/>
    <n v="22"/>
    <n v="3"/>
    <n v="1150112"/>
    <n v="3450336"/>
    <n v="2826961"/>
    <n v="623375"/>
  </r>
  <r>
    <n v="1543"/>
    <s v="03-11-2024"/>
    <x v="0"/>
    <x v="1"/>
    <x v="0"/>
    <x v="0"/>
    <x v="6"/>
    <x v="2"/>
    <x v="1"/>
    <n v="2"/>
    <n v="23"/>
    <n v="2"/>
    <n v="848120"/>
    <n v="1696240"/>
    <n v="1504141"/>
    <n v="192099"/>
  </r>
  <r>
    <n v="1544"/>
    <s v="20-08-2023"/>
    <x v="1"/>
    <x v="4"/>
    <x v="1"/>
    <x v="11"/>
    <x v="5"/>
    <x v="7"/>
    <x v="0"/>
    <n v="1"/>
    <n v="21"/>
    <n v="4"/>
    <n v="848730"/>
    <n v="3394920"/>
    <n v="2647451"/>
    <n v="747469"/>
  </r>
  <r>
    <n v="1545"/>
    <s v="02-12-2024"/>
    <x v="0"/>
    <x v="5"/>
    <x v="2"/>
    <x v="7"/>
    <x v="1"/>
    <x v="4"/>
    <x v="0"/>
    <n v="1"/>
    <n v="23"/>
    <n v="5"/>
    <n v="846366"/>
    <n v="4231830"/>
    <n v="3667345"/>
    <n v="564485"/>
  </r>
  <r>
    <n v="1546"/>
    <s v="10-05-2024"/>
    <x v="0"/>
    <x v="8"/>
    <x v="0"/>
    <x v="2"/>
    <x v="7"/>
    <x v="1"/>
    <x v="1"/>
    <n v="1"/>
    <n v="19"/>
    <n v="2"/>
    <n v="1252977"/>
    <n v="2505954"/>
    <n v="2192057"/>
    <n v="313897"/>
  </r>
  <r>
    <n v="1547"/>
    <s v="29-04-2023"/>
    <x v="1"/>
    <x v="9"/>
    <x v="1"/>
    <x v="11"/>
    <x v="7"/>
    <x v="9"/>
    <x v="0"/>
    <n v="1.2"/>
    <n v="20"/>
    <n v="8"/>
    <n v="1152814"/>
    <n v="9222512"/>
    <n v="8172688"/>
    <n v="1049824"/>
  </r>
  <r>
    <n v="1548"/>
    <s v="01-04-2023"/>
    <x v="1"/>
    <x v="9"/>
    <x v="2"/>
    <x v="3"/>
    <x v="6"/>
    <x v="9"/>
    <x v="0"/>
    <n v="2"/>
    <n v="19"/>
    <n v="8"/>
    <n v="832851"/>
    <n v="6662808"/>
    <n v="5142756"/>
    <n v="1520052"/>
  </r>
  <r>
    <n v="1549"/>
    <s v="29-04-2024"/>
    <x v="0"/>
    <x v="9"/>
    <x v="2"/>
    <x v="7"/>
    <x v="7"/>
    <x v="3"/>
    <x v="2"/>
    <n v="1.5"/>
    <n v="22"/>
    <n v="1"/>
    <n v="1011352"/>
    <n v="1011352"/>
    <n v="856340"/>
    <n v="155012"/>
  </r>
  <r>
    <n v="1550"/>
    <s v="13-08-2023"/>
    <x v="1"/>
    <x v="4"/>
    <x v="0"/>
    <x v="14"/>
    <x v="5"/>
    <x v="9"/>
    <x v="0"/>
    <n v="1.2"/>
    <n v="18"/>
    <n v="4"/>
    <n v="717310"/>
    <n v="2869240"/>
    <n v="2337615"/>
    <n v="531625"/>
  </r>
  <r>
    <n v="1551"/>
    <s v="05-12-2024"/>
    <x v="0"/>
    <x v="5"/>
    <x v="0"/>
    <x v="0"/>
    <x v="7"/>
    <x v="5"/>
    <x v="2"/>
    <n v="1.5"/>
    <n v="19"/>
    <n v="5"/>
    <n v="608033"/>
    <n v="3040165"/>
    <n v="2459165"/>
    <n v="581000"/>
  </r>
  <r>
    <n v="1552"/>
    <s v="24-08-2024"/>
    <x v="0"/>
    <x v="4"/>
    <x v="2"/>
    <x v="3"/>
    <x v="3"/>
    <x v="8"/>
    <x v="2"/>
    <n v="1.5"/>
    <n v="22"/>
    <n v="4"/>
    <n v="752535"/>
    <n v="3010140"/>
    <n v="2495170"/>
    <n v="514970"/>
  </r>
  <r>
    <n v="1553"/>
    <s v="14-01-2023"/>
    <x v="1"/>
    <x v="6"/>
    <x v="1"/>
    <x v="10"/>
    <x v="6"/>
    <x v="2"/>
    <x v="1"/>
    <n v="1.5"/>
    <n v="21"/>
    <n v="8"/>
    <n v="957362"/>
    <n v="7658896"/>
    <n v="6835686"/>
    <n v="823210"/>
  </r>
  <r>
    <n v="1554"/>
    <s v="26-09-2023"/>
    <x v="1"/>
    <x v="7"/>
    <x v="1"/>
    <x v="11"/>
    <x v="4"/>
    <x v="0"/>
    <x v="0"/>
    <n v="1"/>
    <n v="16"/>
    <n v="2"/>
    <n v="672556"/>
    <n v="1345112"/>
    <n v="1045227"/>
    <n v="299885"/>
  </r>
  <r>
    <n v="1555"/>
    <s v="27-11-2023"/>
    <x v="1"/>
    <x v="1"/>
    <x v="1"/>
    <x v="11"/>
    <x v="5"/>
    <x v="3"/>
    <x v="2"/>
    <n v="1"/>
    <n v="20"/>
    <n v="7"/>
    <n v="774716"/>
    <n v="5423012"/>
    <n v="4088732"/>
    <n v="1334280"/>
  </r>
  <r>
    <n v="1556"/>
    <s v="13-10-2024"/>
    <x v="0"/>
    <x v="10"/>
    <x v="1"/>
    <x v="1"/>
    <x v="6"/>
    <x v="7"/>
    <x v="0"/>
    <n v="1.5"/>
    <n v="21"/>
    <n v="7"/>
    <n v="911706"/>
    <n v="6381942"/>
    <n v="5377156"/>
    <n v="1004786"/>
  </r>
  <r>
    <n v="1557"/>
    <s v="06-02-2023"/>
    <x v="1"/>
    <x v="0"/>
    <x v="2"/>
    <x v="3"/>
    <x v="6"/>
    <x v="3"/>
    <x v="2"/>
    <n v="2"/>
    <n v="19"/>
    <n v="8"/>
    <n v="1250375"/>
    <n v="10003000"/>
    <n v="8146672"/>
    <n v="1856328"/>
  </r>
  <r>
    <n v="1558"/>
    <s v="21-08-2024"/>
    <x v="0"/>
    <x v="4"/>
    <x v="1"/>
    <x v="5"/>
    <x v="7"/>
    <x v="3"/>
    <x v="2"/>
    <n v="1"/>
    <n v="19"/>
    <n v="4"/>
    <n v="1163609"/>
    <n v="4654436"/>
    <n v="3897609"/>
    <n v="756827"/>
  </r>
  <r>
    <n v="1559"/>
    <s v="06-11-2024"/>
    <x v="0"/>
    <x v="1"/>
    <x v="0"/>
    <x v="0"/>
    <x v="1"/>
    <x v="0"/>
    <x v="0"/>
    <n v="1.2"/>
    <n v="20"/>
    <n v="6"/>
    <n v="773344"/>
    <n v="4640064"/>
    <n v="4007899"/>
    <n v="632165"/>
  </r>
  <r>
    <n v="1560"/>
    <s v="15-11-2023"/>
    <x v="1"/>
    <x v="1"/>
    <x v="3"/>
    <x v="8"/>
    <x v="3"/>
    <x v="2"/>
    <x v="1"/>
    <n v="2"/>
    <n v="20"/>
    <n v="2"/>
    <n v="708005"/>
    <n v="1416010"/>
    <n v="1091359"/>
    <n v="324651"/>
  </r>
  <r>
    <n v="1561"/>
    <s v="05-07-2024"/>
    <x v="0"/>
    <x v="11"/>
    <x v="2"/>
    <x v="13"/>
    <x v="2"/>
    <x v="6"/>
    <x v="2"/>
    <n v="1.2"/>
    <n v="21"/>
    <n v="5"/>
    <n v="1044713"/>
    <n v="5223565"/>
    <n v="4423130"/>
    <n v="800435"/>
  </r>
  <r>
    <n v="1562"/>
    <s v="08-10-2023"/>
    <x v="1"/>
    <x v="10"/>
    <x v="1"/>
    <x v="1"/>
    <x v="2"/>
    <x v="5"/>
    <x v="2"/>
    <n v="2"/>
    <n v="22"/>
    <n v="4"/>
    <n v="1264453"/>
    <n v="5057812"/>
    <n v="4479086"/>
    <n v="578726"/>
  </r>
  <r>
    <n v="1563"/>
    <s v="16-03-2023"/>
    <x v="1"/>
    <x v="2"/>
    <x v="0"/>
    <x v="9"/>
    <x v="6"/>
    <x v="7"/>
    <x v="0"/>
    <n v="2"/>
    <n v="18"/>
    <n v="3"/>
    <n v="616035"/>
    <n v="1848105"/>
    <n v="1386224"/>
    <n v="461881"/>
  </r>
  <r>
    <n v="1564"/>
    <s v="11-11-2023"/>
    <x v="1"/>
    <x v="1"/>
    <x v="3"/>
    <x v="12"/>
    <x v="3"/>
    <x v="2"/>
    <x v="1"/>
    <n v="1.2"/>
    <n v="21"/>
    <n v="1"/>
    <n v="790289"/>
    <n v="790289"/>
    <n v="624004"/>
    <n v="166285"/>
  </r>
  <r>
    <n v="1565"/>
    <s v="23-09-2024"/>
    <x v="0"/>
    <x v="7"/>
    <x v="0"/>
    <x v="9"/>
    <x v="4"/>
    <x v="4"/>
    <x v="0"/>
    <n v="1"/>
    <n v="19"/>
    <n v="6"/>
    <n v="634495"/>
    <n v="3806970"/>
    <n v="3085300"/>
    <n v="721670"/>
  </r>
  <r>
    <n v="1566"/>
    <s v="07-09-2023"/>
    <x v="1"/>
    <x v="7"/>
    <x v="2"/>
    <x v="3"/>
    <x v="5"/>
    <x v="7"/>
    <x v="0"/>
    <n v="1.2"/>
    <n v="16"/>
    <n v="1"/>
    <n v="1257677"/>
    <n v="1257677"/>
    <n v="973531"/>
    <n v="284146"/>
  </r>
  <r>
    <n v="1567"/>
    <s v="24-03-2024"/>
    <x v="0"/>
    <x v="2"/>
    <x v="2"/>
    <x v="7"/>
    <x v="4"/>
    <x v="5"/>
    <x v="2"/>
    <n v="1"/>
    <n v="18"/>
    <n v="4"/>
    <n v="1039722"/>
    <n v="4158888"/>
    <n v="3410317"/>
    <n v="748571"/>
  </r>
  <r>
    <n v="1568"/>
    <s v="25-11-2023"/>
    <x v="1"/>
    <x v="1"/>
    <x v="2"/>
    <x v="13"/>
    <x v="6"/>
    <x v="5"/>
    <x v="2"/>
    <n v="1.2"/>
    <n v="23"/>
    <n v="5"/>
    <n v="850578"/>
    <n v="4252890"/>
    <n v="3573086"/>
    <n v="679804"/>
  </r>
  <r>
    <n v="1569"/>
    <s v="17-05-2023"/>
    <x v="1"/>
    <x v="8"/>
    <x v="1"/>
    <x v="1"/>
    <x v="3"/>
    <x v="6"/>
    <x v="2"/>
    <n v="2"/>
    <n v="22"/>
    <n v="6"/>
    <n v="1095387"/>
    <n v="6572322"/>
    <n v="5510372"/>
    <n v="1061950"/>
  </r>
  <r>
    <n v="1570"/>
    <s v="19-09-2023"/>
    <x v="1"/>
    <x v="7"/>
    <x v="2"/>
    <x v="3"/>
    <x v="7"/>
    <x v="4"/>
    <x v="0"/>
    <n v="1.5"/>
    <n v="20"/>
    <n v="6"/>
    <n v="1202632"/>
    <n v="7215792"/>
    <n v="5955638"/>
    <n v="1260154"/>
  </r>
  <r>
    <n v="1571"/>
    <s v="13-04-2023"/>
    <x v="1"/>
    <x v="9"/>
    <x v="3"/>
    <x v="4"/>
    <x v="3"/>
    <x v="6"/>
    <x v="2"/>
    <n v="2"/>
    <n v="19"/>
    <n v="3"/>
    <n v="1470589"/>
    <n v="4411767"/>
    <n v="3935113"/>
    <n v="476654"/>
  </r>
  <r>
    <n v="1572"/>
    <s v="19-07-2024"/>
    <x v="0"/>
    <x v="11"/>
    <x v="1"/>
    <x v="1"/>
    <x v="5"/>
    <x v="6"/>
    <x v="2"/>
    <n v="1.2"/>
    <n v="19"/>
    <n v="7"/>
    <n v="1149326"/>
    <n v="8045282"/>
    <n v="6391521"/>
    <n v="1653761"/>
  </r>
  <r>
    <n v="1573"/>
    <s v="30-11-2023"/>
    <x v="1"/>
    <x v="1"/>
    <x v="1"/>
    <x v="10"/>
    <x v="1"/>
    <x v="8"/>
    <x v="2"/>
    <n v="1"/>
    <n v="23"/>
    <n v="5"/>
    <n v="724606"/>
    <n v="3623030"/>
    <n v="2734430"/>
    <n v="888600"/>
  </r>
  <r>
    <n v="1574"/>
    <s v="28-07-2023"/>
    <x v="1"/>
    <x v="11"/>
    <x v="0"/>
    <x v="14"/>
    <x v="5"/>
    <x v="2"/>
    <x v="1"/>
    <n v="1.5"/>
    <n v="21"/>
    <n v="3"/>
    <n v="720130"/>
    <n v="2160390"/>
    <n v="1930417"/>
    <n v="229973"/>
  </r>
  <r>
    <n v="1575"/>
    <s v="04-02-2024"/>
    <x v="0"/>
    <x v="0"/>
    <x v="1"/>
    <x v="5"/>
    <x v="0"/>
    <x v="2"/>
    <x v="1"/>
    <n v="2"/>
    <n v="18"/>
    <n v="6"/>
    <n v="839719"/>
    <n v="5038314"/>
    <n v="4150652"/>
    <n v="887662"/>
  </r>
  <r>
    <n v="1576"/>
    <s v="24-05-2024"/>
    <x v="0"/>
    <x v="8"/>
    <x v="2"/>
    <x v="13"/>
    <x v="2"/>
    <x v="0"/>
    <x v="0"/>
    <n v="1.2"/>
    <n v="22"/>
    <n v="6"/>
    <n v="742534"/>
    <n v="4455204"/>
    <n v="3739821"/>
    <n v="715383"/>
  </r>
  <r>
    <n v="1577"/>
    <s v="20-06-2024"/>
    <x v="0"/>
    <x v="3"/>
    <x v="0"/>
    <x v="0"/>
    <x v="1"/>
    <x v="0"/>
    <x v="0"/>
    <n v="1"/>
    <n v="16"/>
    <n v="5"/>
    <n v="868513"/>
    <n v="4342565"/>
    <n v="3785533"/>
    <n v="557032"/>
  </r>
  <r>
    <n v="1578"/>
    <s v="13-02-2023"/>
    <x v="1"/>
    <x v="0"/>
    <x v="2"/>
    <x v="15"/>
    <x v="0"/>
    <x v="6"/>
    <x v="2"/>
    <n v="2"/>
    <n v="23"/>
    <n v="5"/>
    <n v="664301"/>
    <n v="3321505"/>
    <n v="2667420"/>
    <n v="654085"/>
  </r>
  <r>
    <n v="1579"/>
    <s v="14-09-2023"/>
    <x v="1"/>
    <x v="7"/>
    <x v="2"/>
    <x v="3"/>
    <x v="1"/>
    <x v="7"/>
    <x v="0"/>
    <n v="1.2"/>
    <n v="19"/>
    <n v="3"/>
    <n v="825639"/>
    <n v="2476917"/>
    <n v="1948932"/>
    <n v="527985"/>
  </r>
  <r>
    <n v="1580"/>
    <s v="03-12-2024"/>
    <x v="0"/>
    <x v="5"/>
    <x v="0"/>
    <x v="9"/>
    <x v="6"/>
    <x v="7"/>
    <x v="0"/>
    <n v="2"/>
    <n v="16"/>
    <n v="7"/>
    <n v="1103073"/>
    <n v="7721511"/>
    <n v="6558642"/>
    <n v="1162869"/>
  </r>
  <r>
    <n v="1581"/>
    <s v="23-05-2023"/>
    <x v="1"/>
    <x v="8"/>
    <x v="1"/>
    <x v="11"/>
    <x v="4"/>
    <x v="9"/>
    <x v="0"/>
    <n v="1.2"/>
    <n v="20"/>
    <n v="4"/>
    <n v="1124337"/>
    <n v="4497348"/>
    <n v="3858345"/>
    <n v="639003"/>
  </r>
  <r>
    <n v="1582"/>
    <s v="26-01-2024"/>
    <x v="0"/>
    <x v="6"/>
    <x v="3"/>
    <x v="12"/>
    <x v="0"/>
    <x v="5"/>
    <x v="2"/>
    <n v="1"/>
    <n v="19"/>
    <n v="2"/>
    <n v="769309"/>
    <n v="1538618"/>
    <n v="1325195"/>
    <n v="213423"/>
  </r>
  <r>
    <n v="1583"/>
    <s v="30-07-2023"/>
    <x v="1"/>
    <x v="11"/>
    <x v="1"/>
    <x v="5"/>
    <x v="6"/>
    <x v="4"/>
    <x v="0"/>
    <n v="1.5"/>
    <n v="16"/>
    <n v="1"/>
    <n v="1149474"/>
    <n v="1149474"/>
    <n v="883992"/>
    <n v="265482"/>
  </r>
  <r>
    <n v="1584"/>
    <s v="09-10-2024"/>
    <x v="0"/>
    <x v="10"/>
    <x v="0"/>
    <x v="2"/>
    <x v="3"/>
    <x v="7"/>
    <x v="0"/>
    <n v="2"/>
    <n v="21"/>
    <n v="6"/>
    <n v="649577"/>
    <n v="3897462"/>
    <n v="3155296"/>
    <n v="742166"/>
  </r>
  <r>
    <n v="1585"/>
    <s v="28-10-2024"/>
    <x v="0"/>
    <x v="10"/>
    <x v="1"/>
    <x v="11"/>
    <x v="4"/>
    <x v="5"/>
    <x v="2"/>
    <n v="2"/>
    <n v="16"/>
    <n v="4"/>
    <n v="814504"/>
    <n v="3258016"/>
    <n v="2506766"/>
    <n v="751250"/>
  </r>
  <r>
    <n v="1586"/>
    <s v="06-08-2024"/>
    <x v="0"/>
    <x v="4"/>
    <x v="2"/>
    <x v="13"/>
    <x v="7"/>
    <x v="4"/>
    <x v="0"/>
    <n v="2"/>
    <n v="23"/>
    <n v="5"/>
    <n v="1173269"/>
    <n v="5866345"/>
    <n v="5208125"/>
    <n v="658220"/>
  </r>
  <r>
    <n v="1587"/>
    <s v="16-02-2023"/>
    <x v="1"/>
    <x v="0"/>
    <x v="1"/>
    <x v="10"/>
    <x v="3"/>
    <x v="3"/>
    <x v="2"/>
    <n v="2"/>
    <n v="18"/>
    <n v="3"/>
    <n v="1241976"/>
    <n v="3725928"/>
    <n v="3325341"/>
    <n v="400587"/>
  </r>
  <r>
    <n v="1588"/>
    <s v="23-04-2023"/>
    <x v="1"/>
    <x v="9"/>
    <x v="3"/>
    <x v="6"/>
    <x v="4"/>
    <x v="3"/>
    <x v="2"/>
    <n v="1.5"/>
    <n v="23"/>
    <n v="6"/>
    <n v="1221001"/>
    <n v="7326006"/>
    <n v="6391818"/>
    <n v="934188"/>
  </r>
  <r>
    <n v="1589"/>
    <s v="30-12-2024"/>
    <x v="0"/>
    <x v="5"/>
    <x v="3"/>
    <x v="4"/>
    <x v="0"/>
    <x v="2"/>
    <x v="1"/>
    <n v="1.5"/>
    <n v="20"/>
    <n v="4"/>
    <n v="1415392"/>
    <n v="5661568"/>
    <n v="4731161"/>
    <n v="930407"/>
  </r>
  <r>
    <n v="1590"/>
    <s v="12-01-2023"/>
    <x v="1"/>
    <x v="6"/>
    <x v="2"/>
    <x v="3"/>
    <x v="7"/>
    <x v="8"/>
    <x v="2"/>
    <n v="1"/>
    <n v="21"/>
    <n v="4"/>
    <n v="1092887"/>
    <n v="4371548"/>
    <n v="3653592"/>
    <n v="717956"/>
  </r>
  <r>
    <n v="1591"/>
    <s v="13-08-2024"/>
    <x v="0"/>
    <x v="4"/>
    <x v="1"/>
    <x v="10"/>
    <x v="6"/>
    <x v="4"/>
    <x v="0"/>
    <n v="1.5"/>
    <n v="23"/>
    <n v="1"/>
    <n v="1003801"/>
    <n v="1003801"/>
    <n v="885241"/>
    <n v="118560"/>
  </r>
  <r>
    <n v="1592"/>
    <s v="05-02-2023"/>
    <x v="1"/>
    <x v="0"/>
    <x v="2"/>
    <x v="13"/>
    <x v="7"/>
    <x v="4"/>
    <x v="0"/>
    <n v="1.2"/>
    <n v="21"/>
    <n v="6"/>
    <n v="1456744"/>
    <n v="8740464"/>
    <n v="6893214"/>
    <n v="1847250"/>
  </r>
  <r>
    <n v="1593"/>
    <s v="20-01-2024"/>
    <x v="0"/>
    <x v="6"/>
    <x v="0"/>
    <x v="0"/>
    <x v="4"/>
    <x v="6"/>
    <x v="2"/>
    <n v="1.5"/>
    <n v="16"/>
    <n v="7"/>
    <n v="1076534"/>
    <n v="7535738"/>
    <n v="6091484"/>
    <n v="1444254"/>
  </r>
  <r>
    <n v="1594"/>
    <s v="04-05-2023"/>
    <x v="1"/>
    <x v="8"/>
    <x v="1"/>
    <x v="5"/>
    <x v="6"/>
    <x v="1"/>
    <x v="1"/>
    <n v="1.5"/>
    <n v="16"/>
    <n v="8"/>
    <n v="940078"/>
    <n v="7520624"/>
    <n v="6519230"/>
    <n v="1001394"/>
  </r>
  <r>
    <n v="1595"/>
    <s v="28-02-2023"/>
    <x v="1"/>
    <x v="0"/>
    <x v="3"/>
    <x v="12"/>
    <x v="1"/>
    <x v="1"/>
    <x v="1"/>
    <n v="1.2"/>
    <n v="19"/>
    <n v="5"/>
    <n v="1289167"/>
    <n v="6445835"/>
    <n v="5521946"/>
    <n v="923889"/>
  </r>
  <r>
    <n v="1596"/>
    <s v="25-02-2024"/>
    <x v="0"/>
    <x v="0"/>
    <x v="2"/>
    <x v="13"/>
    <x v="1"/>
    <x v="6"/>
    <x v="2"/>
    <n v="2"/>
    <n v="21"/>
    <n v="6"/>
    <n v="1003424"/>
    <n v="6020544"/>
    <n v="5326625"/>
    <n v="693919"/>
  </r>
  <r>
    <n v="1597"/>
    <s v="15-05-2023"/>
    <x v="1"/>
    <x v="8"/>
    <x v="2"/>
    <x v="15"/>
    <x v="6"/>
    <x v="6"/>
    <x v="2"/>
    <n v="2"/>
    <n v="21"/>
    <n v="1"/>
    <n v="1228654"/>
    <n v="1228654"/>
    <n v="969056"/>
    <n v="259598"/>
  </r>
  <r>
    <n v="1598"/>
    <s v="12-08-2023"/>
    <x v="1"/>
    <x v="4"/>
    <x v="1"/>
    <x v="10"/>
    <x v="0"/>
    <x v="8"/>
    <x v="2"/>
    <n v="1.2"/>
    <n v="21"/>
    <n v="3"/>
    <n v="1483702"/>
    <n v="4451106"/>
    <n v="3627812"/>
    <n v="823294"/>
  </r>
  <r>
    <n v="1599"/>
    <s v="11-12-2023"/>
    <x v="1"/>
    <x v="5"/>
    <x v="2"/>
    <x v="3"/>
    <x v="1"/>
    <x v="1"/>
    <x v="1"/>
    <n v="2"/>
    <n v="20"/>
    <n v="1"/>
    <n v="1352488"/>
    <n v="1352488"/>
    <n v="1181991"/>
    <n v="170497"/>
  </r>
  <r>
    <n v="1600"/>
    <s v="23-01-2024"/>
    <x v="0"/>
    <x v="6"/>
    <x v="0"/>
    <x v="9"/>
    <x v="3"/>
    <x v="3"/>
    <x v="2"/>
    <n v="2"/>
    <n v="19"/>
    <n v="3"/>
    <n v="1098958"/>
    <n v="3296874"/>
    <n v="2853440"/>
    <n v="443434"/>
  </r>
  <r>
    <n v="1601"/>
    <s v="07-04-2023"/>
    <x v="1"/>
    <x v="9"/>
    <x v="1"/>
    <x v="5"/>
    <x v="2"/>
    <x v="0"/>
    <x v="0"/>
    <n v="2"/>
    <n v="21"/>
    <n v="7"/>
    <n v="1007161"/>
    <n v="7050127"/>
    <n v="5559489"/>
    <n v="1490638"/>
  </r>
  <r>
    <n v="1602"/>
    <s v="11-11-2023"/>
    <x v="1"/>
    <x v="1"/>
    <x v="3"/>
    <x v="4"/>
    <x v="4"/>
    <x v="8"/>
    <x v="2"/>
    <n v="1"/>
    <n v="19"/>
    <n v="6"/>
    <n v="1187152"/>
    <n v="7122912"/>
    <n v="6220297"/>
    <n v="902615"/>
  </r>
  <r>
    <n v="1603"/>
    <s v="19-09-2023"/>
    <x v="1"/>
    <x v="7"/>
    <x v="0"/>
    <x v="2"/>
    <x v="6"/>
    <x v="8"/>
    <x v="2"/>
    <n v="1.5"/>
    <n v="16"/>
    <n v="1"/>
    <n v="1032309"/>
    <n v="1032309"/>
    <n v="802038"/>
    <n v="230271"/>
  </r>
  <r>
    <n v="1604"/>
    <s v="21-07-2024"/>
    <x v="0"/>
    <x v="11"/>
    <x v="0"/>
    <x v="2"/>
    <x v="0"/>
    <x v="0"/>
    <x v="0"/>
    <n v="1.2"/>
    <n v="18"/>
    <n v="2"/>
    <n v="959075"/>
    <n v="1918150"/>
    <n v="1554201"/>
    <n v="363949"/>
  </r>
  <r>
    <n v="1605"/>
    <s v="12-12-2023"/>
    <x v="1"/>
    <x v="5"/>
    <x v="2"/>
    <x v="7"/>
    <x v="7"/>
    <x v="2"/>
    <x v="1"/>
    <n v="1.5"/>
    <n v="19"/>
    <n v="7"/>
    <n v="1356081"/>
    <n v="9492567"/>
    <n v="7743926"/>
    <n v="1748641"/>
  </r>
  <r>
    <n v="1606"/>
    <s v="08-04-2024"/>
    <x v="0"/>
    <x v="9"/>
    <x v="1"/>
    <x v="11"/>
    <x v="6"/>
    <x v="5"/>
    <x v="2"/>
    <n v="1.5"/>
    <n v="19"/>
    <n v="1"/>
    <n v="680314"/>
    <n v="680314"/>
    <n v="523524"/>
    <n v="156790"/>
  </r>
  <r>
    <n v="1607"/>
    <s v="20-09-2024"/>
    <x v="0"/>
    <x v="7"/>
    <x v="3"/>
    <x v="8"/>
    <x v="7"/>
    <x v="6"/>
    <x v="2"/>
    <n v="1.5"/>
    <n v="19"/>
    <n v="4"/>
    <n v="635551"/>
    <n v="2542204"/>
    <n v="2172817"/>
    <n v="369387"/>
  </r>
  <r>
    <n v="1608"/>
    <s v="13-06-2024"/>
    <x v="0"/>
    <x v="3"/>
    <x v="3"/>
    <x v="12"/>
    <x v="1"/>
    <x v="2"/>
    <x v="1"/>
    <n v="2"/>
    <n v="19"/>
    <n v="8"/>
    <n v="1423997"/>
    <n v="11391976"/>
    <n v="10029354"/>
    <n v="1362622"/>
  </r>
  <r>
    <n v="1609"/>
    <s v="16-06-2023"/>
    <x v="1"/>
    <x v="3"/>
    <x v="0"/>
    <x v="0"/>
    <x v="7"/>
    <x v="6"/>
    <x v="2"/>
    <n v="1"/>
    <n v="19"/>
    <n v="5"/>
    <n v="824504"/>
    <n v="4122520"/>
    <n v="3353417"/>
    <n v="769103"/>
  </r>
  <r>
    <n v="1610"/>
    <s v="01-10-2023"/>
    <x v="1"/>
    <x v="10"/>
    <x v="1"/>
    <x v="10"/>
    <x v="5"/>
    <x v="0"/>
    <x v="0"/>
    <n v="1"/>
    <n v="16"/>
    <n v="5"/>
    <n v="918938"/>
    <n v="4594690"/>
    <n v="3517595"/>
    <n v="1077095"/>
  </r>
  <r>
    <n v="1611"/>
    <s v="28-06-2024"/>
    <x v="0"/>
    <x v="3"/>
    <x v="3"/>
    <x v="4"/>
    <x v="4"/>
    <x v="9"/>
    <x v="0"/>
    <n v="2"/>
    <n v="19"/>
    <n v="6"/>
    <n v="690592"/>
    <n v="4143552"/>
    <n v="3608341"/>
    <n v="535211"/>
  </r>
  <r>
    <n v="1612"/>
    <s v="29-02-2024"/>
    <x v="0"/>
    <x v="0"/>
    <x v="0"/>
    <x v="2"/>
    <x v="6"/>
    <x v="3"/>
    <x v="2"/>
    <n v="1.2"/>
    <n v="22"/>
    <n v="1"/>
    <n v="1444060"/>
    <n v="1444060"/>
    <n v="1222212"/>
    <n v="221848"/>
  </r>
  <r>
    <n v="1613"/>
    <s v="18-12-2023"/>
    <x v="1"/>
    <x v="5"/>
    <x v="3"/>
    <x v="4"/>
    <x v="5"/>
    <x v="7"/>
    <x v="0"/>
    <n v="1.5"/>
    <n v="19"/>
    <n v="2"/>
    <n v="1028921"/>
    <n v="2057842"/>
    <n v="1678970"/>
    <n v="378872"/>
  </r>
  <r>
    <n v="1614"/>
    <s v="10-12-2023"/>
    <x v="1"/>
    <x v="5"/>
    <x v="0"/>
    <x v="2"/>
    <x v="6"/>
    <x v="5"/>
    <x v="2"/>
    <n v="1"/>
    <n v="16"/>
    <n v="1"/>
    <n v="1302684"/>
    <n v="1302684"/>
    <n v="1103517"/>
    <n v="199167"/>
  </r>
  <r>
    <n v="1615"/>
    <s v="05-11-2023"/>
    <x v="1"/>
    <x v="1"/>
    <x v="0"/>
    <x v="0"/>
    <x v="7"/>
    <x v="8"/>
    <x v="2"/>
    <n v="1"/>
    <n v="22"/>
    <n v="5"/>
    <n v="1259378"/>
    <n v="6296890"/>
    <n v="4790322"/>
    <n v="1506568"/>
  </r>
  <r>
    <n v="1616"/>
    <s v="03-01-2023"/>
    <x v="1"/>
    <x v="6"/>
    <x v="3"/>
    <x v="12"/>
    <x v="0"/>
    <x v="0"/>
    <x v="0"/>
    <n v="2"/>
    <n v="23"/>
    <n v="8"/>
    <n v="1419251"/>
    <n v="11354008"/>
    <n v="9227120"/>
    <n v="2126888"/>
  </r>
  <r>
    <n v="1617"/>
    <s v="15-05-2024"/>
    <x v="0"/>
    <x v="8"/>
    <x v="0"/>
    <x v="2"/>
    <x v="3"/>
    <x v="7"/>
    <x v="0"/>
    <n v="1.2"/>
    <n v="22"/>
    <n v="8"/>
    <n v="1336250"/>
    <n v="10690000"/>
    <n v="9006245"/>
    <n v="1683755"/>
  </r>
  <r>
    <n v="1618"/>
    <s v="17-06-2023"/>
    <x v="1"/>
    <x v="3"/>
    <x v="2"/>
    <x v="15"/>
    <x v="1"/>
    <x v="7"/>
    <x v="0"/>
    <n v="2"/>
    <n v="16"/>
    <n v="5"/>
    <n v="1150143"/>
    <n v="5750715"/>
    <n v="4944735"/>
    <n v="805980"/>
  </r>
  <r>
    <n v="1619"/>
    <s v="30-01-2023"/>
    <x v="1"/>
    <x v="6"/>
    <x v="2"/>
    <x v="7"/>
    <x v="3"/>
    <x v="5"/>
    <x v="2"/>
    <n v="2"/>
    <n v="16"/>
    <n v="8"/>
    <n v="1048645"/>
    <n v="8389160"/>
    <n v="6943464"/>
    <n v="1445696"/>
  </r>
  <r>
    <n v="1620"/>
    <s v="02-03-2023"/>
    <x v="1"/>
    <x v="2"/>
    <x v="2"/>
    <x v="3"/>
    <x v="1"/>
    <x v="9"/>
    <x v="0"/>
    <n v="2"/>
    <n v="18"/>
    <n v="8"/>
    <n v="1250394"/>
    <n v="10003152"/>
    <n v="8426773"/>
    <n v="1576379"/>
  </r>
  <r>
    <n v="1621"/>
    <s v="24-04-2024"/>
    <x v="0"/>
    <x v="9"/>
    <x v="0"/>
    <x v="2"/>
    <x v="7"/>
    <x v="4"/>
    <x v="0"/>
    <n v="1"/>
    <n v="19"/>
    <n v="5"/>
    <n v="1032857"/>
    <n v="5164285"/>
    <n v="4166493"/>
    <n v="997792"/>
  </r>
  <r>
    <n v="1622"/>
    <s v="15-05-2023"/>
    <x v="1"/>
    <x v="8"/>
    <x v="3"/>
    <x v="12"/>
    <x v="7"/>
    <x v="0"/>
    <x v="0"/>
    <n v="2"/>
    <n v="22"/>
    <n v="6"/>
    <n v="1362255"/>
    <n v="8173530"/>
    <n v="7123319"/>
    <n v="1050211"/>
  </r>
  <r>
    <n v="1623"/>
    <s v="05-02-2023"/>
    <x v="1"/>
    <x v="0"/>
    <x v="0"/>
    <x v="14"/>
    <x v="2"/>
    <x v="0"/>
    <x v="0"/>
    <n v="1"/>
    <n v="23"/>
    <n v="6"/>
    <n v="614475"/>
    <n v="3686850"/>
    <n v="3055184"/>
    <n v="631666"/>
  </r>
  <r>
    <n v="1624"/>
    <s v="15-05-2024"/>
    <x v="0"/>
    <x v="8"/>
    <x v="1"/>
    <x v="10"/>
    <x v="5"/>
    <x v="9"/>
    <x v="0"/>
    <n v="1.2"/>
    <n v="23"/>
    <n v="3"/>
    <n v="1473142"/>
    <n v="4419426"/>
    <n v="3651291"/>
    <n v="768135"/>
  </r>
  <r>
    <n v="1625"/>
    <s v="05-02-2023"/>
    <x v="1"/>
    <x v="0"/>
    <x v="2"/>
    <x v="7"/>
    <x v="0"/>
    <x v="2"/>
    <x v="1"/>
    <n v="2"/>
    <n v="18"/>
    <n v="6"/>
    <n v="696181"/>
    <n v="4177086"/>
    <n v="3169920"/>
    <n v="1007166"/>
  </r>
  <r>
    <n v="1626"/>
    <s v="09-11-2023"/>
    <x v="1"/>
    <x v="1"/>
    <x v="1"/>
    <x v="10"/>
    <x v="5"/>
    <x v="2"/>
    <x v="1"/>
    <n v="2"/>
    <n v="23"/>
    <n v="3"/>
    <n v="773412"/>
    <n v="2320236"/>
    <n v="2027944"/>
    <n v="292292"/>
  </r>
  <r>
    <n v="1627"/>
    <s v="07-04-2023"/>
    <x v="1"/>
    <x v="9"/>
    <x v="1"/>
    <x v="11"/>
    <x v="2"/>
    <x v="7"/>
    <x v="0"/>
    <n v="2"/>
    <n v="20"/>
    <n v="6"/>
    <n v="1460313"/>
    <n v="8761878"/>
    <n v="7829114"/>
    <n v="932764"/>
  </r>
  <r>
    <n v="1628"/>
    <s v="15-08-2023"/>
    <x v="1"/>
    <x v="4"/>
    <x v="2"/>
    <x v="13"/>
    <x v="7"/>
    <x v="5"/>
    <x v="2"/>
    <n v="1.2"/>
    <n v="23"/>
    <n v="8"/>
    <n v="1183874"/>
    <n v="9470992"/>
    <n v="8142133"/>
    <n v="1328859"/>
  </r>
  <r>
    <n v="1629"/>
    <s v="06-03-2024"/>
    <x v="0"/>
    <x v="2"/>
    <x v="1"/>
    <x v="1"/>
    <x v="1"/>
    <x v="6"/>
    <x v="2"/>
    <n v="1.2"/>
    <n v="22"/>
    <n v="2"/>
    <n v="903449"/>
    <n v="1806898"/>
    <n v="1448893"/>
    <n v="358005"/>
  </r>
  <r>
    <n v="1630"/>
    <s v="20-06-2023"/>
    <x v="1"/>
    <x v="3"/>
    <x v="3"/>
    <x v="6"/>
    <x v="1"/>
    <x v="8"/>
    <x v="2"/>
    <n v="1"/>
    <n v="23"/>
    <n v="6"/>
    <n v="607602"/>
    <n v="3645612"/>
    <n v="2951295"/>
    <n v="694317"/>
  </r>
  <r>
    <n v="1631"/>
    <s v="20-08-2023"/>
    <x v="1"/>
    <x v="4"/>
    <x v="0"/>
    <x v="9"/>
    <x v="1"/>
    <x v="0"/>
    <x v="0"/>
    <n v="1"/>
    <n v="23"/>
    <n v="4"/>
    <n v="1461121"/>
    <n v="5844484"/>
    <n v="4445298"/>
    <n v="1399186"/>
  </r>
  <r>
    <n v="1632"/>
    <s v="04-10-2024"/>
    <x v="0"/>
    <x v="10"/>
    <x v="0"/>
    <x v="0"/>
    <x v="7"/>
    <x v="7"/>
    <x v="0"/>
    <n v="1.5"/>
    <n v="19"/>
    <n v="8"/>
    <n v="1431683"/>
    <n v="11453464"/>
    <n v="8681688"/>
    <n v="2771776"/>
  </r>
  <r>
    <n v="1633"/>
    <s v="18-02-2023"/>
    <x v="1"/>
    <x v="0"/>
    <x v="2"/>
    <x v="3"/>
    <x v="3"/>
    <x v="0"/>
    <x v="0"/>
    <n v="1.5"/>
    <n v="23"/>
    <n v="4"/>
    <n v="753261"/>
    <n v="3013044"/>
    <n v="2348197"/>
    <n v="664847"/>
  </r>
  <r>
    <n v="1634"/>
    <s v="19-08-2023"/>
    <x v="1"/>
    <x v="4"/>
    <x v="2"/>
    <x v="7"/>
    <x v="2"/>
    <x v="4"/>
    <x v="0"/>
    <n v="2"/>
    <n v="23"/>
    <n v="7"/>
    <n v="735390"/>
    <n v="5147730"/>
    <n v="4418161"/>
    <n v="729569"/>
  </r>
  <r>
    <n v="1635"/>
    <s v="03-11-2023"/>
    <x v="1"/>
    <x v="1"/>
    <x v="3"/>
    <x v="6"/>
    <x v="3"/>
    <x v="9"/>
    <x v="0"/>
    <n v="1.2"/>
    <n v="20"/>
    <n v="3"/>
    <n v="1315930"/>
    <n v="3947790"/>
    <n v="3499008"/>
    <n v="448782"/>
  </r>
  <r>
    <n v="1636"/>
    <s v="14-10-2024"/>
    <x v="0"/>
    <x v="10"/>
    <x v="3"/>
    <x v="6"/>
    <x v="6"/>
    <x v="6"/>
    <x v="2"/>
    <n v="1.5"/>
    <n v="18"/>
    <n v="3"/>
    <n v="920294"/>
    <n v="2760882"/>
    <n v="2098404"/>
    <n v="662478"/>
  </r>
  <r>
    <n v="1637"/>
    <s v="02-10-2024"/>
    <x v="0"/>
    <x v="10"/>
    <x v="0"/>
    <x v="14"/>
    <x v="6"/>
    <x v="3"/>
    <x v="2"/>
    <n v="1.5"/>
    <n v="18"/>
    <n v="8"/>
    <n v="1288512"/>
    <n v="10308096"/>
    <n v="7753302"/>
    <n v="2554794"/>
  </r>
  <r>
    <n v="1638"/>
    <s v="18-06-2024"/>
    <x v="0"/>
    <x v="3"/>
    <x v="1"/>
    <x v="11"/>
    <x v="2"/>
    <x v="5"/>
    <x v="2"/>
    <n v="2"/>
    <n v="16"/>
    <n v="6"/>
    <n v="1159017"/>
    <n v="6954102"/>
    <n v="6252547"/>
    <n v="701555"/>
  </r>
  <r>
    <n v="1639"/>
    <s v="26-02-2024"/>
    <x v="0"/>
    <x v="0"/>
    <x v="3"/>
    <x v="12"/>
    <x v="6"/>
    <x v="0"/>
    <x v="0"/>
    <n v="1.5"/>
    <n v="23"/>
    <n v="5"/>
    <n v="859282"/>
    <n v="4296410"/>
    <n v="3361292"/>
    <n v="935118"/>
  </r>
  <r>
    <n v="1640"/>
    <s v="09-04-2023"/>
    <x v="1"/>
    <x v="9"/>
    <x v="2"/>
    <x v="7"/>
    <x v="6"/>
    <x v="4"/>
    <x v="0"/>
    <n v="2"/>
    <n v="22"/>
    <n v="4"/>
    <n v="1430283"/>
    <n v="5721132"/>
    <n v="4694064"/>
    <n v="1027068"/>
  </r>
  <r>
    <n v="1641"/>
    <s v="01-10-2023"/>
    <x v="1"/>
    <x v="10"/>
    <x v="0"/>
    <x v="9"/>
    <x v="0"/>
    <x v="5"/>
    <x v="2"/>
    <n v="1.2"/>
    <n v="23"/>
    <n v="7"/>
    <n v="1086409"/>
    <n v="7604863"/>
    <n v="6556682"/>
    <n v="1048181"/>
  </r>
  <r>
    <n v="1642"/>
    <s v="27-12-2023"/>
    <x v="1"/>
    <x v="5"/>
    <x v="3"/>
    <x v="6"/>
    <x v="4"/>
    <x v="0"/>
    <x v="0"/>
    <n v="1"/>
    <n v="18"/>
    <n v="1"/>
    <n v="1122555"/>
    <n v="1122555"/>
    <n v="936893"/>
    <n v="185662"/>
  </r>
  <r>
    <n v="1643"/>
    <s v="25-04-2023"/>
    <x v="1"/>
    <x v="9"/>
    <x v="2"/>
    <x v="15"/>
    <x v="7"/>
    <x v="2"/>
    <x v="1"/>
    <n v="1.2"/>
    <n v="20"/>
    <n v="4"/>
    <n v="679339"/>
    <n v="2717356"/>
    <n v="2295967"/>
    <n v="421389"/>
  </r>
  <r>
    <n v="1644"/>
    <s v="16-01-2023"/>
    <x v="1"/>
    <x v="6"/>
    <x v="0"/>
    <x v="0"/>
    <x v="2"/>
    <x v="3"/>
    <x v="2"/>
    <n v="1.2"/>
    <n v="18"/>
    <n v="7"/>
    <n v="922338"/>
    <n v="6456366"/>
    <n v="5760557"/>
    <n v="695809"/>
  </r>
  <r>
    <n v="1645"/>
    <s v="07-11-2024"/>
    <x v="0"/>
    <x v="1"/>
    <x v="2"/>
    <x v="7"/>
    <x v="5"/>
    <x v="2"/>
    <x v="1"/>
    <n v="1.5"/>
    <n v="16"/>
    <n v="2"/>
    <n v="622447"/>
    <n v="1244894"/>
    <n v="1011353"/>
    <n v="233541"/>
  </r>
  <r>
    <n v="1646"/>
    <s v="25-09-2024"/>
    <x v="0"/>
    <x v="7"/>
    <x v="2"/>
    <x v="7"/>
    <x v="5"/>
    <x v="9"/>
    <x v="0"/>
    <n v="2"/>
    <n v="19"/>
    <n v="3"/>
    <n v="1134144"/>
    <n v="3402432"/>
    <n v="2673166"/>
    <n v="729266"/>
  </r>
  <r>
    <n v="1647"/>
    <s v="10-04-2023"/>
    <x v="1"/>
    <x v="9"/>
    <x v="3"/>
    <x v="4"/>
    <x v="1"/>
    <x v="6"/>
    <x v="2"/>
    <n v="1"/>
    <n v="16"/>
    <n v="8"/>
    <n v="1403068"/>
    <n v="11224544"/>
    <n v="8867431"/>
    <n v="2357113"/>
  </r>
  <r>
    <n v="1648"/>
    <s v="13-03-2023"/>
    <x v="1"/>
    <x v="2"/>
    <x v="2"/>
    <x v="7"/>
    <x v="5"/>
    <x v="5"/>
    <x v="2"/>
    <n v="1.2"/>
    <n v="22"/>
    <n v="5"/>
    <n v="1096217"/>
    <n v="5481085"/>
    <n v="4126314"/>
    <n v="1354771"/>
  </r>
  <r>
    <n v="1649"/>
    <s v="06-07-2023"/>
    <x v="1"/>
    <x v="11"/>
    <x v="3"/>
    <x v="6"/>
    <x v="3"/>
    <x v="8"/>
    <x v="2"/>
    <n v="1.2"/>
    <n v="22"/>
    <n v="6"/>
    <n v="1175333"/>
    <n v="7051998"/>
    <n v="6301973"/>
    <n v="750025"/>
  </r>
  <r>
    <n v="1650"/>
    <s v="16-06-2024"/>
    <x v="0"/>
    <x v="3"/>
    <x v="3"/>
    <x v="6"/>
    <x v="6"/>
    <x v="9"/>
    <x v="0"/>
    <n v="1.5"/>
    <n v="19"/>
    <n v="6"/>
    <n v="1087368"/>
    <n v="6524208"/>
    <n v="5356901"/>
    <n v="1167307"/>
  </r>
  <r>
    <n v="1651"/>
    <s v="14-05-2023"/>
    <x v="1"/>
    <x v="8"/>
    <x v="1"/>
    <x v="10"/>
    <x v="2"/>
    <x v="6"/>
    <x v="2"/>
    <n v="1"/>
    <n v="20"/>
    <n v="4"/>
    <n v="1228680"/>
    <n v="4914720"/>
    <n v="4112757"/>
    <n v="801963"/>
  </r>
  <r>
    <n v="1652"/>
    <s v="28-03-2023"/>
    <x v="1"/>
    <x v="2"/>
    <x v="3"/>
    <x v="6"/>
    <x v="3"/>
    <x v="3"/>
    <x v="2"/>
    <n v="1"/>
    <n v="16"/>
    <n v="2"/>
    <n v="1391260"/>
    <n v="2782520"/>
    <n v="2490202"/>
    <n v="292318"/>
  </r>
  <r>
    <n v="1653"/>
    <s v="21-12-2023"/>
    <x v="1"/>
    <x v="5"/>
    <x v="3"/>
    <x v="8"/>
    <x v="4"/>
    <x v="1"/>
    <x v="1"/>
    <n v="2"/>
    <n v="21"/>
    <n v="8"/>
    <n v="918504"/>
    <n v="7348032"/>
    <n v="6577191"/>
    <n v="770841"/>
  </r>
  <r>
    <n v="1654"/>
    <s v="15-06-2024"/>
    <x v="0"/>
    <x v="3"/>
    <x v="2"/>
    <x v="7"/>
    <x v="4"/>
    <x v="0"/>
    <x v="0"/>
    <n v="2"/>
    <n v="23"/>
    <n v="1"/>
    <n v="1259633"/>
    <n v="1259633"/>
    <n v="1049227"/>
    <n v="210406"/>
  </r>
  <r>
    <n v="1655"/>
    <s v="19-05-2023"/>
    <x v="1"/>
    <x v="8"/>
    <x v="3"/>
    <x v="8"/>
    <x v="5"/>
    <x v="1"/>
    <x v="1"/>
    <n v="1.2"/>
    <n v="18"/>
    <n v="1"/>
    <n v="824131"/>
    <n v="824131"/>
    <n v="675731"/>
    <n v="148400"/>
  </r>
  <r>
    <n v="1656"/>
    <s v="30-01-2023"/>
    <x v="1"/>
    <x v="6"/>
    <x v="1"/>
    <x v="5"/>
    <x v="1"/>
    <x v="4"/>
    <x v="0"/>
    <n v="1.5"/>
    <n v="21"/>
    <n v="6"/>
    <n v="1492110"/>
    <n v="8952660"/>
    <n v="7971982"/>
    <n v="980678"/>
  </r>
  <r>
    <n v="1657"/>
    <s v="07-05-2023"/>
    <x v="1"/>
    <x v="8"/>
    <x v="0"/>
    <x v="2"/>
    <x v="1"/>
    <x v="5"/>
    <x v="2"/>
    <n v="1.2"/>
    <n v="18"/>
    <n v="5"/>
    <n v="1316545"/>
    <n v="6582725"/>
    <n v="5648058"/>
    <n v="934667"/>
  </r>
  <r>
    <n v="1658"/>
    <s v="19-10-2024"/>
    <x v="0"/>
    <x v="10"/>
    <x v="2"/>
    <x v="7"/>
    <x v="0"/>
    <x v="3"/>
    <x v="2"/>
    <n v="2"/>
    <n v="22"/>
    <n v="1"/>
    <n v="1451844"/>
    <n v="1451844"/>
    <n v="1281594"/>
    <n v="170250"/>
  </r>
  <r>
    <n v="1659"/>
    <s v="22-02-2024"/>
    <x v="0"/>
    <x v="0"/>
    <x v="0"/>
    <x v="2"/>
    <x v="7"/>
    <x v="5"/>
    <x v="2"/>
    <n v="1.5"/>
    <n v="20"/>
    <n v="4"/>
    <n v="1296692"/>
    <n v="5186768"/>
    <n v="4568288"/>
    <n v="618480"/>
  </r>
  <r>
    <n v="1660"/>
    <s v="09-06-2024"/>
    <x v="0"/>
    <x v="3"/>
    <x v="2"/>
    <x v="3"/>
    <x v="3"/>
    <x v="6"/>
    <x v="2"/>
    <n v="1.2"/>
    <n v="23"/>
    <n v="7"/>
    <n v="1217962"/>
    <n v="8525734"/>
    <n v="6913867"/>
    <n v="1611867"/>
  </r>
  <r>
    <n v="1661"/>
    <s v="26-08-2024"/>
    <x v="0"/>
    <x v="4"/>
    <x v="2"/>
    <x v="7"/>
    <x v="6"/>
    <x v="6"/>
    <x v="2"/>
    <n v="1"/>
    <n v="23"/>
    <n v="2"/>
    <n v="1368542"/>
    <n v="2737084"/>
    <n v="2446773"/>
    <n v="290311"/>
  </r>
  <r>
    <n v="1662"/>
    <s v="16-03-2023"/>
    <x v="1"/>
    <x v="2"/>
    <x v="1"/>
    <x v="5"/>
    <x v="3"/>
    <x v="5"/>
    <x v="2"/>
    <n v="1.5"/>
    <n v="22"/>
    <n v="6"/>
    <n v="739342"/>
    <n v="4436052"/>
    <n v="3576940"/>
    <n v="859112"/>
  </r>
  <r>
    <n v="1663"/>
    <s v="19-02-2023"/>
    <x v="1"/>
    <x v="0"/>
    <x v="3"/>
    <x v="4"/>
    <x v="6"/>
    <x v="8"/>
    <x v="2"/>
    <n v="1.5"/>
    <n v="18"/>
    <n v="2"/>
    <n v="974986"/>
    <n v="1949972"/>
    <n v="1541198"/>
    <n v="408774"/>
  </r>
  <r>
    <n v="1664"/>
    <s v="01-07-2023"/>
    <x v="1"/>
    <x v="11"/>
    <x v="1"/>
    <x v="1"/>
    <x v="5"/>
    <x v="3"/>
    <x v="2"/>
    <n v="2"/>
    <n v="22"/>
    <n v="7"/>
    <n v="603123"/>
    <n v="4221861"/>
    <n v="3573645"/>
    <n v="648216"/>
  </r>
  <r>
    <n v="1665"/>
    <s v="06-10-2024"/>
    <x v="0"/>
    <x v="10"/>
    <x v="0"/>
    <x v="2"/>
    <x v="0"/>
    <x v="5"/>
    <x v="2"/>
    <n v="1.5"/>
    <n v="19"/>
    <n v="3"/>
    <n v="1285756"/>
    <n v="3857268"/>
    <n v="3286168"/>
    <n v="571100"/>
  </r>
  <r>
    <n v="1666"/>
    <s v="24-10-2024"/>
    <x v="0"/>
    <x v="10"/>
    <x v="1"/>
    <x v="10"/>
    <x v="2"/>
    <x v="5"/>
    <x v="2"/>
    <n v="2"/>
    <n v="20"/>
    <n v="2"/>
    <n v="1023906"/>
    <n v="2047812"/>
    <n v="1581486"/>
    <n v="466326"/>
  </r>
  <r>
    <n v="1667"/>
    <s v="12-05-2023"/>
    <x v="1"/>
    <x v="8"/>
    <x v="3"/>
    <x v="12"/>
    <x v="6"/>
    <x v="1"/>
    <x v="1"/>
    <n v="1.5"/>
    <n v="19"/>
    <n v="6"/>
    <n v="1285846"/>
    <n v="7715076"/>
    <n v="6873583"/>
    <n v="841493"/>
  </r>
  <r>
    <n v="1668"/>
    <s v="12-03-2024"/>
    <x v="0"/>
    <x v="2"/>
    <x v="1"/>
    <x v="1"/>
    <x v="1"/>
    <x v="5"/>
    <x v="2"/>
    <n v="2"/>
    <n v="19"/>
    <n v="3"/>
    <n v="1480033"/>
    <n v="4440099"/>
    <n v="3694490"/>
    <n v="745609"/>
  </r>
  <r>
    <n v="1669"/>
    <s v="31-05-2023"/>
    <x v="1"/>
    <x v="8"/>
    <x v="1"/>
    <x v="11"/>
    <x v="4"/>
    <x v="7"/>
    <x v="0"/>
    <n v="1.5"/>
    <n v="22"/>
    <n v="7"/>
    <n v="827545"/>
    <n v="5792815"/>
    <n v="4932547"/>
    <n v="860268"/>
  </r>
  <r>
    <n v="1670"/>
    <s v="21-12-2023"/>
    <x v="1"/>
    <x v="5"/>
    <x v="1"/>
    <x v="11"/>
    <x v="4"/>
    <x v="0"/>
    <x v="0"/>
    <n v="1.5"/>
    <n v="18"/>
    <n v="7"/>
    <n v="1319690"/>
    <n v="9237830"/>
    <n v="7023889"/>
    <n v="2213941"/>
  </r>
  <r>
    <n v="1671"/>
    <s v="25-09-2024"/>
    <x v="0"/>
    <x v="7"/>
    <x v="1"/>
    <x v="10"/>
    <x v="1"/>
    <x v="6"/>
    <x v="2"/>
    <n v="1"/>
    <n v="21"/>
    <n v="8"/>
    <n v="1123811"/>
    <n v="8990488"/>
    <n v="7418141"/>
    <n v="1572347"/>
  </r>
  <r>
    <n v="1672"/>
    <s v="23-07-2024"/>
    <x v="0"/>
    <x v="11"/>
    <x v="3"/>
    <x v="4"/>
    <x v="2"/>
    <x v="6"/>
    <x v="2"/>
    <n v="1.5"/>
    <n v="23"/>
    <n v="2"/>
    <n v="1211358"/>
    <n v="2422716"/>
    <n v="2026623"/>
    <n v="396093"/>
  </r>
  <r>
    <n v="1673"/>
    <s v="18-01-2024"/>
    <x v="0"/>
    <x v="6"/>
    <x v="1"/>
    <x v="10"/>
    <x v="4"/>
    <x v="1"/>
    <x v="1"/>
    <n v="1.2"/>
    <n v="16"/>
    <n v="6"/>
    <n v="687281"/>
    <n v="4123686"/>
    <n v="3271568"/>
    <n v="852118"/>
  </r>
  <r>
    <n v="1674"/>
    <s v="09-04-2024"/>
    <x v="0"/>
    <x v="9"/>
    <x v="0"/>
    <x v="2"/>
    <x v="6"/>
    <x v="8"/>
    <x v="2"/>
    <n v="2"/>
    <n v="22"/>
    <n v="5"/>
    <n v="985358"/>
    <n v="4926790"/>
    <n v="4431369"/>
    <n v="495421"/>
  </r>
  <r>
    <n v="1675"/>
    <s v="12-01-2023"/>
    <x v="1"/>
    <x v="6"/>
    <x v="1"/>
    <x v="1"/>
    <x v="2"/>
    <x v="8"/>
    <x v="2"/>
    <n v="1"/>
    <n v="21"/>
    <n v="5"/>
    <n v="1498258"/>
    <n v="7491290"/>
    <n v="6650316"/>
    <n v="840974"/>
  </r>
  <r>
    <n v="1676"/>
    <s v="20-01-2023"/>
    <x v="1"/>
    <x v="6"/>
    <x v="2"/>
    <x v="15"/>
    <x v="0"/>
    <x v="0"/>
    <x v="0"/>
    <n v="2"/>
    <n v="21"/>
    <n v="1"/>
    <n v="803966"/>
    <n v="803966"/>
    <n v="672925"/>
    <n v="131041"/>
  </r>
  <r>
    <n v="1677"/>
    <s v="18-07-2024"/>
    <x v="0"/>
    <x v="11"/>
    <x v="2"/>
    <x v="13"/>
    <x v="5"/>
    <x v="7"/>
    <x v="0"/>
    <n v="1"/>
    <n v="21"/>
    <n v="3"/>
    <n v="719570"/>
    <n v="2158710"/>
    <n v="1871539"/>
    <n v="287171"/>
  </r>
  <r>
    <n v="1678"/>
    <s v="19-01-2024"/>
    <x v="0"/>
    <x v="6"/>
    <x v="3"/>
    <x v="12"/>
    <x v="7"/>
    <x v="1"/>
    <x v="1"/>
    <n v="1.2"/>
    <n v="18"/>
    <n v="5"/>
    <n v="974423"/>
    <n v="4872115"/>
    <n v="4020298"/>
    <n v="851817"/>
  </r>
  <r>
    <n v="1679"/>
    <s v="16-04-2024"/>
    <x v="0"/>
    <x v="9"/>
    <x v="1"/>
    <x v="10"/>
    <x v="0"/>
    <x v="8"/>
    <x v="2"/>
    <n v="2"/>
    <n v="18"/>
    <n v="7"/>
    <n v="1127471"/>
    <n v="7892297"/>
    <n v="6956766"/>
    <n v="935531"/>
  </r>
  <r>
    <n v="1680"/>
    <s v="03-05-2024"/>
    <x v="0"/>
    <x v="8"/>
    <x v="3"/>
    <x v="6"/>
    <x v="3"/>
    <x v="7"/>
    <x v="0"/>
    <n v="1"/>
    <n v="20"/>
    <n v="3"/>
    <n v="735601"/>
    <n v="2206803"/>
    <n v="1743703"/>
    <n v="463100"/>
  </r>
  <r>
    <n v="1681"/>
    <s v="10-02-2023"/>
    <x v="1"/>
    <x v="0"/>
    <x v="2"/>
    <x v="15"/>
    <x v="7"/>
    <x v="3"/>
    <x v="2"/>
    <n v="1.5"/>
    <n v="20"/>
    <n v="8"/>
    <n v="606354"/>
    <n v="4850832"/>
    <n v="3861379"/>
    <n v="989453"/>
  </r>
  <r>
    <n v="1682"/>
    <s v="18-01-2023"/>
    <x v="1"/>
    <x v="6"/>
    <x v="0"/>
    <x v="2"/>
    <x v="7"/>
    <x v="1"/>
    <x v="1"/>
    <n v="2"/>
    <n v="23"/>
    <n v="7"/>
    <n v="1498959"/>
    <n v="10492713"/>
    <n v="8860700"/>
    <n v="1632013"/>
  </r>
  <r>
    <n v="1683"/>
    <s v="31-03-2023"/>
    <x v="1"/>
    <x v="2"/>
    <x v="1"/>
    <x v="1"/>
    <x v="6"/>
    <x v="6"/>
    <x v="2"/>
    <n v="1"/>
    <n v="16"/>
    <n v="7"/>
    <n v="1114720"/>
    <n v="7803040"/>
    <n v="6996518"/>
    <n v="806522"/>
  </r>
  <r>
    <n v="1684"/>
    <s v="29-11-2024"/>
    <x v="0"/>
    <x v="1"/>
    <x v="0"/>
    <x v="0"/>
    <x v="0"/>
    <x v="3"/>
    <x v="2"/>
    <n v="1"/>
    <n v="23"/>
    <n v="1"/>
    <n v="740141"/>
    <n v="740141"/>
    <n v="572789"/>
    <n v="167352"/>
  </r>
  <r>
    <n v="1685"/>
    <s v="09-09-2024"/>
    <x v="0"/>
    <x v="7"/>
    <x v="0"/>
    <x v="9"/>
    <x v="5"/>
    <x v="2"/>
    <x v="1"/>
    <n v="2"/>
    <n v="18"/>
    <n v="5"/>
    <n v="994610"/>
    <n v="4973050"/>
    <n v="3822769"/>
    <n v="1150281"/>
  </r>
  <r>
    <n v="1686"/>
    <s v="11-04-2024"/>
    <x v="0"/>
    <x v="9"/>
    <x v="2"/>
    <x v="3"/>
    <x v="4"/>
    <x v="7"/>
    <x v="0"/>
    <n v="1.2"/>
    <n v="22"/>
    <n v="8"/>
    <n v="1329436"/>
    <n v="10635488"/>
    <n v="9428606"/>
    <n v="1206882"/>
  </r>
  <r>
    <n v="1687"/>
    <s v="19-10-2023"/>
    <x v="1"/>
    <x v="10"/>
    <x v="2"/>
    <x v="7"/>
    <x v="7"/>
    <x v="5"/>
    <x v="2"/>
    <n v="1.2"/>
    <n v="20"/>
    <n v="7"/>
    <n v="721781"/>
    <n v="5052467"/>
    <n v="4210220"/>
    <n v="842247"/>
  </r>
  <r>
    <n v="1688"/>
    <s v="04-05-2024"/>
    <x v="0"/>
    <x v="8"/>
    <x v="3"/>
    <x v="4"/>
    <x v="5"/>
    <x v="9"/>
    <x v="0"/>
    <n v="1"/>
    <n v="21"/>
    <n v="8"/>
    <n v="709320"/>
    <n v="5674560"/>
    <n v="4770090"/>
    <n v="904470"/>
  </r>
  <r>
    <n v="1689"/>
    <s v="20-10-2023"/>
    <x v="1"/>
    <x v="10"/>
    <x v="1"/>
    <x v="11"/>
    <x v="7"/>
    <x v="3"/>
    <x v="2"/>
    <n v="2"/>
    <n v="22"/>
    <n v="4"/>
    <n v="838197"/>
    <n v="3352788"/>
    <n v="2612919"/>
    <n v="739869"/>
  </r>
  <r>
    <n v="1690"/>
    <s v="24-10-2024"/>
    <x v="0"/>
    <x v="10"/>
    <x v="1"/>
    <x v="10"/>
    <x v="5"/>
    <x v="5"/>
    <x v="2"/>
    <n v="2"/>
    <n v="21"/>
    <n v="8"/>
    <n v="657925"/>
    <n v="5263400"/>
    <n v="4206665"/>
    <n v="1056735"/>
  </r>
  <r>
    <n v="1691"/>
    <s v="22-12-2024"/>
    <x v="0"/>
    <x v="5"/>
    <x v="1"/>
    <x v="5"/>
    <x v="0"/>
    <x v="3"/>
    <x v="2"/>
    <n v="1.5"/>
    <n v="16"/>
    <n v="5"/>
    <n v="1004958"/>
    <n v="5024790"/>
    <n v="4222844"/>
    <n v="801946"/>
  </r>
  <r>
    <n v="1692"/>
    <s v="08-06-2024"/>
    <x v="0"/>
    <x v="3"/>
    <x v="1"/>
    <x v="1"/>
    <x v="6"/>
    <x v="3"/>
    <x v="2"/>
    <n v="1.2"/>
    <n v="19"/>
    <n v="2"/>
    <n v="728781"/>
    <n v="1457562"/>
    <n v="1174656"/>
    <n v="282906"/>
  </r>
  <r>
    <n v="1693"/>
    <s v="20-12-2023"/>
    <x v="1"/>
    <x v="5"/>
    <x v="1"/>
    <x v="11"/>
    <x v="0"/>
    <x v="4"/>
    <x v="0"/>
    <n v="1.5"/>
    <n v="21"/>
    <n v="5"/>
    <n v="637143"/>
    <n v="3185715"/>
    <n v="2719128"/>
    <n v="466587"/>
  </r>
  <r>
    <n v="1694"/>
    <s v="15-12-2023"/>
    <x v="1"/>
    <x v="5"/>
    <x v="3"/>
    <x v="8"/>
    <x v="4"/>
    <x v="1"/>
    <x v="1"/>
    <n v="2"/>
    <n v="16"/>
    <n v="5"/>
    <n v="705887"/>
    <n v="3529435"/>
    <n v="2655005"/>
    <n v="874430"/>
  </r>
  <r>
    <n v="1695"/>
    <s v="21-01-2024"/>
    <x v="0"/>
    <x v="6"/>
    <x v="1"/>
    <x v="10"/>
    <x v="1"/>
    <x v="1"/>
    <x v="1"/>
    <n v="2"/>
    <n v="16"/>
    <n v="2"/>
    <n v="1340539"/>
    <n v="2681078"/>
    <n v="2164186"/>
    <n v="516892"/>
  </r>
  <r>
    <n v="1696"/>
    <s v="19-10-2024"/>
    <x v="0"/>
    <x v="10"/>
    <x v="3"/>
    <x v="12"/>
    <x v="6"/>
    <x v="3"/>
    <x v="2"/>
    <n v="1.5"/>
    <n v="22"/>
    <n v="7"/>
    <n v="1494078"/>
    <n v="10458546"/>
    <n v="8318548"/>
    <n v="2139998"/>
  </r>
  <r>
    <n v="1697"/>
    <s v="01-01-2023"/>
    <x v="1"/>
    <x v="6"/>
    <x v="3"/>
    <x v="4"/>
    <x v="6"/>
    <x v="0"/>
    <x v="0"/>
    <n v="1"/>
    <n v="23"/>
    <n v="8"/>
    <n v="1009781"/>
    <n v="8078248"/>
    <n v="6898951"/>
    <n v="1179297"/>
  </r>
  <r>
    <n v="1698"/>
    <s v="14-11-2024"/>
    <x v="0"/>
    <x v="1"/>
    <x v="0"/>
    <x v="14"/>
    <x v="0"/>
    <x v="5"/>
    <x v="2"/>
    <n v="2"/>
    <n v="22"/>
    <n v="2"/>
    <n v="1224705"/>
    <n v="2449410"/>
    <n v="1978622"/>
    <n v="470788"/>
  </r>
  <r>
    <n v="1699"/>
    <s v="14-12-2024"/>
    <x v="0"/>
    <x v="5"/>
    <x v="3"/>
    <x v="6"/>
    <x v="2"/>
    <x v="1"/>
    <x v="1"/>
    <n v="2"/>
    <n v="19"/>
    <n v="3"/>
    <n v="894452"/>
    <n v="2683356"/>
    <n v="2347291"/>
    <n v="336065"/>
  </r>
  <r>
    <n v="1700"/>
    <s v="15-02-2024"/>
    <x v="0"/>
    <x v="0"/>
    <x v="2"/>
    <x v="3"/>
    <x v="1"/>
    <x v="8"/>
    <x v="2"/>
    <n v="1.5"/>
    <n v="23"/>
    <n v="6"/>
    <n v="765441"/>
    <n v="4592646"/>
    <n v="4074875"/>
    <n v="517771"/>
  </r>
  <r>
    <n v="1701"/>
    <s v="07-05-2023"/>
    <x v="1"/>
    <x v="8"/>
    <x v="1"/>
    <x v="10"/>
    <x v="6"/>
    <x v="3"/>
    <x v="2"/>
    <n v="1"/>
    <n v="18"/>
    <n v="1"/>
    <n v="681690"/>
    <n v="681690"/>
    <n v="602000"/>
    <n v="79690"/>
  </r>
  <r>
    <n v="1702"/>
    <s v="14-04-2023"/>
    <x v="1"/>
    <x v="9"/>
    <x v="0"/>
    <x v="2"/>
    <x v="4"/>
    <x v="6"/>
    <x v="2"/>
    <n v="1"/>
    <n v="22"/>
    <n v="6"/>
    <n v="741678"/>
    <n v="4450068"/>
    <n v="3427473"/>
    <n v="1022595"/>
  </r>
  <r>
    <n v="1703"/>
    <s v="14-11-2023"/>
    <x v="1"/>
    <x v="1"/>
    <x v="1"/>
    <x v="5"/>
    <x v="0"/>
    <x v="4"/>
    <x v="0"/>
    <n v="2"/>
    <n v="22"/>
    <n v="8"/>
    <n v="1109638"/>
    <n v="8877104"/>
    <n v="7444068"/>
    <n v="1433036"/>
  </r>
  <r>
    <n v="1704"/>
    <s v="29-11-2023"/>
    <x v="1"/>
    <x v="1"/>
    <x v="0"/>
    <x v="2"/>
    <x v="7"/>
    <x v="8"/>
    <x v="2"/>
    <n v="1.2"/>
    <n v="20"/>
    <n v="6"/>
    <n v="1010533"/>
    <n v="6063198"/>
    <n v="5071405"/>
    <n v="991793"/>
  </r>
  <r>
    <n v="1705"/>
    <s v="16-02-2024"/>
    <x v="0"/>
    <x v="0"/>
    <x v="0"/>
    <x v="14"/>
    <x v="4"/>
    <x v="4"/>
    <x v="0"/>
    <n v="1"/>
    <n v="22"/>
    <n v="8"/>
    <n v="1065780"/>
    <n v="8526240"/>
    <n v="7372054"/>
    <n v="1154186"/>
  </r>
  <r>
    <n v="1706"/>
    <s v="20-03-2024"/>
    <x v="0"/>
    <x v="2"/>
    <x v="3"/>
    <x v="12"/>
    <x v="7"/>
    <x v="1"/>
    <x v="1"/>
    <n v="1"/>
    <n v="22"/>
    <n v="4"/>
    <n v="1160764"/>
    <n v="4643056"/>
    <n v="4116334"/>
    <n v="526722"/>
  </r>
  <r>
    <n v="1707"/>
    <s v="21-06-2023"/>
    <x v="1"/>
    <x v="3"/>
    <x v="3"/>
    <x v="12"/>
    <x v="3"/>
    <x v="7"/>
    <x v="0"/>
    <n v="1.2"/>
    <n v="22"/>
    <n v="6"/>
    <n v="1498891"/>
    <n v="8993346"/>
    <n v="7421787"/>
    <n v="1571559"/>
  </r>
  <r>
    <n v="1708"/>
    <s v="31-12-2024"/>
    <x v="0"/>
    <x v="5"/>
    <x v="0"/>
    <x v="9"/>
    <x v="3"/>
    <x v="7"/>
    <x v="0"/>
    <n v="1.2"/>
    <n v="16"/>
    <n v="8"/>
    <n v="720070"/>
    <n v="5760560"/>
    <n v="4544054"/>
    <n v="1216506"/>
  </r>
  <r>
    <n v="1709"/>
    <s v="11-01-2023"/>
    <x v="1"/>
    <x v="6"/>
    <x v="3"/>
    <x v="6"/>
    <x v="5"/>
    <x v="1"/>
    <x v="1"/>
    <n v="1.5"/>
    <n v="18"/>
    <n v="4"/>
    <n v="611114"/>
    <n v="2444456"/>
    <n v="2140629"/>
    <n v="303827"/>
  </r>
  <r>
    <n v="1710"/>
    <s v="18-11-2023"/>
    <x v="1"/>
    <x v="1"/>
    <x v="0"/>
    <x v="0"/>
    <x v="3"/>
    <x v="5"/>
    <x v="2"/>
    <n v="1"/>
    <n v="20"/>
    <n v="4"/>
    <n v="919112"/>
    <n v="3676448"/>
    <n v="2925791"/>
    <n v="750657"/>
  </r>
  <r>
    <n v="1711"/>
    <s v="21-02-2024"/>
    <x v="0"/>
    <x v="0"/>
    <x v="0"/>
    <x v="2"/>
    <x v="3"/>
    <x v="0"/>
    <x v="0"/>
    <n v="1.5"/>
    <n v="20"/>
    <n v="3"/>
    <n v="1038524"/>
    <n v="3115572"/>
    <n v="2597952"/>
    <n v="517620"/>
  </r>
  <r>
    <n v="1712"/>
    <s v="03-08-2024"/>
    <x v="0"/>
    <x v="4"/>
    <x v="0"/>
    <x v="14"/>
    <x v="4"/>
    <x v="8"/>
    <x v="2"/>
    <n v="1.2"/>
    <n v="23"/>
    <n v="1"/>
    <n v="837418"/>
    <n v="837418"/>
    <n v="684819"/>
    <n v="152599"/>
  </r>
  <r>
    <n v="1713"/>
    <s v="04-11-2024"/>
    <x v="0"/>
    <x v="1"/>
    <x v="1"/>
    <x v="5"/>
    <x v="3"/>
    <x v="4"/>
    <x v="0"/>
    <n v="1.2"/>
    <n v="22"/>
    <n v="6"/>
    <n v="1214729"/>
    <n v="7288374"/>
    <n v="6385461"/>
    <n v="902913"/>
  </r>
  <r>
    <n v="1714"/>
    <s v="05-12-2023"/>
    <x v="1"/>
    <x v="5"/>
    <x v="1"/>
    <x v="11"/>
    <x v="4"/>
    <x v="6"/>
    <x v="2"/>
    <n v="1.2"/>
    <n v="19"/>
    <n v="8"/>
    <n v="1402251"/>
    <n v="11218008"/>
    <n v="8584724"/>
    <n v="2633284"/>
  </r>
  <r>
    <n v="1715"/>
    <s v="27-03-2024"/>
    <x v="0"/>
    <x v="2"/>
    <x v="1"/>
    <x v="5"/>
    <x v="0"/>
    <x v="7"/>
    <x v="0"/>
    <n v="1.5"/>
    <n v="16"/>
    <n v="7"/>
    <n v="1007277"/>
    <n v="7050939"/>
    <n v="5298215"/>
    <n v="1752724"/>
  </r>
  <r>
    <n v="1716"/>
    <s v="25-10-2024"/>
    <x v="0"/>
    <x v="10"/>
    <x v="3"/>
    <x v="8"/>
    <x v="0"/>
    <x v="9"/>
    <x v="0"/>
    <n v="1.5"/>
    <n v="16"/>
    <n v="8"/>
    <n v="956232"/>
    <n v="7649856"/>
    <n v="6055980"/>
    <n v="1593876"/>
  </r>
  <r>
    <n v="1717"/>
    <s v="15-05-2024"/>
    <x v="0"/>
    <x v="8"/>
    <x v="1"/>
    <x v="1"/>
    <x v="2"/>
    <x v="3"/>
    <x v="2"/>
    <n v="1.5"/>
    <n v="19"/>
    <n v="4"/>
    <n v="813808"/>
    <n v="3255232"/>
    <n v="2454108"/>
    <n v="801124"/>
  </r>
  <r>
    <n v="1718"/>
    <s v="22-09-2023"/>
    <x v="1"/>
    <x v="7"/>
    <x v="2"/>
    <x v="7"/>
    <x v="5"/>
    <x v="1"/>
    <x v="1"/>
    <n v="1"/>
    <n v="16"/>
    <n v="7"/>
    <n v="1031195"/>
    <n v="7218365"/>
    <n v="5580246"/>
    <n v="1638119"/>
  </r>
  <r>
    <n v="1719"/>
    <s v="28-10-2024"/>
    <x v="0"/>
    <x v="10"/>
    <x v="1"/>
    <x v="11"/>
    <x v="1"/>
    <x v="4"/>
    <x v="0"/>
    <n v="1"/>
    <n v="16"/>
    <n v="6"/>
    <n v="611155"/>
    <n v="3666930"/>
    <n v="3168287"/>
    <n v="498643"/>
  </r>
  <r>
    <n v="1720"/>
    <s v="16-01-2024"/>
    <x v="0"/>
    <x v="6"/>
    <x v="0"/>
    <x v="0"/>
    <x v="5"/>
    <x v="2"/>
    <x v="1"/>
    <n v="1"/>
    <n v="20"/>
    <n v="7"/>
    <n v="1212560"/>
    <n v="8487920"/>
    <n v="6739602"/>
    <n v="1748318"/>
  </r>
  <r>
    <n v="1721"/>
    <s v="24-05-2024"/>
    <x v="0"/>
    <x v="8"/>
    <x v="2"/>
    <x v="7"/>
    <x v="0"/>
    <x v="7"/>
    <x v="0"/>
    <n v="1"/>
    <n v="16"/>
    <n v="8"/>
    <n v="1402790"/>
    <n v="11222320"/>
    <n v="9074728"/>
    <n v="2147592"/>
  </r>
  <r>
    <n v="1722"/>
    <s v="02-05-2023"/>
    <x v="1"/>
    <x v="8"/>
    <x v="0"/>
    <x v="9"/>
    <x v="1"/>
    <x v="0"/>
    <x v="0"/>
    <n v="1"/>
    <n v="20"/>
    <n v="1"/>
    <n v="959899"/>
    <n v="959899"/>
    <n v="759660"/>
    <n v="200239"/>
  </r>
  <r>
    <n v="1723"/>
    <s v="31-08-2023"/>
    <x v="1"/>
    <x v="4"/>
    <x v="3"/>
    <x v="12"/>
    <x v="0"/>
    <x v="2"/>
    <x v="1"/>
    <n v="2"/>
    <n v="23"/>
    <n v="3"/>
    <n v="1421669"/>
    <n v="4265007"/>
    <n v="3779655"/>
    <n v="485352"/>
  </r>
  <r>
    <n v="1724"/>
    <s v="24-09-2024"/>
    <x v="0"/>
    <x v="7"/>
    <x v="0"/>
    <x v="2"/>
    <x v="0"/>
    <x v="7"/>
    <x v="0"/>
    <n v="1"/>
    <n v="22"/>
    <n v="4"/>
    <n v="1466325"/>
    <n v="5865300"/>
    <n v="4513474"/>
    <n v="1351826"/>
  </r>
  <r>
    <n v="1725"/>
    <s v="23-03-2024"/>
    <x v="0"/>
    <x v="2"/>
    <x v="0"/>
    <x v="2"/>
    <x v="2"/>
    <x v="7"/>
    <x v="0"/>
    <n v="1"/>
    <n v="22"/>
    <n v="2"/>
    <n v="1277305"/>
    <n v="2554610"/>
    <n v="2278010"/>
    <n v="276600"/>
  </r>
  <r>
    <n v="1726"/>
    <s v="21-07-2024"/>
    <x v="0"/>
    <x v="11"/>
    <x v="0"/>
    <x v="2"/>
    <x v="0"/>
    <x v="5"/>
    <x v="2"/>
    <n v="2"/>
    <n v="18"/>
    <n v="5"/>
    <n v="907736"/>
    <n v="4538680"/>
    <n v="3507116"/>
    <n v="1031564"/>
  </r>
  <r>
    <n v="1727"/>
    <s v="17-04-2023"/>
    <x v="1"/>
    <x v="9"/>
    <x v="2"/>
    <x v="15"/>
    <x v="6"/>
    <x v="4"/>
    <x v="0"/>
    <n v="1"/>
    <n v="18"/>
    <n v="7"/>
    <n v="1262861"/>
    <n v="8840027"/>
    <n v="7055179"/>
    <n v="1784848"/>
  </r>
  <r>
    <n v="1728"/>
    <s v="07-05-2023"/>
    <x v="1"/>
    <x v="8"/>
    <x v="0"/>
    <x v="14"/>
    <x v="4"/>
    <x v="5"/>
    <x v="2"/>
    <n v="1"/>
    <n v="21"/>
    <n v="5"/>
    <n v="660688"/>
    <n v="3303440"/>
    <n v="2609362"/>
    <n v="694078"/>
  </r>
  <r>
    <n v="1729"/>
    <s v="12-11-2023"/>
    <x v="1"/>
    <x v="1"/>
    <x v="1"/>
    <x v="1"/>
    <x v="5"/>
    <x v="6"/>
    <x v="2"/>
    <n v="1"/>
    <n v="20"/>
    <n v="2"/>
    <n v="988818"/>
    <n v="1977636"/>
    <n v="1640314"/>
    <n v="337322"/>
  </r>
  <r>
    <n v="1730"/>
    <s v="24-06-2023"/>
    <x v="1"/>
    <x v="3"/>
    <x v="0"/>
    <x v="14"/>
    <x v="2"/>
    <x v="2"/>
    <x v="1"/>
    <n v="1.2"/>
    <n v="21"/>
    <n v="4"/>
    <n v="1267568"/>
    <n v="5070272"/>
    <n v="4325348"/>
    <n v="744924"/>
  </r>
  <r>
    <n v="1731"/>
    <s v="20-12-2024"/>
    <x v="0"/>
    <x v="5"/>
    <x v="3"/>
    <x v="6"/>
    <x v="4"/>
    <x v="5"/>
    <x v="2"/>
    <n v="1.5"/>
    <n v="23"/>
    <n v="3"/>
    <n v="995327"/>
    <n v="2985981"/>
    <n v="2268692"/>
    <n v="717289"/>
  </r>
  <r>
    <n v="1732"/>
    <s v="15-07-2024"/>
    <x v="0"/>
    <x v="11"/>
    <x v="0"/>
    <x v="0"/>
    <x v="1"/>
    <x v="1"/>
    <x v="1"/>
    <n v="1"/>
    <n v="21"/>
    <n v="6"/>
    <n v="1462199"/>
    <n v="8773194"/>
    <n v="6607790"/>
    <n v="2165404"/>
  </r>
  <r>
    <n v="1733"/>
    <s v="09-09-2023"/>
    <x v="1"/>
    <x v="7"/>
    <x v="3"/>
    <x v="12"/>
    <x v="3"/>
    <x v="8"/>
    <x v="2"/>
    <n v="2"/>
    <n v="22"/>
    <n v="1"/>
    <n v="1230739"/>
    <n v="1230739"/>
    <n v="938571"/>
    <n v="292168"/>
  </r>
  <r>
    <n v="1734"/>
    <s v="13-04-2023"/>
    <x v="1"/>
    <x v="9"/>
    <x v="0"/>
    <x v="9"/>
    <x v="7"/>
    <x v="4"/>
    <x v="0"/>
    <n v="2"/>
    <n v="19"/>
    <n v="4"/>
    <n v="936326"/>
    <n v="3745304"/>
    <n v="3198867"/>
    <n v="546437"/>
  </r>
  <r>
    <n v="1735"/>
    <s v="07-07-2024"/>
    <x v="0"/>
    <x v="11"/>
    <x v="2"/>
    <x v="15"/>
    <x v="2"/>
    <x v="4"/>
    <x v="0"/>
    <n v="1.5"/>
    <n v="22"/>
    <n v="7"/>
    <n v="1206981"/>
    <n v="8448867"/>
    <n v="6414605"/>
    <n v="2034262"/>
  </r>
  <r>
    <n v="1736"/>
    <s v="01-12-2023"/>
    <x v="1"/>
    <x v="5"/>
    <x v="0"/>
    <x v="0"/>
    <x v="7"/>
    <x v="5"/>
    <x v="2"/>
    <n v="1.5"/>
    <n v="16"/>
    <n v="8"/>
    <n v="1094072"/>
    <n v="8752576"/>
    <n v="6660865"/>
    <n v="2091711"/>
  </r>
  <r>
    <n v="1737"/>
    <s v="21-01-2023"/>
    <x v="1"/>
    <x v="6"/>
    <x v="2"/>
    <x v="15"/>
    <x v="2"/>
    <x v="8"/>
    <x v="2"/>
    <n v="2"/>
    <n v="20"/>
    <n v="1"/>
    <n v="1245275"/>
    <n v="1245275"/>
    <n v="1012105"/>
    <n v="233170"/>
  </r>
  <r>
    <n v="1738"/>
    <s v="02-07-2023"/>
    <x v="1"/>
    <x v="11"/>
    <x v="3"/>
    <x v="8"/>
    <x v="6"/>
    <x v="8"/>
    <x v="2"/>
    <n v="1.2"/>
    <n v="23"/>
    <n v="5"/>
    <n v="1388339"/>
    <n v="6941695"/>
    <n v="5937017"/>
    <n v="1004678"/>
  </r>
  <r>
    <n v="1739"/>
    <s v="06-12-2024"/>
    <x v="0"/>
    <x v="5"/>
    <x v="2"/>
    <x v="3"/>
    <x v="0"/>
    <x v="6"/>
    <x v="2"/>
    <n v="1"/>
    <n v="22"/>
    <n v="4"/>
    <n v="815217"/>
    <n v="3260868"/>
    <n v="2880047"/>
    <n v="380821"/>
  </r>
  <r>
    <n v="1740"/>
    <s v="11-08-2024"/>
    <x v="0"/>
    <x v="4"/>
    <x v="0"/>
    <x v="9"/>
    <x v="7"/>
    <x v="1"/>
    <x v="1"/>
    <n v="1"/>
    <n v="21"/>
    <n v="2"/>
    <n v="649997"/>
    <n v="1299994"/>
    <n v="1010742"/>
    <n v="289252"/>
  </r>
  <r>
    <n v="1741"/>
    <s v="16-07-2024"/>
    <x v="0"/>
    <x v="11"/>
    <x v="1"/>
    <x v="10"/>
    <x v="7"/>
    <x v="8"/>
    <x v="2"/>
    <n v="2"/>
    <n v="23"/>
    <n v="7"/>
    <n v="1042561"/>
    <n v="7297927"/>
    <n v="5609458"/>
    <n v="1688469"/>
  </r>
  <r>
    <n v="1742"/>
    <s v="08-07-2024"/>
    <x v="0"/>
    <x v="11"/>
    <x v="0"/>
    <x v="2"/>
    <x v="1"/>
    <x v="5"/>
    <x v="2"/>
    <n v="1"/>
    <n v="18"/>
    <n v="5"/>
    <n v="678437"/>
    <n v="3392185"/>
    <n v="3047165"/>
    <n v="345020"/>
  </r>
  <r>
    <n v="1743"/>
    <s v="08-02-2023"/>
    <x v="1"/>
    <x v="0"/>
    <x v="2"/>
    <x v="15"/>
    <x v="0"/>
    <x v="5"/>
    <x v="2"/>
    <n v="1.5"/>
    <n v="21"/>
    <n v="4"/>
    <n v="1053631"/>
    <n v="4214524"/>
    <n v="3551585"/>
    <n v="662939"/>
  </r>
  <r>
    <n v="1744"/>
    <s v="04-05-2024"/>
    <x v="0"/>
    <x v="8"/>
    <x v="3"/>
    <x v="4"/>
    <x v="0"/>
    <x v="9"/>
    <x v="0"/>
    <n v="1.2"/>
    <n v="19"/>
    <n v="1"/>
    <n v="873784"/>
    <n v="873784"/>
    <n v="765623"/>
    <n v="108161"/>
  </r>
  <r>
    <n v="1745"/>
    <s v="14-04-2024"/>
    <x v="0"/>
    <x v="9"/>
    <x v="3"/>
    <x v="4"/>
    <x v="3"/>
    <x v="0"/>
    <x v="0"/>
    <n v="1.2"/>
    <n v="20"/>
    <n v="7"/>
    <n v="1071187"/>
    <n v="7498309"/>
    <n v="6439433"/>
    <n v="1058876"/>
  </r>
  <r>
    <n v="1746"/>
    <s v="09-03-2023"/>
    <x v="1"/>
    <x v="2"/>
    <x v="1"/>
    <x v="5"/>
    <x v="3"/>
    <x v="5"/>
    <x v="2"/>
    <n v="1.2"/>
    <n v="19"/>
    <n v="3"/>
    <n v="766458"/>
    <n v="2299374"/>
    <n v="1984957"/>
    <n v="314417"/>
  </r>
  <r>
    <n v="1747"/>
    <s v="14-02-2024"/>
    <x v="0"/>
    <x v="0"/>
    <x v="2"/>
    <x v="3"/>
    <x v="1"/>
    <x v="3"/>
    <x v="2"/>
    <n v="1"/>
    <n v="22"/>
    <n v="3"/>
    <n v="1215187"/>
    <n v="3645561"/>
    <n v="2894506"/>
    <n v="751055"/>
  </r>
  <r>
    <n v="1748"/>
    <s v="22-12-2023"/>
    <x v="1"/>
    <x v="5"/>
    <x v="0"/>
    <x v="2"/>
    <x v="5"/>
    <x v="7"/>
    <x v="0"/>
    <n v="2"/>
    <n v="19"/>
    <n v="4"/>
    <n v="910864"/>
    <n v="3643456"/>
    <n v="3222108"/>
    <n v="421348"/>
  </r>
  <r>
    <n v="1749"/>
    <s v="27-04-2023"/>
    <x v="1"/>
    <x v="9"/>
    <x v="2"/>
    <x v="3"/>
    <x v="2"/>
    <x v="7"/>
    <x v="0"/>
    <n v="1.2"/>
    <n v="19"/>
    <n v="5"/>
    <n v="1026263"/>
    <n v="5131315"/>
    <n v="4320829"/>
    <n v="810486"/>
  </r>
  <r>
    <n v="1750"/>
    <s v="22-04-2023"/>
    <x v="1"/>
    <x v="9"/>
    <x v="2"/>
    <x v="13"/>
    <x v="5"/>
    <x v="3"/>
    <x v="2"/>
    <n v="2"/>
    <n v="18"/>
    <n v="5"/>
    <n v="717535"/>
    <n v="3587675"/>
    <n v="2760445"/>
    <n v="827230"/>
  </r>
  <r>
    <n v="1751"/>
    <s v="25-12-2023"/>
    <x v="1"/>
    <x v="5"/>
    <x v="2"/>
    <x v="3"/>
    <x v="3"/>
    <x v="8"/>
    <x v="2"/>
    <n v="2"/>
    <n v="18"/>
    <n v="8"/>
    <n v="1262153"/>
    <n v="10097224"/>
    <n v="8007356"/>
    <n v="2089868"/>
  </r>
  <r>
    <n v="1752"/>
    <s v="16-12-2024"/>
    <x v="0"/>
    <x v="5"/>
    <x v="0"/>
    <x v="14"/>
    <x v="1"/>
    <x v="0"/>
    <x v="0"/>
    <n v="1"/>
    <n v="23"/>
    <n v="8"/>
    <n v="1103891"/>
    <n v="8831128"/>
    <n v="7721394"/>
    <n v="1109734"/>
  </r>
  <r>
    <n v="1753"/>
    <s v="07-08-2024"/>
    <x v="0"/>
    <x v="4"/>
    <x v="3"/>
    <x v="4"/>
    <x v="0"/>
    <x v="4"/>
    <x v="0"/>
    <n v="1.5"/>
    <n v="21"/>
    <n v="7"/>
    <n v="990047"/>
    <n v="6930329"/>
    <n v="5486440"/>
    <n v="1443889"/>
  </r>
  <r>
    <n v="1754"/>
    <s v="19-05-2024"/>
    <x v="0"/>
    <x v="8"/>
    <x v="1"/>
    <x v="1"/>
    <x v="4"/>
    <x v="1"/>
    <x v="1"/>
    <n v="2"/>
    <n v="23"/>
    <n v="4"/>
    <n v="805435"/>
    <n v="3221740"/>
    <n v="2758067"/>
    <n v="463673"/>
  </r>
  <r>
    <n v="1755"/>
    <s v="06-03-2024"/>
    <x v="0"/>
    <x v="2"/>
    <x v="0"/>
    <x v="14"/>
    <x v="6"/>
    <x v="2"/>
    <x v="1"/>
    <n v="1.5"/>
    <n v="21"/>
    <n v="1"/>
    <n v="684210"/>
    <n v="684210"/>
    <n v="605032"/>
    <n v="79178"/>
  </r>
  <r>
    <n v="1756"/>
    <s v="03-05-2024"/>
    <x v="0"/>
    <x v="8"/>
    <x v="3"/>
    <x v="8"/>
    <x v="7"/>
    <x v="4"/>
    <x v="0"/>
    <n v="1.5"/>
    <n v="22"/>
    <n v="7"/>
    <n v="813218"/>
    <n v="5692526"/>
    <n v="4771085"/>
    <n v="921441"/>
  </r>
  <r>
    <n v="1757"/>
    <s v="05-01-2023"/>
    <x v="1"/>
    <x v="6"/>
    <x v="2"/>
    <x v="15"/>
    <x v="5"/>
    <x v="6"/>
    <x v="2"/>
    <n v="1.5"/>
    <n v="23"/>
    <n v="8"/>
    <n v="1233939"/>
    <n v="9871512"/>
    <n v="7609035"/>
    <n v="2262477"/>
  </r>
  <r>
    <n v="1758"/>
    <s v="15-10-2023"/>
    <x v="1"/>
    <x v="10"/>
    <x v="1"/>
    <x v="11"/>
    <x v="2"/>
    <x v="2"/>
    <x v="1"/>
    <n v="1.2"/>
    <n v="21"/>
    <n v="7"/>
    <n v="1401635"/>
    <n v="9811445"/>
    <n v="8323342"/>
    <n v="1488103"/>
  </r>
  <r>
    <n v="1759"/>
    <s v="04-03-2024"/>
    <x v="0"/>
    <x v="2"/>
    <x v="3"/>
    <x v="4"/>
    <x v="1"/>
    <x v="6"/>
    <x v="2"/>
    <n v="1.5"/>
    <n v="21"/>
    <n v="8"/>
    <n v="1099429"/>
    <n v="8795432"/>
    <n v="6661100"/>
    <n v="2134332"/>
  </r>
  <r>
    <n v="1760"/>
    <s v="07-07-2023"/>
    <x v="1"/>
    <x v="11"/>
    <x v="0"/>
    <x v="9"/>
    <x v="4"/>
    <x v="4"/>
    <x v="0"/>
    <n v="1"/>
    <n v="20"/>
    <n v="4"/>
    <n v="1199340"/>
    <n v="4797360"/>
    <n v="4256847"/>
    <n v="540513"/>
  </r>
  <r>
    <n v="1761"/>
    <s v="31-01-2024"/>
    <x v="0"/>
    <x v="6"/>
    <x v="1"/>
    <x v="1"/>
    <x v="1"/>
    <x v="6"/>
    <x v="2"/>
    <n v="1"/>
    <n v="23"/>
    <n v="4"/>
    <n v="868345"/>
    <n v="3473380"/>
    <n v="2932110"/>
    <n v="541270"/>
  </r>
  <r>
    <n v="1762"/>
    <s v="24-05-2023"/>
    <x v="1"/>
    <x v="8"/>
    <x v="2"/>
    <x v="7"/>
    <x v="2"/>
    <x v="2"/>
    <x v="1"/>
    <n v="2"/>
    <n v="18"/>
    <n v="8"/>
    <n v="1322227"/>
    <n v="10577816"/>
    <n v="7993279"/>
    <n v="2584537"/>
  </r>
  <r>
    <n v="1763"/>
    <s v="14-08-2023"/>
    <x v="1"/>
    <x v="4"/>
    <x v="1"/>
    <x v="11"/>
    <x v="2"/>
    <x v="4"/>
    <x v="0"/>
    <n v="1.2"/>
    <n v="20"/>
    <n v="8"/>
    <n v="1141233"/>
    <n v="9129864"/>
    <n v="7439207"/>
    <n v="1690657"/>
  </r>
  <r>
    <n v="1764"/>
    <s v="18-03-2023"/>
    <x v="1"/>
    <x v="2"/>
    <x v="1"/>
    <x v="5"/>
    <x v="6"/>
    <x v="0"/>
    <x v="0"/>
    <n v="1.2"/>
    <n v="16"/>
    <n v="1"/>
    <n v="1224213"/>
    <n v="1224213"/>
    <n v="1060484"/>
    <n v="163729"/>
  </r>
  <r>
    <n v="1765"/>
    <s v="25-03-2024"/>
    <x v="0"/>
    <x v="2"/>
    <x v="1"/>
    <x v="1"/>
    <x v="2"/>
    <x v="3"/>
    <x v="2"/>
    <n v="1.2"/>
    <n v="23"/>
    <n v="2"/>
    <n v="1116880"/>
    <n v="2233760"/>
    <n v="1997813"/>
    <n v="235947"/>
  </r>
  <r>
    <n v="1766"/>
    <s v="11-10-2024"/>
    <x v="0"/>
    <x v="10"/>
    <x v="3"/>
    <x v="6"/>
    <x v="5"/>
    <x v="3"/>
    <x v="2"/>
    <n v="2"/>
    <n v="22"/>
    <n v="2"/>
    <n v="872145"/>
    <n v="1744290"/>
    <n v="1528456"/>
    <n v="215834"/>
  </r>
  <r>
    <n v="1767"/>
    <s v="15-01-2023"/>
    <x v="1"/>
    <x v="6"/>
    <x v="1"/>
    <x v="11"/>
    <x v="0"/>
    <x v="1"/>
    <x v="1"/>
    <n v="1.5"/>
    <n v="22"/>
    <n v="4"/>
    <n v="979433"/>
    <n v="3917732"/>
    <n v="2984318"/>
    <n v="933414"/>
  </r>
  <r>
    <n v="1768"/>
    <s v="26-08-2023"/>
    <x v="1"/>
    <x v="4"/>
    <x v="3"/>
    <x v="12"/>
    <x v="4"/>
    <x v="1"/>
    <x v="1"/>
    <n v="2"/>
    <n v="19"/>
    <n v="4"/>
    <n v="1100704"/>
    <n v="4402816"/>
    <n v="3371379"/>
    <n v="1031437"/>
  </r>
  <r>
    <n v="1769"/>
    <s v="23-04-2024"/>
    <x v="0"/>
    <x v="9"/>
    <x v="2"/>
    <x v="13"/>
    <x v="6"/>
    <x v="8"/>
    <x v="2"/>
    <n v="1.2"/>
    <n v="21"/>
    <n v="8"/>
    <n v="1364037"/>
    <n v="10912296"/>
    <n v="9413657"/>
    <n v="1498639"/>
  </r>
  <r>
    <n v="1770"/>
    <s v="15-01-2023"/>
    <x v="1"/>
    <x v="6"/>
    <x v="0"/>
    <x v="14"/>
    <x v="6"/>
    <x v="6"/>
    <x v="2"/>
    <n v="2"/>
    <n v="22"/>
    <n v="4"/>
    <n v="1272761"/>
    <n v="5091044"/>
    <n v="3933266"/>
    <n v="1157778"/>
  </r>
  <r>
    <n v="1771"/>
    <s v="31-03-2023"/>
    <x v="1"/>
    <x v="2"/>
    <x v="1"/>
    <x v="1"/>
    <x v="2"/>
    <x v="1"/>
    <x v="1"/>
    <n v="1.2"/>
    <n v="19"/>
    <n v="7"/>
    <n v="994884"/>
    <n v="6964188"/>
    <n v="5547792"/>
    <n v="1416396"/>
  </r>
  <r>
    <n v="1772"/>
    <s v="27-11-2024"/>
    <x v="0"/>
    <x v="1"/>
    <x v="2"/>
    <x v="3"/>
    <x v="7"/>
    <x v="2"/>
    <x v="1"/>
    <n v="1.2"/>
    <n v="18"/>
    <n v="6"/>
    <n v="1323804"/>
    <n v="7942824"/>
    <n v="6564114"/>
    <n v="1378710"/>
  </r>
  <r>
    <n v="1773"/>
    <s v="16-07-2024"/>
    <x v="0"/>
    <x v="11"/>
    <x v="2"/>
    <x v="15"/>
    <x v="7"/>
    <x v="7"/>
    <x v="0"/>
    <n v="1.2"/>
    <n v="22"/>
    <n v="3"/>
    <n v="760551"/>
    <n v="2281653"/>
    <n v="1959506"/>
    <n v="322147"/>
  </r>
  <r>
    <n v="1774"/>
    <s v="07-01-2023"/>
    <x v="1"/>
    <x v="6"/>
    <x v="2"/>
    <x v="3"/>
    <x v="2"/>
    <x v="2"/>
    <x v="1"/>
    <n v="1.5"/>
    <n v="20"/>
    <n v="2"/>
    <n v="1399677"/>
    <n v="2799354"/>
    <n v="2279508"/>
    <n v="519846"/>
  </r>
  <r>
    <n v="1775"/>
    <s v="11-03-2024"/>
    <x v="0"/>
    <x v="2"/>
    <x v="0"/>
    <x v="9"/>
    <x v="6"/>
    <x v="5"/>
    <x v="2"/>
    <n v="1.2"/>
    <n v="20"/>
    <n v="1"/>
    <n v="734512"/>
    <n v="734512"/>
    <n v="607967"/>
    <n v="126545"/>
  </r>
  <r>
    <n v="1776"/>
    <s v="25-11-2023"/>
    <x v="1"/>
    <x v="1"/>
    <x v="0"/>
    <x v="0"/>
    <x v="6"/>
    <x v="0"/>
    <x v="0"/>
    <n v="1.5"/>
    <n v="19"/>
    <n v="5"/>
    <n v="1183734"/>
    <n v="5918670"/>
    <n v="5320650"/>
    <n v="598020"/>
  </r>
  <r>
    <n v="1777"/>
    <s v="30-08-2023"/>
    <x v="1"/>
    <x v="4"/>
    <x v="3"/>
    <x v="8"/>
    <x v="6"/>
    <x v="5"/>
    <x v="2"/>
    <n v="1.2"/>
    <n v="23"/>
    <n v="4"/>
    <n v="1127693"/>
    <n v="4510772"/>
    <n v="3557546"/>
    <n v="953226"/>
  </r>
  <r>
    <n v="1778"/>
    <s v="01-06-2023"/>
    <x v="1"/>
    <x v="3"/>
    <x v="1"/>
    <x v="5"/>
    <x v="2"/>
    <x v="9"/>
    <x v="0"/>
    <n v="1.2"/>
    <n v="21"/>
    <n v="7"/>
    <n v="751633"/>
    <n v="5261431"/>
    <n v="4022236"/>
    <n v="1239195"/>
  </r>
  <r>
    <n v="1779"/>
    <s v="02-01-2023"/>
    <x v="1"/>
    <x v="6"/>
    <x v="0"/>
    <x v="2"/>
    <x v="5"/>
    <x v="0"/>
    <x v="0"/>
    <n v="1.2"/>
    <n v="16"/>
    <n v="1"/>
    <n v="1486226"/>
    <n v="1486226"/>
    <n v="1335880"/>
    <n v="150346"/>
  </r>
  <r>
    <n v="1780"/>
    <s v="11-01-2024"/>
    <x v="0"/>
    <x v="6"/>
    <x v="0"/>
    <x v="14"/>
    <x v="2"/>
    <x v="4"/>
    <x v="0"/>
    <n v="1.2"/>
    <n v="19"/>
    <n v="6"/>
    <n v="804850"/>
    <n v="4829100"/>
    <n v="4088710"/>
    <n v="740390"/>
  </r>
  <r>
    <n v="1781"/>
    <s v="03-01-2023"/>
    <x v="1"/>
    <x v="6"/>
    <x v="3"/>
    <x v="8"/>
    <x v="7"/>
    <x v="9"/>
    <x v="0"/>
    <n v="1.2"/>
    <n v="20"/>
    <n v="3"/>
    <n v="1375931"/>
    <n v="4127793"/>
    <n v="3609787"/>
    <n v="518006"/>
  </r>
  <r>
    <n v="1782"/>
    <s v="11-09-2024"/>
    <x v="0"/>
    <x v="7"/>
    <x v="3"/>
    <x v="4"/>
    <x v="1"/>
    <x v="7"/>
    <x v="0"/>
    <n v="1.5"/>
    <n v="22"/>
    <n v="1"/>
    <n v="1286178"/>
    <n v="1286178"/>
    <n v="1129461"/>
    <n v="156717"/>
  </r>
  <r>
    <n v="1783"/>
    <s v="27-02-2024"/>
    <x v="0"/>
    <x v="0"/>
    <x v="3"/>
    <x v="8"/>
    <x v="2"/>
    <x v="3"/>
    <x v="2"/>
    <n v="1"/>
    <n v="21"/>
    <n v="2"/>
    <n v="1400113"/>
    <n v="2800226"/>
    <n v="2159119"/>
    <n v="641107"/>
  </r>
  <r>
    <n v="1784"/>
    <s v="26-03-2023"/>
    <x v="1"/>
    <x v="2"/>
    <x v="0"/>
    <x v="9"/>
    <x v="6"/>
    <x v="0"/>
    <x v="0"/>
    <n v="1.5"/>
    <n v="23"/>
    <n v="8"/>
    <n v="931179"/>
    <n v="7449432"/>
    <n v="5602816"/>
    <n v="1846616"/>
  </r>
  <r>
    <n v="1785"/>
    <s v="21-02-2024"/>
    <x v="0"/>
    <x v="0"/>
    <x v="2"/>
    <x v="15"/>
    <x v="7"/>
    <x v="0"/>
    <x v="0"/>
    <n v="1.5"/>
    <n v="20"/>
    <n v="3"/>
    <n v="1240505"/>
    <n v="3721515"/>
    <n v="3041778"/>
    <n v="679737"/>
  </r>
  <r>
    <n v="1786"/>
    <s v="12-04-2023"/>
    <x v="1"/>
    <x v="9"/>
    <x v="3"/>
    <x v="6"/>
    <x v="6"/>
    <x v="0"/>
    <x v="0"/>
    <n v="1.5"/>
    <n v="19"/>
    <n v="8"/>
    <n v="1254828"/>
    <n v="10038624"/>
    <n v="8014706"/>
    <n v="2023918"/>
  </r>
  <r>
    <n v="1787"/>
    <s v="05-09-2024"/>
    <x v="0"/>
    <x v="7"/>
    <x v="1"/>
    <x v="10"/>
    <x v="2"/>
    <x v="6"/>
    <x v="2"/>
    <n v="1.5"/>
    <n v="23"/>
    <n v="8"/>
    <n v="761239"/>
    <n v="6089912"/>
    <n v="5048677"/>
    <n v="1041235"/>
  </r>
  <r>
    <n v="1788"/>
    <s v="26-12-2023"/>
    <x v="1"/>
    <x v="5"/>
    <x v="2"/>
    <x v="7"/>
    <x v="5"/>
    <x v="2"/>
    <x v="1"/>
    <n v="1"/>
    <n v="22"/>
    <n v="5"/>
    <n v="1038250"/>
    <n v="5191250"/>
    <n v="4446988"/>
    <n v="744262"/>
  </r>
  <r>
    <n v="1789"/>
    <s v="11-07-2024"/>
    <x v="0"/>
    <x v="11"/>
    <x v="2"/>
    <x v="3"/>
    <x v="3"/>
    <x v="6"/>
    <x v="2"/>
    <n v="1.2"/>
    <n v="19"/>
    <n v="5"/>
    <n v="1172148"/>
    <n v="5860740"/>
    <n v="4682880"/>
    <n v="1177860"/>
  </r>
  <r>
    <n v="1790"/>
    <s v="01-06-2023"/>
    <x v="1"/>
    <x v="3"/>
    <x v="3"/>
    <x v="8"/>
    <x v="3"/>
    <x v="6"/>
    <x v="2"/>
    <n v="1.2"/>
    <n v="16"/>
    <n v="2"/>
    <n v="886996"/>
    <n v="1773992"/>
    <n v="1391065"/>
    <n v="382927"/>
  </r>
  <r>
    <n v="1791"/>
    <s v="29-12-2023"/>
    <x v="1"/>
    <x v="5"/>
    <x v="2"/>
    <x v="7"/>
    <x v="7"/>
    <x v="8"/>
    <x v="2"/>
    <n v="1.2"/>
    <n v="16"/>
    <n v="3"/>
    <n v="1336145"/>
    <n v="4008435"/>
    <n v="3039332"/>
    <n v="969103"/>
  </r>
  <r>
    <n v="1792"/>
    <s v="06-07-2024"/>
    <x v="0"/>
    <x v="11"/>
    <x v="1"/>
    <x v="5"/>
    <x v="4"/>
    <x v="7"/>
    <x v="0"/>
    <n v="1.5"/>
    <n v="18"/>
    <n v="5"/>
    <n v="1400988"/>
    <n v="7004940"/>
    <n v="5520347"/>
    <n v="1484593"/>
  </r>
  <r>
    <n v="1793"/>
    <s v="27-02-2024"/>
    <x v="0"/>
    <x v="0"/>
    <x v="0"/>
    <x v="9"/>
    <x v="5"/>
    <x v="0"/>
    <x v="0"/>
    <n v="1"/>
    <n v="16"/>
    <n v="8"/>
    <n v="1266087"/>
    <n v="10128696"/>
    <n v="7662976"/>
    <n v="2465720"/>
  </r>
  <r>
    <n v="1794"/>
    <s v="09-12-2024"/>
    <x v="0"/>
    <x v="5"/>
    <x v="1"/>
    <x v="5"/>
    <x v="1"/>
    <x v="7"/>
    <x v="0"/>
    <n v="1.2"/>
    <n v="21"/>
    <n v="8"/>
    <n v="1435895"/>
    <n v="11487160"/>
    <n v="8960685"/>
    <n v="2526475"/>
  </r>
  <r>
    <n v="1795"/>
    <s v="19-08-2023"/>
    <x v="1"/>
    <x v="4"/>
    <x v="0"/>
    <x v="9"/>
    <x v="4"/>
    <x v="8"/>
    <x v="2"/>
    <n v="1.2"/>
    <n v="19"/>
    <n v="2"/>
    <n v="1218539"/>
    <n v="2437078"/>
    <n v="2076164"/>
    <n v="360914"/>
  </r>
  <r>
    <n v="1796"/>
    <s v="25-07-2024"/>
    <x v="0"/>
    <x v="11"/>
    <x v="2"/>
    <x v="3"/>
    <x v="2"/>
    <x v="9"/>
    <x v="0"/>
    <n v="2"/>
    <n v="16"/>
    <n v="5"/>
    <n v="780774"/>
    <n v="3903870"/>
    <n v="3286819"/>
    <n v="617051"/>
  </r>
  <r>
    <n v="1797"/>
    <s v="17-07-2023"/>
    <x v="1"/>
    <x v="11"/>
    <x v="3"/>
    <x v="8"/>
    <x v="4"/>
    <x v="9"/>
    <x v="0"/>
    <n v="2"/>
    <n v="18"/>
    <n v="2"/>
    <n v="632033"/>
    <n v="1264066"/>
    <n v="1079139"/>
    <n v="184927"/>
  </r>
  <r>
    <n v="1798"/>
    <s v="17-06-2024"/>
    <x v="0"/>
    <x v="3"/>
    <x v="0"/>
    <x v="9"/>
    <x v="7"/>
    <x v="8"/>
    <x v="2"/>
    <n v="1.5"/>
    <n v="22"/>
    <n v="1"/>
    <n v="835639"/>
    <n v="835639"/>
    <n v="689874"/>
    <n v="145765"/>
  </r>
  <r>
    <n v="1799"/>
    <s v="10-02-2023"/>
    <x v="1"/>
    <x v="0"/>
    <x v="3"/>
    <x v="6"/>
    <x v="3"/>
    <x v="1"/>
    <x v="1"/>
    <n v="1"/>
    <n v="18"/>
    <n v="5"/>
    <n v="817409"/>
    <n v="4087045"/>
    <n v="3661761"/>
    <n v="425284"/>
  </r>
  <r>
    <n v="1800"/>
    <s v="16-03-2023"/>
    <x v="1"/>
    <x v="2"/>
    <x v="2"/>
    <x v="13"/>
    <x v="7"/>
    <x v="9"/>
    <x v="0"/>
    <n v="1.5"/>
    <n v="22"/>
    <n v="5"/>
    <n v="893795"/>
    <n v="4468975"/>
    <n v="3590091"/>
    <n v="878884"/>
  </r>
  <r>
    <n v="1801"/>
    <s v="05-04-2023"/>
    <x v="1"/>
    <x v="9"/>
    <x v="3"/>
    <x v="6"/>
    <x v="5"/>
    <x v="7"/>
    <x v="0"/>
    <n v="1"/>
    <n v="19"/>
    <n v="1"/>
    <n v="1486943"/>
    <n v="1486943"/>
    <n v="1165324"/>
    <n v="321619"/>
  </r>
  <r>
    <n v="1802"/>
    <s v="01-03-2024"/>
    <x v="0"/>
    <x v="2"/>
    <x v="2"/>
    <x v="7"/>
    <x v="4"/>
    <x v="1"/>
    <x v="1"/>
    <n v="1.5"/>
    <n v="20"/>
    <n v="2"/>
    <n v="1436372"/>
    <n v="2872744"/>
    <n v="2202053"/>
    <n v="670691"/>
  </r>
  <r>
    <n v="1803"/>
    <s v="29-05-2023"/>
    <x v="1"/>
    <x v="8"/>
    <x v="2"/>
    <x v="13"/>
    <x v="7"/>
    <x v="1"/>
    <x v="1"/>
    <n v="1.2"/>
    <n v="18"/>
    <n v="6"/>
    <n v="854076"/>
    <n v="5124456"/>
    <n v="4351877"/>
    <n v="772579"/>
  </r>
  <r>
    <n v="1804"/>
    <s v="26-10-2023"/>
    <x v="1"/>
    <x v="10"/>
    <x v="1"/>
    <x v="5"/>
    <x v="5"/>
    <x v="7"/>
    <x v="0"/>
    <n v="1"/>
    <n v="20"/>
    <n v="6"/>
    <n v="1408371"/>
    <n v="8450226"/>
    <n v="6948639"/>
    <n v="1501587"/>
  </r>
  <r>
    <n v="1805"/>
    <s v="19-10-2023"/>
    <x v="1"/>
    <x v="10"/>
    <x v="2"/>
    <x v="3"/>
    <x v="7"/>
    <x v="4"/>
    <x v="0"/>
    <n v="1.2"/>
    <n v="22"/>
    <n v="2"/>
    <n v="862718"/>
    <n v="1725436"/>
    <n v="1329086"/>
    <n v="396350"/>
  </r>
  <r>
    <n v="1806"/>
    <s v="26-06-2024"/>
    <x v="0"/>
    <x v="3"/>
    <x v="0"/>
    <x v="0"/>
    <x v="6"/>
    <x v="1"/>
    <x v="1"/>
    <n v="1"/>
    <n v="22"/>
    <n v="1"/>
    <n v="1424725"/>
    <n v="1424725"/>
    <n v="1096793"/>
    <n v="327932"/>
  </r>
  <r>
    <n v="1807"/>
    <s v="30-08-2024"/>
    <x v="0"/>
    <x v="4"/>
    <x v="0"/>
    <x v="9"/>
    <x v="5"/>
    <x v="6"/>
    <x v="2"/>
    <n v="2"/>
    <n v="23"/>
    <n v="2"/>
    <n v="786810"/>
    <n v="1573620"/>
    <n v="1283731"/>
    <n v="289889"/>
  </r>
  <r>
    <n v="1808"/>
    <s v="16-03-2024"/>
    <x v="0"/>
    <x v="2"/>
    <x v="1"/>
    <x v="11"/>
    <x v="4"/>
    <x v="9"/>
    <x v="0"/>
    <n v="2"/>
    <n v="20"/>
    <n v="4"/>
    <n v="1059945"/>
    <n v="4239780"/>
    <n v="3494721"/>
    <n v="745059"/>
  </r>
  <r>
    <n v="1809"/>
    <s v="07-01-2023"/>
    <x v="1"/>
    <x v="6"/>
    <x v="3"/>
    <x v="8"/>
    <x v="6"/>
    <x v="9"/>
    <x v="0"/>
    <n v="1.5"/>
    <n v="23"/>
    <n v="3"/>
    <n v="791639"/>
    <n v="2374917"/>
    <n v="1942365"/>
    <n v="432552"/>
  </r>
  <r>
    <n v="1810"/>
    <s v="26-11-2023"/>
    <x v="1"/>
    <x v="1"/>
    <x v="2"/>
    <x v="13"/>
    <x v="5"/>
    <x v="0"/>
    <x v="0"/>
    <n v="1.2"/>
    <n v="18"/>
    <n v="6"/>
    <n v="770202"/>
    <n v="4621212"/>
    <n v="3739100"/>
    <n v="882112"/>
  </r>
  <r>
    <n v="1811"/>
    <s v="04-06-2024"/>
    <x v="0"/>
    <x v="3"/>
    <x v="0"/>
    <x v="0"/>
    <x v="0"/>
    <x v="3"/>
    <x v="2"/>
    <n v="1.5"/>
    <n v="22"/>
    <n v="6"/>
    <n v="1072928"/>
    <n v="6437568"/>
    <n v="5680955"/>
    <n v="756613"/>
  </r>
  <r>
    <n v="1812"/>
    <s v="09-07-2023"/>
    <x v="1"/>
    <x v="11"/>
    <x v="3"/>
    <x v="6"/>
    <x v="6"/>
    <x v="4"/>
    <x v="0"/>
    <n v="1.5"/>
    <n v="21"/>
    <n v="5"/>
    <n v="858623"/>
    <n v="4293115"/>
    <n v="3684333"/>
    <n v="608782"/>
  </r>
  <r>
    <n v="1813"/>
    <s v="30-05-2023"/>
    <x v="1"/>
    <x v="8"/>
    <x v="0"/>
    <x v="9"/>
    <x v="5"/>
    <x v="7"/>
    <x v="0"/>
    <n v="1.2"/>
    <n v="20"/>
    <n v="5"/>
    <n v="1474034"/>
    <n v="7370170"/>
    <n v="6396151"/>
    <n v="974019"/>
  </r>
  <r>
    <n v="1814"/>
    <s v="10-02-2023"/>
    <x v="1"/>
    <x v="0"/>
    <x v="2"/>
    <x v="3"/>
    <x v="2"/>
    <x v="5"/>
    <x v="2"/>
    <n v="1.5"/>
    <n v="23"/>
    <n v="5"/>
    <n v="1287875"/>
    <n v="6439375"/>
    <n v="5418172"/>
    <n v="1021203"/>
  </r>
  <r>
    <n v="1815"/>
    <s v="15-11-2024"/>
    <x v="0"/>
    <x v="1"/>
    <x v="0"/>
    <x v="0"/>
    <x v="3"/>
    <x v="6"/>
    <x v="2"/>
    <n v="1.5"/>
    <n v="22"/>
    <n v="1"/>
    <n v="936371"/>
    <n v="936371"/>
    <n v="719984"/>
    <n v="216387"/>
  </r>
  <r>
    <n v="1816"/>
    <s v="22-11-2023"/>
    <x v="1"/>
    <x v="1"/>
    <x v="3"/>
    <x v="6"/>
    <x v="4"/>
    <x v="6"/>
    <x v="2"/>
    <n v="1.2"/>
    <n v="23"/>
    <n v="7"/>
    <n v="926976"/>
    <n v="6488832"/>
    <n v="5310504"/>
    <n v="1178328"/>
  </r>
  <r>
    <n v="1817"/>
    <s v="19-10-2024"/>
    <x v="0"/>
    <x v="10"/>
    <x v="3"/>
    <x v="4"/>
    <x v="0"/>
    <x v="0"/>
    <x v="0"/>
    <n v="1.5"/>
    <n v="18"/>
    <n v="2"/>
    <n v="1288568"/>
    <n v="2577136"/>
    <n v="2085697"/>
    <n v="491439"/>
  </r>
  <r>
    <n v="1818"/>
    <s v="21-08-2023"/>
    <x v="1"/>
    <x v="4"/>
    <x v="1"/>
    <x v="11"/>
    <x v="6"/>
    <x v="5"/>
    <x v="2"/>
    <n v="1.5"/>
    <n v="21"/>
    <n v="1"/>
    <n v="693559"/>
    <n v="693559"/>
    <n v="548803"/>
    <n v="144756"/>
  </r>
  <r>
    <n v="1819"/>
    <s v="26-06-2024"/>
    <x v="0"/>
    <x v="3"/>
    <x v="2"/>
    <x v="3"/>
    <x v="4"/>
    <x v="6"/>
    <x v="2"/>
    <n v="1.2"/>
    <n v="22"/>
    <n v="5"/>
    <n v="603624"/>
    <n v="3018120"/>
    <n v="2624471"/>
    <n v="393649"/>
  </r>
  <r>
    <n v="1820"/>
    <s v="07-12-2023"/>
    <x v="1"/>
    <x v="5"/>
    <x v="3"/>
    <x v="4"/>
    <x v="0"/>
    <x v="9"/>
    <x v="0"/>
    <n v="1"/>
    <n v="18"/>
    <n v="1"/>
    <n v="1223681"/>
    <n v="1223681"/>
    <n v="918501"/>
    <n v="305180"/>
  </r>
  <r>
    <n v="1821"/>
    <s v="11-07-2024"/>
    <x v="0"/>
    <x v="11"/>
    <x v="0"/>
    <x v="9"/>
    <x v="3"/>
    <x v="0"/>
    <x v="0"/>
    <n v="1.5"/>
    <n v="19"/>
    <n v="5"/>
    <n v="887208"/>
    <n v="4436040"/>
    <n v="3973206"/>
    <n v="462834"/>
  </r>
  <r>
    <n v="1822"/>
    <s v="21-02-2024"/>
    <x v="0"/>
    <x v="0"/>
    <x v="2"/>
    <x v="15"/>
    <x v="4"/>
    <x v="4"/>
    <x v="0"/>
    <n v="1.5"/>
    <n v="22"/>
    <n v="8"/>
    <n v="1347700"/>
    <n v="10781600"/>
    <n v="9330340"/>
    <n v="1451260"/>
  </r>
  <r>
    <n v="1823"/>
    <s v="23-10-2024"/>
    <x v="0"/>
    <x v="10"/>
    <x v="2"/>
    <x v="7"/>
    <x v="5"/>
    <x v="3"/>
    <x v="2"/>
    <n v="1"/>
    <n v="23"/>
    <n v="3"/>
    <n v="1010933"/>
    <n v="3032799"/>
    <n v="2358067"/>
    <n v="674732"/>
  </r>
  <r>
    <n v="1824"/>
    <s v="26-02-2024"/>
    <x v="0"/>
    <x v="0"/>
    <x v="3"/>
    <x v="6"/>
    <x v="0"/>
    <x v="8"/>
    <x v="2"/>
    <n v="1"/>
    <n v="19"/>
    <n v="1"/>
    <n v="950184"/>
    <n v="950184"/>
    <n v="807007"/>
    <n v="143177"/>
  </r>
  <r>
    <n v="1825"/>
    <s v="01-12-2024"/>
    <x v="0"/>
    <x v="5"/>
    <x v="1"/>
    <x v="1"/>
    <x v="7"/>
    <x v="1"/>
    <x v="1"/>
    <n v="1"/>
    <n v="19"/>
    <n v="7"/>
    <n v="1421415"/>
    <n v="9949905"/>
    <n v="8669649"/>
    <n v="1280256"/>
  </r>
  <r>
    <n v="1826"/>
    <s v="05-12-2023"/>
    <x v="1"/>
    <x v="5"/>
    <x v="2"/>
    <x v="13"/>
    <x v="4"/>
    <x v="6"/>
    <x v="2"/>
    <n v="1"/>
    <n v="18"/>
    <n v="1"/>
    <n v="709833"/>
    <n v="709833"/>
    <n v="604732"/>
    <n v="105101"/>
  </r>
  <r>
    <n v="1827"/>
    <s v="05-02-2023"/>
    <x v="1"/>
    <x v="0"/>
    <x v="0"/>
    <x v="14"/>
    <x v="3"/>
    <x v="9"/>
    <x v="0"/>
    <n v="1.5"/>
    <n v="20"/>
    <n v="1"/>
    <n v="836762"/>
    <n v="836762"/>
    <n v="666721"/>
    <n v="170041"/>
  </r>
  <r>
    <n v="1828"/>
    <s v="20-10-2023"/>
    <x v="1"/>
    <x v="10"/>
    <x v="3"/>
    <x v="6"/>
    <x v="3"/>
    <x v="1"/>
    <x v="1"/>
    <n v="2"/>
    <n v="21"/>
    <n v="6"/>
    <n v="999534"/>
    <n v="5997204"/>
    <n v="4916947"/>
    <n v="1080257"/>
  </r>
  <r>
    <n v="1829"/>
    <s v="16-10-2023"/>
    <x v="1"/>
    <x v="10"/>
    <x v="3"/>
    <x v="4"/>
    <x v="0"/>
    <x v="2"/>
    <x v="1"/>
    <n v="1"/>
    <n v="23"/>
    <n v="2"/>
    <n v="1274392"/>
    <n v="2548784"/>
    <n v="2194916"/>
    <n v="353868"/>
  </r>
  <r>
    <n v="1830"/>
    <s v="04-05-2023"/>
    <x v="1"/>
    <x v="8"/>
    <x v="1"/>
    <x v="10"/>
    <x v="7"/>
    <x v="0"/>
    <x v="0"/>
    <n v="1.5"/>
    <n v="23"/>
    <n v="2"/>
    <n v="1319798"/>
    <n v="2639596"/>
    <n v="2064683"/>
    <n v="574913"/>
  </r>
  <r>
    <n v="1831"/>
    <s v="03-04-2024"/>
    <x v="0"/>
    <x v="9"/>
    <x v="2"/>
    <x v="15"/>
    <x v="7"/>
    <x v="9"/>
    <x v="0"/>
    <n v="1.2"/>
    <n v="16"/>
    <n v="7"/>
    <n v="722371"/>
    <n v="5056597"/>
    <n v="3965866"/>
    <n v="1090731"/>
  </r>
  <r>
    <n v="1832"/>
    <s v="23-06-2023"/>
    <x v="1"/>
    <x v="3"/>
    <x v="3"/>
    <x v="12"/>
    <x v="4"/>
    <x v="3"/>
    <x v="2"/>
    <n v="1.5"/>
    <n v="21"/>
    <n v="6"/>
    <n v="1112896"/>
    <n v="6677376"/>
    <n v="5721377"/>
    <n v="955999"/>
  </r>
  <r>
    <n v="1833"/>
    <s v="27-06-2023"/>
    <x v="1"/>
    <x v="3"/>
    <x v="3"/>
    <x v="12"/>
    <x v="6"/>
    <x v="6"/>
    <x v="2"/>
    <n v="1"/>
    <n v="22"/>
    <n v="3"/>
    <n v="1232796"/>
    <n v="3698388"/>
    <n v="3259327"/>
    <n v="439061"/>
  </r>
  <r>
    <n v="1834"/>
    <s v="11-05-2024"/>
    <x v="0"/>
    <x v="8"/>
    <x v="3"/>
    <x v="4"/>
    <x v="1"/>
    <x v="6"/>
    <x v="2"/>
    <n v="1.2"/>
    <n v="21"/>
    <n v="1"/>
    <n v="734148"/>
    <n v="734148"/>
    <n v="584443"/>
    <n v="149705"/>
  </r>
  <r>
    <n v="1835"/>
    <s v="05-07-2024"/>
    <x v="0"/>
    <x v="11"/>
    <x v="1"/>
    <x v="5"/>
    <x v="0"/>
    <x v="1"/>
    <x v="1"/>
    <n v="1"/>
    <n v="16"/>
    <n v="8"/>
    <n v="1321893"/>
    <n v="10575144"/>
    <n v="8133632"/>
    <n v="2441512"/>
  </r>
  <r>
    <n v="1836"/>
    <s v="15-01-2023"/>
    <x v="1"/>
    <x v="6"/>
    <x v="2"/>
    <x v="15"/>
    <x v="5"/>
    <x v="3"/>
    <x v="2"/>
    <n v="1.2"/>
    <n v="19"/>
    <n v="8"/>
    <n v="874734"/>
    <n v="6997872"/>
    <n v="5725606"/>
    <n v="1272266"/>
  </r>
  <r>
    <n v="1837"/>
    <s v="07-09-2024"/>
    <x v="0"/>
    <x v="7"/>
    <x v="2"/>
    <x v="15"/>
    <x v="7"/>
    <x v="2"/>
    <x v="1"/>
    <n v="2"/>
    <n v="18"/>
    <n v="3"/>
    <n v="874642"/>
    <n v="2623926"/>
    <n v="1989097"/>
    <n v="634829"/>
  </r>
  <r>
    <n v="1838"/>
    <s v="10-03-2024"/>
    <x v="0"/>
    <x v="2"/>
    <x v="3"/>
    <x v="12"/>
    <x v="4"/>
    <x v="4"/>
    <x v="0"/>
    <n v="2"/>
    <n v="21"/>
    <n v="1"/>
    <n v="734618"/>
    <n v="734618"/>
    <n v="603675"/>
    <n v="130943"/>
  </r>
  <r>
    <n v="1839"/>
    <s v="28-03-2024"/>
    <x v="0"/>
    <x v="2"/>
    <x v="0"/>
    <x v="2"/>
    <x v="5"/>
    <x v="8"/>
    <x v="2"/>
    <n v="2"/>
    <n v="16"/>
    <n v="6"/>
    <n v="1083315"/>
    <n v="6499890"/>
    <n v="5074355"/>
    <n v="1425535"/>
  </r>
  <r>
    <n v="1840"/>
    <s v="22-03-2024"/>
    <x v="0"/>
    <x v="2"/>
    <x v="0"/>
    <x v="0"/>
    <x v="3"/>
    <x v="9"/>
    <x v="0"/>
    <n v="2"/>
    <n v="19"/>
    <n v="2"/>
    <n v="1117398"/>
    <n v="2234796"/>
    <n v="1810227"/>
    <n v="424569"/>
  </r>
  <r>
    <n v="1841"/>
    <s v="01-12-2024"/>
    <x v="0"/>
    <x v="5"/>
    <x v="2"/>
    <x v="13"/>
    <x v="4"/>
    <x v="6"/>
    <x v="2"/>
    <n v="1.5"/>
    <n v="18"/>
    <n v="6"/>
    <n v="613116"/>
    <n v="3678696"/>
    <n v="2901296"/>
    <n v="777400"/>
  </r>
  <r>
    <n v="1842"/>
    <s v="25-10-2023"/>
    <x v="1"/>
    <x v="10"/>
    <x v="2"/>
    <x v="3"/>
    <x v="6"/>
    <x v="0"/>
    <x v="0"/>
    <n v="1.2"/>
    <n v="19"/>
    <n v="1"/>
    <n v="758742"/>
    <n v="758742"/>
    <n v="651052"/>
    <n v="107690"/>
  </r>
  <r>
    <n v="1843"/>
    <s v="09-09-2023"/>
    <x v="1"/>
    <x v="7"/>
    <x v="2"/>
    <x v="13"/>
    <x v="7"/>
    <x v="3"/>
    <x v="2"/>
    <n v="1.2"/>
    <n v="21"/>
    <n v="5"/>
    <n v="1298298"/>
    <n v="6491490"/>
    <n v="5554941"/>
    <n v="936549"/>
  </r>
  <r>
    <n v="1844"/>
    <s v="28-06-2023"/>
    <x v="1"/>
    <x v="3"/>
    <x v="3"/>
    <x v="12"/>
    <x v="5"/>
    <x v="3"/>
    <x v="2"/>
    <n v="1.2"/>
    <n v="16"/>
    <n v="8"/>
    <n v="685501"/>
    <n v="5484008"/>
    <n v="4194965"/>
    <n v="1289043"/>
  </r>
  <r>
    <n v="1845"/>
    <s v="11-05-2023"/>
    <x v="1"/>
    <x v="8"/>
    <x v="1"/>
    <x v="5"/>
    <x v="4"/>
    <x v="2"/>
    <x v="1"/>
    <n v="2"/>
    <n v="16"/>
    <n v="8"/>
    <n v="888756"/>
    <n v="7110048"/>
    <n v="5995216"/>
    <n v="1114832"/>
  </r>
  <r>
    <n v="1846"/>
    <s v="05-11-2023"/>
    <x v="1"/>
    <x v="1"/>
    <x v="1"/>
    <x v="1"/>
    <x v="6"/>
    <x v="1"/>
    <x v="1"/>
    <n v="2"/>
    <n v="23"/>
    <n v="1"/>
    <n v="1011910"/>
    <n v="1011910"/>
    <n v="839824"/>
    <n v="172086"/>
  </r>
  <r>
    <n v="1847"/>
    <s v="24-11-2023"/>
    <x v="1"/>
    <x v="1"/>
    <x v="1"/>
    <x v="11"/>
    <x v="0"/>
    <x v="2"/>
    <x v="1"/>
    <n v="1"/>
    <n v="18"/>
    <n v="8"/>
    <n v="1192193"/>
    <n v="9537544"/>
    <n v="7158086"/>
    <n v="2379458"/>
  </r>
  <r>
    <n v="1848"/>
    <s v="06-08-2024"/>
    <x v="0"/>
    <x v="4"/>
    <x v="2"/>
    <x v="15"/>
    <x v="4"/>
    <x v="7"/>
    <x v="0"/>
    <n v="1.5"/>
    <n v="21"/>
    <n v="8"/>
    <n v="1375787"/>
    <n v="11006296"/>
    <n v="8539180"/>
    <n v="2467116"/>
  </r>
  <r>
    <n v="1849"/>
    <s v="12-08-2024"/>
    <x v="0"/>
    <x v="4"/>
    <x v="2"/>
    <x v="3"/>
    <x v="2"/>
    <x v="2"/>
    <x v="1"/>
    <n v="1"/>
    <n v="20"/>
    <n v="1"/>
    <n v="1342853"/>
    <n v="1342853"/>
    <n v="1203691"/>
    <n v="139162"/>
  </r>
  <r>
    <n v="1850"/>
    <s v="21-09-2023"/>
    <x v="1"/>
    <x v="7"/>
    <x v="0"/>
    <x v="9"/>
    <x v="3"/>
    <x v="1"/>
    <x v="1"/>
    <n v="1.2"/>
    <n v="20"/>
    <n v="4"/>
    <n v="755306"/>
    <n v="3021224"/>
    <n v="2650661"/>
    <n v="370563"/>
  </r>
  <r>
    <n v="1851"/>
    <s v="10-07-2024"/>
    <x v="0"/>
    <x v="11"/>
    <x v="1"/>
    <x v="5"/>
    <x v="3"/>
    <x v="4"/>
    <x v="0"/>
    <n v="1.5"/>
    <n v="19"/>
    <n v="6"/>
    <n v="735901"/>
    <n v="4415406"/>
    <n v="3681904"/>
    <n v="733502"/>
  </r>
  <r>
    <n v="1852"/>
    <s v="27-01-2024"/>
    <x v="0"/>
    <x v="6"/>
    <x v="1"/>
    <x v="1"/>
    <x v="4"/>
    <x v="3"/>
    <x v="2"/>
    <n v="1"/>
    <n v="20"/>
    <n v="5"/>
    <n v="694606"/>
    <n v="3473030"/>
    <n v="3018847"/>
    <n v="454183"/>
  </r>
  <r>
    <n v="1853"/>
    <s v="06-01-2023"/>
    <x v="1"/>
    <x v="6"/>
    <x v="0"/>
    <x v="2"/>
    <x v="6"/>
    <x v="7"/>
    <x v="0"/>
    <n v="2"/>
    <n v="22"/>
    <n v="1"/>
    <n v="1069858"/>
    <n v="1069858"/>
    <n v="824523"/>
    <n v="245335"/>
  </r>
  <r>
    <n v="1854"/>
    <s v="01-11-2023"/>
    <x v="1"/>
    <x v="1"/>
    <x v="3"/>
    <x v="12"/>
    <x v="2"/>
    <x v="6"/>
    <x v="2"/>
    <n v="1"/>
    <n v="18"/>
    <n v="1"/>
    <n v="614761"/>
    <n v="614761"/>
    <n v="503308"/>
    <n v="111453"/>
  </r>
  <r>
    <n v="1855"/>
    <s v="26-04-2024"/>
    <x v="0"/>
    <x v="9"/>
    <x v="1"/>
    <x v="10"/>
    <x v="7"/>
    <x v="0"/>
    <x v="0"/>
    <n v="1.2"/>
    <n v="23"/>
    <n v="6"/>
    <n v="791447"/>
    <n v="4748682"/>
    <n v="4111227"/>
    <n v="637455"/>
  </r>
  <r>
    <n v="1856"/>
    <s v="08-09-2023"/>
    <x v="1"/>
    <x v="7"/>
    <x v="1"/>
    <x v="10"/>
    <x v="4"/>
    <x v="3"/>
    <x v="2"/>
    <n v="2"/>
    <n v="23"/>
    <n v="3"/>
    <n v="1109958"/>
    <n v="3329874"/>
    <n v="2626042"/>
    <n v="703832"/>
  </r>
  <r>
    <n v="1857"/>
    <s v="31-03-2024"/>
    <x v="0"/>
    <x v="2"/>
    <x v="1"/>
    <x v="1"/>
    <x v="4"/>
    <x v="6"/>
    <x v="2"/>
    <n v="1"/>
    <n v="19"/>
    <n v="3"/>
    <n v="762187"/>
    <n v="2286561"/>
    <n v="1917522"/>
    <n v="369039"/>
  </r>
  <r>
    <n v="1858"/>
    <s v="06-09-2024"/>
    <x v="0"/>
    <x v="7"/>
    <x v="3"/>
    <x v="8"/>
    <x v="4"/>
    <x v="2"/>
    <x v="1"/>
    <n v="2"/>
    <n v="20"/>
    <n v="3"/>
    <n v="1412349"/>
    <n v="4237047"/>
    <n v="3296205"/>
    <n v="940842"/>
  </r>
  <r>
    <n v="1859"/>
    <s v="17-09-2024"/>
    <x v="0"/>
    <x v="7"/>
    <x v="0"/>
    <x v="14"/>
    <x v="7"/>
    <x v="1"/>
    <x v="1"/>
    <n v="2"/>
    <n v="16"/>
    <n v="3"/>
    <n v="802954"/>
    <n v="2408862"/>
    <n v="1824449"/>
    <n v="584413"/>
  </r>
  <r>
    <n v="1860"/>
    <s v="18-09-2024"/>
    <x v="0"/>
    <x v="7"/>
    <x v="0"/>
    <x v="14"/>
    <x v="4"/>
    <x v="3"/>
    <x v="2"/>
    <n v="1.2"/>
    <n v="21"/>
    <n v="1"/>
    <n v="729991"/>
    <n v="729991"/>
    <n v="575474"/>
    <n v="154517"/>
  </r>
  <r>
    <n v="1861"/>
    <s v="13-07-2023"/>
    <x v="1"/>
    <x v="11"/>
    <x v="1"/>
    <x v="10"/>
    <x v="5"/>
    <x v="5"/>
    <x v="2"/>
    <n v="1"/>
    <n v="16"/>
    <n v="8"/>
    <n v="745809"/>
    <n v="5966472"/>
    <n v="4992551"/>
    <n v="973921"/>
  </r>
  <r>
    <n v="1862"/>
    <s v="05-07-2023"/>
    <x v="1"/>
    <x v="11"/>
    <x v="1"/>
    <x v="5"/>
    <x v="1"/>
    <x v="5"/>
    <x v="2"/>
    <n v="1"/>
    <n v="19"/>
    <n v="7"/>
    <n v="717001"/>
    <n v="5019007"/>
    <n v="4472245"/>
    <n v="546762"/>
  </r>
  <r>
    <n v="1863"/>
    <s v="11-01-2023"/>
    <x v="1"/>
    <x v="6"/>
    <x v="0"/>
    <x v="9"/>
    <x v="5"/>
    <x v="2"/>
    <x v="1"/>
    <n v="1.5"/>
    <n v="16"/>
    <n v="1"/>
    <n v="896829"/>
    <n v="896829"/>
    <n v="777803"/>
    <n v="119026"/>
  </r>
  <r>
    <n v="1864"/>
    <s v="14-08-2023"/>
    <x v="1"/>
    <x v="4"/>
    <x v="0"/>
    <x v="2"/>
    <x v="6"/>
    <x v="4"/>
    <x v="0"/>
    <n v="1.2"/>
    <n v="23"/>
    <n v="2"/>
    <n v="732806"/>
    <n v="1465612"/>
    <n v="1135342"/>
    <n v="330270"/>
  </r>
  <r>
    <n v="1865"/>
    <s v="07-01-2023"/>
    <x v="1"/>
    <x v="6"/>
    <x v="1"/>
    <x v="1"/>
    <x v="1"/>
    <x v="2"/>
    <x v="1"/>
    <n v="1.5"/>
    <n v="18"/>
    <n v="1"/>
    <n v="1059570"/>
    <n v="1059570"/>
    <n v="801729"/>
    <n v="257841"/>
  </r>
  <r>
    <n v="1866"/>
    <s v="12-03-2023"/>
    <x v="1"/>
    <x v="2"/>
    <x v="1"/>
    <x v="10"/>
    <x v="1"/>
    <x v="8"/>
    <x v="2"/>
    <n v="2"/>
    <n v="18"/>
    <n v="4"/>
    <n v="846354"/>
    <n v="3385416"/>
    <n v="2843970"/>
    <n v="541446"/>
  </r>
  <r>
    <n v="1867"/>
    <s v="17-08-2023"/>
    <x v="1"/>
    <x v="4"/>
    <x v="0"/>
    <x v="2"/>
    <x v="1"/>
    <x v="2"/>
    <x v="1"/>
    <n v="1.5"/>
    <n v="18"/>
    <n v="3"/>
    <n v="739295"/>
    <n v="2217885"/>
    <n v="1855483"/>
    <n v="362402"/>
  </r>
  <r>
    <n v="1868"/>
    <s v="21-01-2023"/>
    <x v="1"/>
    <x v="6"/>
    <x v="0"/>
    <x v="9"/>
    <x v="6"/>
    <x v="9"/>
    <x v="0"/>
    <n v="1.5"/>
    <n v="18"/>
    <n v="5"/>
    <n v="851197"/>
    <n v="4255985"/>
    <n v="3573566"/>
    <n v="682419"/>
  </r>
  <r>
    <n v="1869"/>
    <s v="19-06-2023"/>
    <x v="1"/>
    <x v="3"/>
    <x v="3"/>
    <x v="8"/>
    <x v="6"/>
    <x v="4"/>
    <x v="0"/>
    <n v="1.5"/>
    <n v="19"/>
    <n v="3"/>
    <n v="1439669"/>
    <n v="4319007"/>
    <n v="3281379"/>
    <n v="1037628"/>
  </r>
  <r>
    <n v="1870"/>
    <s v="17-02-2023"/>
    <x v="1"/>
    <x v="0"/>
    <x v="3"/>
    <x v="4"/>
    <x v="1"/>
    <x v="9"/>
    <x v="0"/>
    <n v="1.2"/>
    <n v="23"/>
    <n v="3"/>
    <n v="688638"/>
    <n v="2065914"/>
    <n v="1813284"/>
    <n v="252630"/>
  </r>
  <r>
    <n v="1871"/>
    <s v="01-02-2024"/>
    <x v="0"/>
    <x v="0"/>
    <x v="0"/>
    <x v="14"/>
    <x v="4"/>
    <x v="1"/>
    <x v="1"/>
    <n v="1.2"/>
    <n v="19"/>
    <n v="1"/>
    <n v="1269389"/>
    <n v="1269389"/>
    <n v="1018101"/>
    <n v="251288"/>
  </r>
  <r>
    <n v="1872"/>
    <s v="13-09-2024"/>
    <x v="0"/>
    <x v="7"/>
    <x v="1"/>
    <x v="10"/>
    <x v="6"/>
    <x v="2"/>
    <x v="1"/>
    <n v="1.2"/>
    <n v="19"/>
    <n v="4"/>
    <n v="947020"/>
    <n v="3788080"/>
    <n v="3093599"/>
    <n v="694481"/>
  </r>
  <r>
    <n v="1873"/>
    <s v="26-09-2024"/>
    <x v="0"/>
    <x v="7"/>
    <x v="1"/>
    <x v="1"/>
    <x v="4"/>
    <x v="0"/>
    <x v="0"/>
    <n v="1.5"/>
    <n v="18"/>
    <n v="1"/>
    <n v="1064681"/>
    <n v="1064681"/>
    <n v="806819"/>
    <n v="257862"/>
  </r>
  <r>
    <n v="1874"/>
    <s v="25-04-2024"/>
    <x v="0"/>
    <x v="9"/>
    <x v="3"/>
    <x v="6"/>
    <x v="4"/>
    <x v="8"/>
    <x v="2"/>
    <n v="2"/>
    <n v="20"/>
    <n v="4"/>
    <n v="1000916"/>
    <n v="4003664"/>
    <n v="3405608"/>
    <n v="598056"/>
  </r>
  <r>
    <n v="1875"/>
    <s v="07-03-2023"/>
    <x v="1"/>
    <x v="2"/>
    <x v="2"/>
    <x v="3"/>
    <x v="7"/>
    <x v="4"/>
    <x v="0"/>
    <n v="1.5"/>
    <n v="21"/>
    <n v="7"/>
    <n v="1440101"/>
    <n v="10080707"/>
    <n v="8453926"/>
    <n v="1626781"/>
  </r>
  <r>
    <n v="1876"/>
    <s v="09-07-2023"/>
    <x v="1"/>
    <x v="11"/>
    <x v="1"/>
    <x v="11"/>
    <x v="3"/>
    <x v="0"/>
    <x v="0"/>
    <n v="1.2"/>
    <n v="21"/>
    <n v="7"/>
    <n v="1432948"/>
    <n v="10030636"/>
    <n v="8616004"/>
    <n v="1414632"/>
  </r>
  <r>
    <n v="1877"/>
    <s v="15-03-2023"/>
    <x v="1"/>
    <x v="2"/>
    <x v="2"/>
    <x v="15"/>
    <x v="3"/>
    <x v="0"/>
    <x v="0"/>
    <n v="2"/>
    <n v="18"/>
    <n v="5"/>
    <n v="1043017"/>
    <n v="5215085"/>
    <n v="4565926"/>
    <n v="649159"/>
  </r>
  <r>
    <n v="1878"/>
    <s v="11-04-2023"/>
    <x v="1"/>
    <x v="9"/>
    <x v="3"/>
    <x v="8"/>
    <x v="1"/>
    <x v="8"/>
    <x v="2"/>
    <n v="1"/>
    <n v="22"/>
    <n v="4"/>
    <n v="1097846"/>
    <n v="4391384"/>
    <n v="3540143"/>
    <n v="851241"/>
  </r>
  <r>
    <n v="1879"/>
    <s v="09-11-2024"/>
    <x v="0"/>
    <x v="1"/>
    <x v="0"/>
    <x v="2"/>
    <x v="0"/>
    <x v="4"/>
    <x v="0"/>
    <n v="1.2"/>
    <n v="19"/>
    <n v="2"/>
    <n v="785837"/>
    <n v="1571674"/>
    <n v="1240626"/>
    <n v="331048"/>
  </r>
  <r>
    <n v="1880"/>
    <s v="08-09-2023"/>
    <x v="1"/>
    <x v="7"/>
    <x v="2"/>
    <x v="3"/>
    <x v="3"/>
    <x v="6"/>
    <x v="2"/>
    <n v="1.5"/>
    <n v="21"/>
    <n v="3"/>
    <n v="1401541"/>
    <n v="4204623"/>
    <n v="3740842"/>
    <n v="463781"/>
  </r>
  <r>
    <n v="1881"/>
    <s v="14-10-2024"/>
    <x v="0"/>
    <x v="10"/>
    <x v="0"/>
    <x v="0"/>
    <x v="6"/>
    <x v="2"/>
    <x v="1"/>
    <n v="1.2"/>
    <n v="22"/>
    <n v="1"/>
    <n v="735569"/>
    <n v="735569"/>
    <n v="596299"/>
    <n v="139270"/>
  </r>
  <r>
    <n v="1882"/>
    <s v="11-10-2023"/>
    <x v="1"/>
    <x v="10"/>
    <x v="2"/>
    <x v="15"/>
    <x v="2"/>
    <x v="0"/>
    <x v="0"/>
    <n v="1"/>
    <n v="16"/>
    <n v="2"/>
    <n v="1237679"/>
    <n v="2475358"/>
    <n v="1903801"/>
    <n v="571557"/>
  </r>
  <r>
    <n v="1883"/>
    <s v="02-04-2023"/>
    <x v="1"/>
    <x v="9"/>
    <x v="2"/>
    <x v="7"/>
    <x v="0"/>
    <x v="1"/>
    <x v="1"/>
    <n v="1.5"/>
    <n v="20"/>
    <n v="8"/>
    <n v="1043593"/>
    <n v="8348744"/>
    <n v="7511575"/>
    <n v="837169"/>
  </r>
  <r>
    <n v="1884"/>
    <s v="07-04-2024"/>
    <x v="0"/>
    <x v="9"/>
    <x v="1"/>
    <x v="1"/>
    <x v="3"/>
    <x v="4"/>
    <x v="0"/>
    <n v="2"/>
    <n v="21"/>
    <n v="2"/>
    <n v="1075082"/>
    <n v="2150164"/>
    <n v="1627626"/>
    <n v="522538"/>
  </r>
  <r>
    <n v="1885"/>
    <s v="11-11-2024"/>
    <x v="0"/>
    <x v="1"/>
    <x v="3"/>
    <x v="6"/>
    <x v="1"/>
    <x v="8"/>
    <x v="2"/>
    <n v="1.5"/>
    <n v="21"/>
    <n v="4"/>
    <n v="1020122"/>
    <n v="4080488"/>
    <n v="3399489"/>
    <n v="680999"/>
  </r>
  <r>
    <n v="1886"/>
    <s v="09-09-2024"/>
    <x v="0"/>
    <x v="7"/>
    <x v="2"/>
    <x v="15"/>
    <x v="4"/>
    <x v="0"/>
    <x v="0"/>
    <n v="1.2"/>
    <n v="19"/>
    <n v="8"/>
    <n v="915024"/>
    <n v="7320192"/>
    <n v="6192041"/>
    <n v="1128151"/>
  </r>
  <r>
    <n v="1887"/>
    <s v="26-11-2024"/>
    <x v="0"/>
    <x v="1"/>
    <x v="1"/>
    <x v="10"/>
    <x v="4"/>
    <x v="3"/>
    <x v="2"/>
    <n v="1"/>
    <n v="21"/>
    <n v="3"/>
    <n v="1073299"/>
    <n v="3219897"/>
    <n v="2588400"/>
    <n v="631497"/>
  </r>
  <r>
    <n v="1888"/>
    <s v="08-02-2023"/>
    <x v="1"/>
    <x v="0"/>
    <x v="1"/>
    <x v="11"/>
    <x v="6"/>
    <x v="4"/>
    <x v="0"/>
    <n v="1.2"/>
    <n v="21"/>
    <n v="7"/>
    <n v="1229310"/>
    <n v="8605170"/>
    <n v="6975251"/>
    <n v="1629919"/>
  </r>
  <r>
    <n v="1889"/>
    <s v="03-04-2023"/>
    <x v="1"/>
    <x v="9"/>
    <x v="0"/>
    <x v="0"/>
    <x v="6"/>
    <x v="7"/>
    <x v="0"/>
    <n v="1"/>
    <n v="16"/>
    <n v="6"/>
    <n v="1173521"/>
    <n v="7041126"/>
    <n v="5666498"/>
    <n v="1374628"/>
  </r>
  <r>
    <n v="1890"/>
    <s v="17-06-2023"/>
    <x v="1"/>
    <x v="3"/>
    <x v="3"/>
    <x v="12"/>
    <x v="0"/>
    <x v="9"/>
    <x v="0"/>
    <n v="1"/>
    <n v="21"/>
    <n v="2"/>
    <n v="1016058"/>
    <n v="2032116"/>
    <n v="1667401"/>
    <n v="364715"/>
  </r>
  <r>
    <n v="1891"/>
    <s v="10-03-2023"/>
    <x v="1"/>
    <x v="2"/>
    <x v="3"/>
    <x v="6"/>
    <x v="7"/>
    <x v="8"/>
    <x v="2"/>
    <n v="2"/>
    <n v="23"/>
    <n v="5"/>
    <n v="706631"/>
    <n v="3533155"/>
    <n v="2760528"/>
    <n v="772627"/>
  </r>
  <r>
    <n v="1892"/>
    <s v="13-08-2024"/>
    <x v="0"/>
    <x v="4"/>
    <x v="0"/>
    <x v="0"/>
    <x v="4"/>
    <x v="0"/>
    <x v="0"/>
    <n v="1"/>
    <n v="20"/>
    <n v="6"/>
    <n v="1055016"/>
    <n v="6330096"/>
    <n v="4981849"/>
    <n v="1348247"/>
  </r>
  <r>
    <n v="1893"/>
    <s v="02-07-2023"/>
    <x v="1"/>
    <x v="11"/>
    <x v="2"/>
    <x v="7"/>
    <x v="3"/>
    <x v="0"/>
    <x v="0"/>
    <n v="2"/>
    <n v="20"/>
    <n v="2"/>
    <n v="1322009"/>
    <n v="2644018"/>
    <n v="2161529"/>
    <n v="482489"/>
  </r>
  <r>
    <n v="1894"/>
    <s v="25-01-2024"/>
    <x v="0"/>
    <x v="6"/>
    <x v="0"/>
    <x v="14"/>
    <x v="1"/>
    <x v="6"/>
    <x v="2"/>
    <n v="1"/>
    <n v="19"/>
    <n v="8"/>
    <n v="1305057"/>
    <n v="10440456"/>
    <n v="8926755"/>
    <n v="1513701"/>
  </r>
  <r>
    <n v="1895"/>
    <s v="19-11-2024"/>
    <x v="0"/>
    <x v="1"/>
    <x v="0"/>
    <x v="14"/>
    <x v="0"/>
    <x v="8"/>
    <x v="2"/>
    <n v="1"/>
    <n v="19"/>
    <n v="4"/>
    <n v="629104"/>
    <n v="2516416"/>
    <n v="1972495"/>
    <n v="543921"/>
  </r>
  <r>
    <n v="1896"/>
    <s v="10-06-2024"/>
    <x v="0"/>
    <x v="3"/>
    <x v="3"/>
    <x v="6"/>
    <x v="0"/>
    <x v="9"/>
    <x v="0"/>
    <n v="1.5"/>
    <n v="20"/>
    <n v="6"/>
    <n v="896080"/>
    <n v="5376480"/>
    <n v="4457962"/>
    <n v="918518"/>
  </r>
  <r>
    <n v="1897"/>
    <s v="21-02-2024"/>
    <x v="0"/>
    <x v="0"/>
    <x v="1"/>
    <x v="10"/>
    <x v="2"/>
    <x v="2"/>
    <x v="1"/>
    <n v="2"/>
    <n v="21"/>
    <n v="7"/>
    <n v="1479411"/>
    <n v="10355877"/>
    <n v="9016417"/>
    <n v="1339460"/>
  </r>
  <r>
    <n v="1898"/>
    <s v="11-05-2023"/>
    <x v="1"/>
    <x v="8"/>
    <x v="2"/>
    <x v="7"/>
    <x v="4"/>
    <x v="9"/>
    <x v="0"/>
    <n v="1.2"/>
    <n v="23"/>
    <n v="7"/>
    <n v="1486212"/>
    <n v="10403484"/>
    <n v="8388722"/>
    <n v="2014762"/>
  </r>
  <r>
    <n v="1899"/>
    <s v="23-09-2023"/>
    <x v="1"/>
    <x v="7"/>
    <x v="1"/>
    <x v="10"/>
    <x v="6"/>
    <x v="8"/>
    <x v="2"/>
    <n v="1.5"/>
    <n v="20"/>
    <n v="4"/>
    <n v="1384488"/>
    <n v="5537952"/>
    <n v="4815652"/>
    <n v="722300"/>
  </r>
  <r>
    <n v="1900"/>
    <s v="21-07-2023"/>
    <x v="1"/>
    <x v="11"/>
    <x v="0"/>
    <x v="2"/>
    <x v="2"/>
    <x v="4"/>
    <x v="0"/>
    <n v="1"/>
    <n v="22"/>
    <n v="4"/>
    <n v="613908"/>
    <n v="2455632"/>
    <n v="1978622"/>
    <n v="477010"/>
  </r>
  <r>
    <n v="1901"/>
    <s v="29-07-2023"/>
    <x v="1"/>
    <x v="11"/>
    <x v="2"/>
    <x v="3"/>
    <x v="7"/>
    <x v="3"/>
    <x v="2"/>
    <n v="2"/>
    <n v="23"/>
    <n v="6"/>
    <n v="814528"/>
    <n v="4887168"/>
    <n v="3982403"/>
    <n v="904765"/>
  </r>
  <r>
    <n v="1902"/>
    <s v="15-07-2024"/>
    <x v="0"/>
    <x v="11"/>
    <x v="2"/>
    <x v="15"/>
    <x v="3"/>
    <x v="4"/>
    <x v="0"/>
    <n v="1.5"/>
    <n v="19"/>
    <n v="4"/>
    <n v="978736"/>
    <n v="3914944"/>
    <n v="3326280"/>
    <n v="588664"/>
  </r>
  <r>
    <n v="1903"/>
    <s v="20-12-2023"/>
    <x v="1"/>
    <x v="5"/>
    <x v="3"/>
    <x v="6"/>
    <x v="5"/>
    <x v="1"/>
    <x v="1"/>
    <n v="1"/>
    <n v="16"/>
    <n v="7"/>
    <n v="1019678"/>
    <n v="7137746"/>
    <n v="5430987"/>
    <n v="1706759"/>
  </r>
  <r>
    <n v="1904"/>
    <s v="23-08-2024"/>
    <x v="0"/>
    <x v="4"/>
    <x v="1"/>
    <x v="5"/>
    <x v="1"/>
    <x v="5"/>
    <x v="2"/>
    <n v="2"/>
    <n v="21"/>
    <n v="8"/>
    <n v="1259362"/>
    <n v="10074896"/>
    <n v="8362961"/>
    <n v="1711935"/>
  </r>
  <r>
    <n v="1905"/>
    <s v="01-12-2023"/>
    <x v="1"/>
    <x v="5"/>
    <x v="1"/>
    <x v="11"/>
    <x v="5"/>
    <x v="6"/>
    <x v="2"/>
    <n v="2"/>
    <n v="16"/>
    <n v="5"/>
    <n v="1141382"/>
    <n v="5706910"/>
    <n v="4475899"/>
    <n v="1231011"/>
  </r>
  <r>
    <n v="1906"/>
    <s v="22-02-2024"/>
    <x v="0"/>
    <x v="0"/>
    <x v="0"/>
    <x v="14"/>
    <x v="1"/>
    <x v="3"/>
    <x v="2"/>
    <n v="2"/>
    <n v="21"/>
    <n v="8"/>
    <n v="733470"/>
    <n v="5867760"/>
    <n v="5111153"/>
    <n v="756607"/>
  </r>
  <r>
    <n v="1907"/>
    <s v="10-02-2023"/>
    <x v="1"/>
    <x v="0"/>
    <x v="1"/>
    <x v="5"/>
    <x v="2"/>
    <x v="3"/>
    <x v="2"/>
    <n v="1.2"/>
    <n v="18"/>
    <n v="6"/>
    <n v="759741"/>
    <n v="4558446"/>
    <n v="3533558"/>
    <n v="1024888"/>
  </r>
  <r>
    <n v="1908"/>
    <s v="17-01-2024"/>
    <x v="0"/>
    <x v="6"/>
    <x v="3"/>
    <x v="6"/>
    <x v="1"/>
    <x v="2"/>
    <x v="1"/>
    <n v="1"/>
    <n v="16"/>
    <n v="3"/>
    <n v="926126"/>
    <n v="2778378"/>
    <n v="2307660"/>
    <n v="470718"/>
  </r>
  <r>
    <n v="1909"/>
    <s v="11-11-2023"/>
    <x v="1"/>
    <x v="1"/>
    <x v="1"/>
    <x v="10"/>
    <x v="7"/>
    <x v="9"/>
    <x v="0"/>
    <n v="1.5"/>
    <n v="20"/>
    <n v="1"/>
    <n v="773341"/>
    <n v="773341"/>
    <n v="609321"/>
    <n v="164020"/>
  </r>
  <r>
    <n v="1910"/>
    <s v="08-11-2023"/>
    <x v="1"/>
    <x v="1"/>
    <x v="1"/>
    <x v="11"/>
    <x v="3"/>
    <x v="8"/>
    <x v="2"/>
    <n v="1.5"/>
    <n v="21"/>
    <n v="5"/>
    <n v="1159278"/>
    <n v="5796390"/>
    <n v="4547270"/>
    <n v="1249120"/>
  </r>
  <r>
    <n v="1911"/>
    <s v="10-09-2023"/>
    <x v="1"/>
    <x v="7"/>
    <x v="1"/>
    <x v="11"/>
    <x v="7"/>
    <x v="4"/>
    <x v="0"/>
    <n v="1.2"/>
    <n v="16"/>
    <n v="4"/>
    <n v="1380438"/>
    <n v="5521752"/>
    <n v="4624370"/>
    <n v="897382"/>
  </r>
  <r>
    <n v="1912"/>
    <s v="05-12-2023"/>
    <x v="1"/>
    <x v="5"/>
    <x v="1"/>
    <x v="5"/>
    <x v="3"/>
    <x v="5"/>
    <x v="2"/>
    <n v="1.5"/>
    <n v="16"/>
    <n v="6"/>
    <n v="656220"/>
    <n v="3937320"/>
    <n v="3295057"/>
    <n v="642263"/>
  </r>
  <r>
    <n v="1913"/>
    <s v="08-09-2024"/>
    <x v="0"/>
    <x v="7"/>
    <x v="0"/>
    <x v="2"/>
    <x v="7"/>
    <x v="0"/>
    <x v="0"/>
    <n v="1.5"/>
    <n v="23"/>
    <n v="8"/>
    <n v="972054"/>
    <n v="7776432"/>
    <n v="6037678"/>
    <n v="1738754"/>
  </r>
  <r>
    <n v="1914"/>
    <s v="14-05-2023"/>
    <x v="1"/>
    <x v="8"/>
    <x v="1"/>
    <x v="11"/>
    <x v="6"/>
    <x v="1"/>
    <x v="1"/>
    <n v="2"/>
    <n v="22"/>
    <n v="3"/>
    <n v="1069406"/>
    <n v="3208218"/>
    <n v="2793434"/>
    <n v="414784"/>
  </r>
  <r>
    <n v="1915"/>
    <s v="25-12-2024"/>
    <x v="0"/>
    <x v="5"/>
    <x v="3"/>
    <x v="6"/>
    <x v="6"/>
    <x v="0"/>
    <x v="0"/>
    <n v="1"/>
    <n v="18"/>
    <n v="5"/>
    <n v="764552"/>
    <n v="3822760"/>
    <n v="3283378"/>
    <n v="539382"/>
  </r>
  <r>
    <n v="1916"/>
    <s v="29-04-2023"/>
    <x v="1"/>
    <x v="9"/>
    <x v="1"/>
    <x v="11"/>
    <x v="1"/>
    <x v="0"/>
    <x v="0"/>
    <n v="2"/>
    <n v="20"/>
    <n v="4"/>
    <n v="1050319"/>
    <n v="4201276"/>
    <n v="3715284"/>
    <n v="485992"/>
  </r>
  <r>
    <n v="1917"/>
    <s v="08-02-2023"/>
    <x v="1"/>
    <x v="0"/>
    <x v="0"/>
    <x v="0"/>
    <x v="2"/>
    <x v="3"/>
    <x v="2"/>
    <n v="1.2"/>
    <n v="20"/>
    <n v="2"/>
    <n v="708108"/>
    <n v="1416216"/>
    <n v="1238609"/>
    <n v="177607"/>
  </r>
  <r>
    <n v="1918"/>
    <s v="16-04-2024"/>
    <x v="0"/>
    <x v="9"/>
    <x v="2"/>
    <x v="13"/>
    <x v="5"/>
    <x v="3"/>
    <x v="2"/>
    <n v="2"/>
    <n v="19"/>
    <n v="8"/>
    <n v="1182847"/>
    <n v="9462776"/>
    <n v="7665981"/>
    <n v="1796795"/>
  </r>
  <r>
    <n v="1919"/>
    <s v="11-04-2024"/>
    <x v="0"/>
    <x v="9"/>
    <x v="2"/>
    <x v="7"/>
    <x v="3"/>
    <x v="9"/>
    <x v="0"/>
    <n v="2"/>
    <n v="18"/>
    <n v="1"/>
    <n v="1081216"/>
    <n v="1081216"/>
    <n v="925899"/>
    <n v="155317"/>
  </r>
  <r>
    <n v="1920"/>
    <s v="29-03-2024"/>
    <x v="0"/>
    <x v="2"/>
    <x v="1"/>
    <x v="1"/>
    <x v="3"/>
    <x v="4"/>
    <x v="0"/>
    <n v="1"/>
    <n v="20"/>
    <n v="2"/>
    <n v="634540"/>
    <n v="1269080"/>
    <n v="963666"/>
    <n v="305414"/>
  </r>
  <r>
    <n v="1921"/>
    <s v="03-05-2024"/>
    <x v="0"/>
    <x v="8"/>
    <x v="1"/>
    <x v="5"/>
    <x v="3"/>
    <x v="3"/>
    <x v="2"/>
    <n v="2"/>
    <n v="18"/>
    <n v="7"/>
    <n v="1117764"/>
    <n v="7824348"/>
    <n v="6901373"/>
    <n v="922975"/>
  </r>
  <r>
    <n v="1922"/>
    <s v="21-09-2023"/>
    <x v="1"/>
    <x v="7"/>
    <x v="2"/>
    <x v="13"/>
    <x v="2"/>
    <x v="1"/>
    <x v="1"/>
    <n v="1"/>
    <n v="23"/>
    <n v="8"/>
    <n v="1104788"/>
    <n v="8838304"/>
    <n v="6652265"/>
    <n v="2186039"/>
  </r>
  <r>
    <n v="1923"/>
    <s v="13-09-2023"/>
    <x v="1"/>
    <x v="7"/>
    <x v="1"/>
    <x v="10"/>
    <x v="7"/>
    <x v="0"/>
    <x v="0"/>
    <n v="1.5"/>
    <n v="19"/>
    <n v="4"/>
    <n v="1212326"/>
    <n v="4849304"/>
    <n v="4103950"/>
    <n v="745354"/>
  </r>
  <r>
    <n v="1924"/>
    <s v="29-08-2024"/>
    <x v="0"/>
    <x v="4"/>
    <x v="0"/>
    <x v="0"/>
    <x v="3"/>
    <x v="1"/>
    <x v="1"/>
    <n v="1.2"/>
    <n v="23"/>
    <n v="6"/>
    <n v="711879"/>
    <n v="4271274"/>
    <n v="3798621"/>
    <n v="472653"/>
  </r>
  <r>
    <n v="1925"/>
    <s v="01-05-2023"/>
    <x v="1"/>
    <x v="8"/>
    <x v="3"/>
    <x v="6"/>
    <x v="6"/>
    <x v="1"/>
    <x v="1"/>
    <n v="2"/>
    <n v="16"/>
    <n v="7"/>
    <n v="936610"/>
    <n v="6556270"/>
    <n v="5007147"/>
    <n v="1549123"/>
  </r>
  <r>
    <n v="1926"/>
    <s v="31-01-2023"/>
    <x v="1"/>
    <x v="6"/>
    <x v="1"/>
    <x v="10"/>
    <x v="4"/>
    <x v="7"/>
    <x v="0"/>
    <n v="1"/>
    <n v="18"/>
    <n v="8"/>
    <n v="625050"/>
    <n v="5000400"/>
    <n v="3795706"/>
    <n v="1204694"/>
  </r>
  <r>
    <n v="1927"/>
    <s v="05-08-2024"/>
    <x v="0"/>
    <x v="4"/>
    <x v="0"/>
    <x v="0"/>
    <x v="2"/>
    <x v="6"/>
    <x v="2"/>
    <n v="1"/>
    <n v="18"/>
    <n v="7"/>
    <n v="664127"/>
    <n v="4648889"/>
    <n v="4139524"/>
    <n v="509365"/>
  </r>
  <r>
    <n v="1928"/>
    <s v="26-09-2023"/>
    <x v="1"/>
    <x v="7"/>
    <x v="0"/>
    <x v="0"/>
    <x v="4"/>
    <x v="3"/>
    <x v="2"/>
    <n v="2"/>
    <n v="20"/>
    <n v="2"/>
    <n v="1361696"/>
    <n v="2723392"/>
    <n v="2205800"/>
    <n v="517592"/>
  </r>
  <r>
    <n v="1929"/>
    <s v="27-02-2024"/>
    <x v="0"/>
    <x v="0"/>
    <x v="0"/>
    <x v="2"/>
    <x v="4"/>
    <x v="1"/>
    <x v="1"/>
    <n v="1.2"/>
    <n v="22"/>
    <n v="6"/>
    <n v="1279457"/>
    <n v="7676742"/>
    <n v="6050205"/>
    <n v="1626537"/>
  </r>
  <r>
    <n v="1930"/>
    <s v="14-08-2023"/>
    <x v="1"/>
    <x v="4"/>
    <x v="3"/>
    <x v="8"/>
    <x v="3"/>
    <x v="7"/>
    <x v="0"/>
    <n v="1.2"/>
    <n v="16"/>
    <n v="1"/>
    <n v="1051479"/>
    <n v="1051479"/>
    <n v="942478"/>
    <n v="109001"/>
  </r>
  <r>
    <n v="1931"/>
    <s v="29-03-2024"/>
    <x v="0"/>
    <x v="2"/>
    <x v="0"/>
    <x v="2"/>
    <x v="7"/>
    <x v="1"/>
    <x v="1"/>
    <n v="1.2"/>
    <n v="23"/>
    <n v="2"/>
    <n v="1182294"/>
    <n v="2364588"/>
    <n v="2021646"/>
    <n v="342942"/>
  </r>
  <r>
    <n v="1932"/>
    <s v="30-10-2024"/>
    <x v="0"/>
    <x v="10"/>
    <x v="3"/>
    <x v="4"/>
    <x v="3"/>
    <x v="3"/>
    <x v="2"/>
    <n v="1.2"/>
    <n v="16"/>
    <n v="5"/>
    <n v="861560"/>
    <n v="4307800"/>
    <n v="3842475"/>
    <n v="465325"/>
  </r>
  <r>
    <n v="1933"/>
    <s v="15-10-2024"/>
    <x v="0"/>
    <x v="10"/>
    <x v="3"/>
    <x v="4"/>
    <x v="5"/>
    <x v="8"/>
    <x v="2"/>
    <n v="1.2"/>
    <n v="16"/>
    <n v="5"/>
    <n v="1346114"/>
    <n v="6730570"/>
    <n v="5240829"/>
    <n v="1489741"/>
  </r>
  <r>
    <n v="1934"/>
    <s v="13-11-2023"/>
    <x v="1"/>
    <x v="1"/>
    <x v="2"/>
    <x v="3"/>
    <x v="5"/>
    <x v="4"/>
    <x v="0"/>
    <n v="2"/>
    <n v="19"/>
    <n v="6"/>
    <n v="710858"/>
    <n v="4265148"/>
    <n v="3618748"/>
    <n v="646400"/>
  </r>
  <r>
    <n v="1935"/>
    <s v="19-12-2024"/>
    <x v="0"/>
    <x v="5"/>
    <x v="1"/>
    <x v="10"/>
    <x v="3"/>
    <x v="3"/>
    <x v="2"/>
    <n v="1.2"/>
    <n v="23"/>
    <n v="7"/>
    <n v="1415420"/>
    <n v="9907940"/>
    <n v="7562328"/>
    <n v="2345612"/>
  </r>
  <r>
    <n v="1936"/>
    <s v="31-07-2024"/>
    <x v="0"/>
    <x v="11"/>
    <x v="1"/>
    <x v="5"/>
    <x v="0"/>
    <x v="9"/>
    <x v="0"/>
    <n v="1"/>
    <n v="23"/>
    <n v="5"/>
    <n v="1364264"/>
    <n v="6821320"/>
    <n v="5742502"/>
    <n v="1078818"/>
  </r>
  <r>
    <n v="1937"/>
    <s v="07-07-2023"/>
    <x v="1"/>
    <x v="11"/>
    <x v="2"/>
    <x v="3"/>
    <x v="6"/>
    <x v="8"/>
    <x v="2"/>
    <n v="1.5"/>
    <n v="22"/>
    <n v="8"/>
    <n v="610901"/>
    <n v="4887208"/>
    <n v="4380323"/>
    <n v="506885"/>
  </r>
  <r>
    <n v="1938"/>
    <s v="30-03-2024"/>
    <x v="0"/>
    <x v="2"/>
    <x v="1"/>
    <x v="1"/>
    <x v="5"/>
    <x v="3"/>
    <x v="2"/>
    <n v="1"/>
    <n v="23"/>
    <n v="5"/>
    <n v="1466842"/>
    <n v="7334210"/>
    <n v="6376585"/>
    <n v="957625"/>
  </r>
  <r>
    <n v="1939"/>
    <s v="22-08-2024"/>
    <x v="0"/>
    <x v="4"/>
    <x v="2"/>
    <x v="7"/>
    <x v="5"/>
    <x v="4"/>
    <x v="0"/>
    <n v="1"/>
    <n v="22"/>
    <n v="5"/>
    <n v="1272441"/>
    <n v="6362205"/>
    <n v="5230350"/>
    <n v="1131855"/>
  </r>
  <r>
    <n v="1940"/>
    <s v="07-07-2024"/>
    <x v="0"/>
    <x v="11"/>
    <x v="3"/>
    <x v="6"/>
    <x v="4"/>
    <x v="7"/>
    <x v="0"/>
    <n v="1"/>
    <n v="21"/>
    <n v="5"/>
    <n v="677694"/>
    <n v="3388470"/>
    <n v="2748056"/>
    <n v="640414"/>
  </r>
  <r>
    <n v="1941"/>
    <s v="10-06-2024"/>
    <x v="0"/>
    <x v="3"/>
    <x v="3"/>
    <x v="4"/>
    <x v="3"/>
    <x v="3"/>
    <x v="2"/>
    <n v="1.2"/>
    <n v="20"/>
    <n v="3"/>
    <n v="722720"/>
    <n v="2168160"/>
    <n v="1801101"/>
    <n v="367059"/>
  </r>
  <r>
    <n v="1942"/>
    <s v="18-04-2024"/>
    <x v="0"/>
    <x v="9"/>
    <x v="1"/>
    <x v="11"/>
    <x v="4"/>
    <x v="5"/>
    <x v="2"/>
    <n v="2"/>
    <n v="21"/>
    <n v="7"/>
    <n v="1443657"/>
    <n v="10105599"/>
    <n v="8176109"/>
    <n v="1929490"/>
  </r>
  <r>
    <n v="1943"/>
    <s v="28-06-2024"/>
    <x v="0"/>
    <x v="3"/>
    <x v="0"/>
    <x v="14"/>
    <x v="0"/>
    <x v="0"/>
    <x v="0"/>
    <n v="1"/>
    <n v="18"/>
    <n v="7"/>
    <n v="1069803"/>
    <n v="7488621"/>
    <n v="6622638"/>
    <n v="865983"/>
  </r>
  <r>
    <n v="1944"/>
    <s v="14-02-2023"/>
    <x v="1"/>
    <x v="0"/>
    <x v="0"/>
    <x v="14"/>
    <x v="4"/>
    <x v="3"/>
    <x v="2"/>
    <n v="2"/>
    <n v="18"/>
    <n v="6"/>
    <n v="1488802"/>
    <n v="8932812"/>
    <n v="6784170"/>
    <n v="2148642"/>
  </r>
  <r>
    <n v="1945"/>
    <s v="14-09-2024"/>
    <x v="0"/>
    <x v="7"/>
    <x v="2"/>
    <x v="7"/>
    <x v="3"/>
    <x v="8"/>
    <x v="2"/>
    <n v="2"/>
    <n v="18"/>
    <n v="3"/>
    <n v="1087900"/>
    <n v="3263700"/>
    <n v="2702645"/>
    <n v="561055"/>
  </r>
  <r>
    <n v="1946"/>
    <s v="28-04-2023"/>
    <x v="1"/>
    <x v="9"/>
    <x v="2"/>
    <x v="7"/>
    <x v="0"/>
    <x v="2"/>
    <x v="1"/>
    <n v="1"/>
    <n v="23"/>
    <n v="4"/>
    <n v="1310286"/>
    <n v="5241144"/>
    <n v="3946849"/>
    <n v="1294295"/>
  </r>
  <r>
    <n v="1947"/>
    <s v="18-08-2023"/>
    <x v="1"/>
    <x v="4"/>
    <x v="2"/>
    <x v="13"/>
    <x v="6"/>
    <x v="3"/>
    <x v="2"/>
    <n v="2"/>
    <n v="18"/>
    <n v="7"/>
    <n v="1183645"/>
    <n v="8285515"/>
    <n v="6615097"/>
    <n v="1670418"/>
  </r>
  <r>
    <n v="1948"/>
    <s v="30-05-2023"/>
    <x v="1"/>
    <x v="8"/>
    <x v="2"/>
    <x v="15"/>
    <x v="7"/>
    <x v="9"/>
    <x v="0"/>
    <n v="2"/>
    <n v="23"/>
    <n v="3"/>
    <n v="1205879"/>
    <n v="3617637"/>
    <n v="2919631"/>
    <n v="698006"/>
  </r>
  <r>
    <n v="1949"/>
    <s v="21-02-2024"/>
    <x v="0"/>
    <x v="0"/>
    <x v="1"/>
    <x v="5"/>
    <x v="5"/>
    <x v="6"/>
    <x v="2"/>
    <n v="1.2"/>
    <n v="16"/>
    <n v="5"/>
    <n v="1338277"/>
    <n v="6691385"/>
    <n v="5332455"/>
    <n v="1358930"/>
  </r>
  <r>
    <n v="1950"/>
    <s v="10-12-2023"/>
    <x v="1"/>
    <x v="5"/>
    <x v="3"/>
    <x v="4"/>
    <x v="1"/>
    <x v="1"/>
    <x v="1"/>
    <n v="1.2"/>
    <n v="21"/>
    <n v="1"/>
    <n v="1297126"/>
    <n v="1297126"/>
    <n v="1016940"/>
    <n v="280186"/>
  </r>
  <r>
    <n v="1951"/>
    <s v="14-08-2023"/>
    <x v="1"/>
    <x v="4"/>
    <x v="1"/>
    <x v="11"/>
    <x v="7"/>
    <x v="7"/>
    <x v="0"/>
    <n v="2"/>
    <n v="19"/>
    <n v="1"/>
    <n v="831571"/>
    <n v="831571"/>
    <n v="666991"/>
    <n v="164580"/>
  </r>
  <r>
    <n v="1952"/>
    <s v="10-06-2023"/>
    <x v="1"/>
    <x v="3"/>
    <x v="2"/>
    <x v="13"/>
    <x v="0"/>
    <x v="1"/>
    <x v="1"/>
    <n v="2"/>
    <n v="18"/>
    <n v="1"/>
    <n v="1295970"/>
    <n v="1295970"/>
    <n v="1093613"/>
    <n v="202357"/>
  </r>
  <r>
    <n v="1953"/>
    <s v="21-07-2024"/>
    <x v="0"/>
    <x v="11"/>
    <x v="2"/>
    <x v="13"/>
    <x v="4"/>
    <x v="0"/>
    <x v="0"/>
    <n v="1.5"/>
    <n v="22"/>
    <n v="7"/>
    <n v="1269344"/>
    <n v="8885408"/>
    <n v="7405318"/>
    <n v="1480090"/>
  </r>
  <r>
    <n v="1954"/>
    <s v="28-06-2024"/>
    <x v="0"/>
    <x v="3"/>
    <x v="1"/>
    <x v="5"/>
    <x v="5"/>
    <x v="9"/>
    <x v="0"/>
    <n v="2"/>
    <n v="23"/>
    <n v="8"/>
    <n v="640724"/>
    <n v="5125792"/>
    <n v="3871811"/>
    <n v="1253981"/>
  </r>
  <r>
    <n v="1955"/>
    <s v="23-09-2024"/>
    <x v="0"/>
    <x v="7"/>
    <x v="2"/>
    <x v="15"/>
    <x v="0"/>
    <x v="1"/>
    <x v="1"/>
    <n v="1.5"/>
    <n v="23"/>
    <n v="4"/>
    <n v="1153495"/>
    <n v="4613980"/>
    <n v="4002768"/>
    <n v="611212"/>
  </r>
  <r>
    <n v="1956"/>
    <s v="12-02-2024"/>
    <x v="0"/>
    <x v="0"/>
    <x v="2"/>
    <x v="7"/>
    <x v="0"/>
    <x v="7"/>
    <x v="0"/>
    <n v="1"/>
    <n v="19"/>
    <n v="5"/>
    <n v="1125750"/>
    <n v="5628750"/>
    <n v="4507435"/>
    <n v="1121315"/>
  </r>
  <r>
    <n v="1957"/>
    <s v="17-09-2024"/>
    <x v="0"/>
    <x v="7"/>
    <x v="2"/>
    <x v="15"/>
    <x v="6"/>
    <x v="2"/>
    <x v="1"/>
    <n v="2"/>
    <n v="21"/>
    <n v="1"/>
    <n v="991757"/>
    <n v="991757"/>
    <n v="756392"/>
    <n v="235365"/>
  </r>
  <r>
    <n v="1958"/>
    <s v="31-08-2023"/>
    <x v="1"/>
    <x v="4"/>
    <x v="2"/>
    <x v="15"/>
    <x v="1"/>
    <x v="0"/>
    <x v="0"/>
    <n v="2"/>
    <n v="21"/>
    <n v="2"/>
    <n v="1311818"/>
    <n v="2623636"/>
    <n v="2200986"/>
    <n v="422650"/>
  </r>
  <r>
    <n v="1959"/>
    <s v="23-07-2023"/>
    <x v="1"/>
    <x v="11"/>
    <x v="0"/>
    <x v="14"/>
    <x v="7"/>
    <x v="0"/>
    <x v="0"/>
    <n v="1"/>
    <n v="21"/>
    <n v="7"/>
    <n v="668831"/>
    <n v="4681817"/>
    <n v="4164869"/>
    <n v="516948"/>
  </r>
  <r>
    <n v="1960"/>
    <s v="01-11-2023"/>
    <x v="1"/>
    <x v="1"/>
    <x v="2"/>
    <x v="7"/>
    <x v="6"/>
    <x v="6"/>
    <x v="2"/>
    <n v="1.2"/>
    <n v="16"/>
    <n v="4"/>
    <n v="759472"/>
    <n v="3037888"/>
    <n v="2333582"/>
    <n v="704306"/>
  </r>
  <r>
    <n v="1961"/>
    <s v="03-01-2023"/>
    <x v="1"/>
    <x v="6"/>
    <x v="2"/>
    <x v="3"/>
    <x v="7"/>
    <x v="1"/>
    <x v="1"/>
    <n v="1"/>
    <n v="16"/>
    <n v="6"/>
    <n v="843333"/>
    <n v="5059998"/>
    <n v="4179897"/>
    <n v="880101"/>
  </r>
  <r>
    <n v="1962"/>
    <s v="04-08-2024"/>
    <x v="0"/>
    <x v="4"/>
    <x v="2"/>
    <x v="15"/>
    <x v="3"/>
    <x v="7"/>
    <x v="0"/>
    <n v="1.2"/>
    <n v="22"/>
    <n v="2"/>
    <n v="894460"/>
    <n v="1788920"/>
    <n v="1410112"/>
    <n v="378808"/>
  </r>
  <r>
    <n v="1963"/>
    <s v="16-12-2023"/>
    <x v="1"/>
    <x v="5"/>
    <x v="0"/>
    <x v="14"/>
    <x v="0"/>
    <x v="1"/>
    <x v="1"/>
    <n v="2"/>
    <n v="23"/>
    <n v="4"/>
    <n v="809715"/>
    <n v="3238860"/>
    <n v="2560002"/>
    <n v="678858"/>
  </r>
  <r>
    <n v="1964"/>
    <s v="14-04-2024"/>
    <x v="0"/>
    <x v="9"/>
    <x v="0"/>
    <x v="2"/>
    <x v="3"/>
    <x v="9"/>
    <x v="0"/>
    <n v="1"/>
    <n v="22"/>
    <n v="3"/>
    <n v="1051482"/>
    <n v="3154446"/>
    <n v="2475995"/>
    <n v="678451"/>
  </r>
  <r>
    <n v="1965"/>
    <s v="17-03-2023"/>
    <x v="1"/>
    <x v="2"/>
    <x v="3"/>
    <x v="8"/>
    <x v="7"/>
    <x v="7"/>
    <x v="0"/>
    <n v="1.5"/>
    <n v="20"/>
    <n v="3"/>
    <n v="1036848"/>
    <n v="3110544"/>
    <n v="2652800"/>
    <n v="457744"/>
  </r>
  <r>
    <n v="1966"/>
    <s v="31-12-2023"/>
    <x v="1"/>
    <x v="5"/>
    <x v="0"/>
    <x v="9"/>
    <x v="7"/>
    <x v="0"/>
    <x v="0"/>
    <n v="2"/>
    <n v="23"/>
    <n v="5"/>
    <n v="807049"/>
    <n v="4035245"/>
    <n v="3270634"/>
    <n v="764611"/>
  </r>
  <r>
    <n v="1967"/>
    <s v="26-03-2024"/>
    <x v="0"/>
    <x v="2"/>
    <x v="2"/>
    <x v="15"/>
    <x v="4"/>
    <x v="1"/>
    <x v="1"/>
    <n v="1"/>
    <n v="22"/>
    <n v="2"/>
    <n v="700773"/>
    <n v="1401546"/>
    <n v="1146000"/>
    <n v="255546"/>
  </r>
  <r>
    <n v="1968"/>
    <s v="02-10-2024"/>
    <x v="0"/>
    <x v="10"/>
    <x v="1"/>
    <x v="5"/>
    <x v="1"/>
    <x v="7"/>
    <x v="0"/>
    <n v="1.5"/>
    <n v="21"/>
    <n v="7"/>
    <n v="613409"/>
    <n v="4293863"/>
    <n v="3543261"/>
    <n v="750602"/>
  </r>
  <r>
    <n v="1969"/>
    <s v="13-09-2024"/>
    <x v="0"/>
    <x v="7"/>
    <x v="3"/>
    <x v="4"/>
    <x v="6"/>
    <x v="1"/>
    <x v="1"/>
    <n v="1.2"/>
    <n v="18"/>
    <n v="7"/>
    <n v="1199909"/>
    <n v="8399363"/>
    <n v="6725174"/>
    <n v="1674189"/>
  </r>
  <r>
    <n v="1970"/>
    <s v="18-05-2024"/>
    <x v="0"/>
    <x v="8"/>
    <x v="3"/>
    <x v="8"/>
    <x v="7"/>
    <x v="7"/>
    <x v="0"/>
    <n v="1"/>
    <n v="16"/>
    <n v="6"/>
    <n v="886320"/>
    <n v="5317920"/>
    <n v="4581819"/>
    <n v="736101"/>
  </r>
  <r>
    <n v="1971"/>
    <s v="23-03-2023"/>
    <x v="1"/>
    <x v="2"/>
    <x v="3"/>
    <x v="12"/>
    <x v="1"/>
    <x v="0"/>
    <x v="0"/>
    <n v="1"/>
    <n v="19"/>
    <n v="3"/>
    <n v="1275983"/>
    <n v="3827949"/>
    <n v="3046703"/>
    <n v="781246"/>
  </r>
  <r>
    <n v="1972"/>
    <s v="17-02-2024"/>
    <x v="0"/>
    <x v="0"/>
    <x v="2"/>
    <x v="7"/>
    <x v="1"/>
    <x v="4"/>
    <x v="0"/>
    <n v="1.5"/>
    <n v="22"/>
    <n v="5"/>
    <n v="1326826"/>
    <n v="6634130"/>
    <n v="5826370"/>
    <n v="807760"/>
  </r>
  <r>
    <n v="1973"/>
    <s v="16-01-2024"/>
    <x v="0"/>
    <x v="6"/>
    <x v="2"/>
    <x v="7"/>
    <x v="0"/>
    <x v="1"/>
    <x v="1"/>
    <n v="2"/>
    <n v="18"/>
    <n v="7"/>
    <n v="1484136"/>
    <n v="10388952"/>
    <n v="8140152"/>
    <n v="2248800"/>
  </r>
  <r>
    <n v="1974"/>
    <s v="26-07-2024"/>
    <x v="0"/>
    <x v="11"/>
    <x v="3"/>
    <x v="4"/>
    <x v="0"/>
    <x v="5"/>
    <x v="2"/>
    <n v="1.2"/>
    <n v="16"/>
    <n v="1"/>
    <n v="1239408"/>
    <n v="1239408"/>
    <n v="1098212"/>
    <n v="141196"/>
  </r>
  <r>
    <n v="1975"/>
    <s v="19-07-2023"/>
    <x v="1"/>
    <x v="11"/>
    <x v="0"/>
    <x v="14"/>
    <x v="5"/>
    <x v="2"/>
    <x v="1"/>
    <n v="1.2"/>
    <n v="22"/>
    <n v="4"/>
    <n v="763851"/>
    <n v="3055404"/>
    <n v="2511678"/>
    <n v="543726"/>
  </r>
  <r>
    <n v="1976"/>
    <s v="18-12-2023"/>
    <x v="1"/>
    <x v="5"/>
    <x v="3"/>
    <x v="12"/>
    <x v="0"/>
    <x v="9"/>
    <x v="0"/>
    <n v="1.5"/>
    <n v="21"/>
    <n v="7"/>
    <n v="1162098"/>
    <n v="8134686"/>
    <n v="6317807"/>
    <n v="1816879"/>
  </r>
  <r>
    <n v="1977"/>
    <s v="12-09-2024"/>
    <x v="0"/>
    <x v="7"/>
    <x v="1"/>
    <x v="10"/>
    <x v="4"/>
    <x v="2"/>
    <x v="1"/>
    <n v="1"/>
    <n v="16"/>
    <n v="4"/>
    <n v="862804"/>
    <n v="3451216"/>
    <n v="2761642"/>
    <n v="689574"/>
  </r>
  <r>
    <n v="1978"/>
    <s v="09-01-2024"/>
    <x v="0"/>
    <x v="6"/>
    <x v="3"/>
    <x v="8"/>
    <x v="2"/>
    <x v="2"/>
    <x v="1"/>
    <n v="1.2"/>
    <n v="20"/>
    <n v="3"/>
    <n v="924418"/>
    <n v="2773254"/>
    <n v="2224215"/>
    <n v="549039"/>
  </r>
  <r>
    <n v="1979"/>
    <s v="28-01-2023"/>
    <x v="1"/>
    <x v="6"/>
    <x v="0"/>
    <x v="14"/>
    <x v="1"/>
    <x v="5"/>
    <x v="2"/>
    <n v="1.2"/>
    <n v="21"/>
    <n v="3"/>
    <n v="1448040"/>
    <n v="4344120"/>
    <n v="3352701"/>
    <n v="991419"/>
  </r>
  <r>
    <n v="1980"/>
    <s v="09-06-2023"/>
    <x v="1"/>
    <x v="3"/>
    <x v="3"/>
    <x v="12"/>
    <x v="7"/>
    <x v="4"/>
    <x v="0"/>
    <n v="1.2"/>
    <n v="16"/>
    <n v="1"/>
    <n v="1236440"/>
    <n v="1236440"/>
    <n v="1014508"/>
    <n v="221932"/>
  </r>
  <r>
    <n v="1981"/>
    <s v="24-12-2024"/>
    <x v="0"/>
    <x v="5"/>
    <x v="0"/>
    <x v="9"/>
    <x v="7"/>
    <x v="3"/>
    <x v="2"/>
    <n v="1"/>
    <n v="19"/>
    <n v="2"/>
    <n v="1327549"/>
    <n v="2655098"/>
    <n v="2342375"/>
    <n v="312723"/>
  </r>
  <r>
    <n v="1982"/>
    <s v="15-10-2023"/>
    <x v="1"/>
    <x v="10"/>
    <x v="0"/>
    <x v="9"/>
    <x v="4"/>
    <x v="3"/>
    <x v="2"/>
    <n v="1.2"/>
    <n v="23"/>
    <n v="6"/>
    <n v="1125298"/>
    <n v="6751788"/>
    <n v="5599060"/>
    <n v="1152728"/>
  </r>
  <r>
    <n v="1983"/>
    <s v="21-02-2023"/>
    <x v="1"/>
    <x v="0"/>
    <x v="1"/>
    <x v="5"/>
    <x v="3"/>
    <x v="0"/>
    <x v="0"/>
    <n v="1"/>
    <n v="23"/>
    <n v="7"/>
    <n v="1058943"/>
    <n v="7412601"/>
    <n v="6152505"/>
    <n v="1260096"/>
  </r>
  <r>
    <n v="1984"/>
    <s v="07-09-2024"/>
    <x v="0"/>
    <x v="7"/>
    <x v="1"/>
    <x v="5"/>
    <x v="5"/>
    <x v="5"/>
    <x v="2"/>
    <n v="1"/>
    <n v="19"/>
    <n v="1"/>
    <n v="1356765"/>
    <n v="1356765"/>
    <n v="1197082"/>
    <n v="159683"/>
  </r>
  <r>
    <n v="1985"/>
    <s v="10-04-2024"/>
    <x v="0"/>
    <x v="9"/>
    <x v="1"/>
    <x v="10"/>
    <x v="1"/>
    <x v="4"/>
    <x v="0"/>
    <n v="1.2"/>
    <n v="16"/>
    <n v="6"/>
    <n v="1465868"/>
    <n v="8795208"/>
    <n v="7475934"/>
    <n v="1319274"/>
  </r>
  <r>
    <n v="1986"/>
    <s v="04-08-2024"/>
    <x v="0"/>
    <x v="4"/>
    <x v="3"/>
    <x v="6"/>
    <x v="3"/>
    <x v="0"/>
    <x v="0"/>
    <n v="1.5"/>
    <n v="16"/>
    <n v="2"/>
    <n v="816607"/>
    <n v="1633214"/>
    <n v="1238291"/>
    <n v="394923"/>
  </r>
  <r>
    <n v="1987"/>
    <s v="21-10-2024"/>
    <x v="0"/>
    <x v="10"/>
    <x v="2"/>
    <x v="13"/>
    <x v="4"/>
    <x v="5"/>
    <x v="2"/>
    <n v="1"/>
    <n v="22"/>
    <n v="1"/>
    <n v="695015"/>
    <n v="695015"/>
    <n v="545074"/>
    <n v="149941"/>
  </r>
  <r>
    <n v="1988"/>
    <s v="07-12-2024"/>
    <x v="0"/>
    <x v="5"/>
    <x v="1"/>
    <x v="5"/>
    <x v="1"/>
    <x v="8"/>
    <x v="2"/>
    <n v="1.2"/>
    <n v="20"/>
    <n v="4"/>
    <n v="1442779"/>
    <n v="5771116"/>
    <n v="5116979"/>
    <n v="654137"/>
  </r>
  <r>
    <n v="1989"/>
    <s v="02-06-2023"/>
    <x v="1"/>
    <x v="3"/>
    <x v="0"/>
    <x v="9"/>
    <x v="2"/>
    <x v="9"/>
    <x v="0"/>
    <n v="2"/>
    <n v="22"/>
    <n v="6"/>
    <n v="1361684"/>
    <n v="8170104"/>
    <n v="6671833"/>
    <n v="1498271"/>
  </r>
  <r>
    <n v="1990"/>
    <s v="27-02-2024"/>
    <x v="0"/>
    <x v="0"/>
    <x v="2"/>
    <x v="13"/>
    <x v="2"/>
    <x v="6"/>
    <x v="2"/>
    <n v="2"/>
    <n v="16"/>
    <n v="1"/>
    <n v="1248201"/>
    <n v="1248201"/>
    <n v="1081071"/>
    <n v="167130"/>
  </r>
  <r>
    <n v="1991"/>
    <s v="01-10-2023"/>
    <x v="1"/>
    <x v="10"/>
    <x v="0"/>
    <x v="0"/>
    <x v="2"/>
    <x v="4"/>
    <x v="0"/>
    <n v="1"/>
    <n v="21"/>
    <n v="5"/>
    <n v="806562"/>
    <n v="4032810"/>
    <n v="3583939"/>
    <n v="448871"/>
  </r>
  <r>
    <n v="1992"/>
    <s v="20-11-2023"/>
    <x v="1"/>
    <x v="1"/>
    <x v="1"/>
    <x v="11"/>
    <x v="0"/>
    <x v="3"/>
    <x v="2"/>
    <n v="2"/>
    <n v="22"/>
    <n v="1"/>
    <n v="1217097"/>
    <n v="1217097"/>
    <n v="1068879"/>
    <n v="148218"/>
  </r>
  <r>
    <n v="1993"/>
    <s v="12-10-2023"/>
    <x v="1"/>
    <x v="10"/>
    <x v="3"/>
    <x v="8"/>
    <x v="2"/>
    <x v="2"/>
    <x v="1"/>
    <n v="1.5"/>
    <n v="22"/>
    <n v="8"/>
    <n v="945035"/>
    <n v="7560280"/>
    <n v="6102969"/>
    <n v="1457311"/>
  </r>
  <r>
    <n v="1994"/>
    <s v="11-10-2024"/>
    <x v="0"/>
    <x v="10"/>
    <x v="0"/>
    <x v="14"/>
    <x v="5"/>
    <x v="0"/>
    <x v="0"/>
    <n v="1.2"/>
    <n v="22"/>
    <n v="5"/>
    <n v="932443"/>
    <n v="4662215"/>
    <n v="3570146"/>
    <n v="1092069"/>
  </r>
  <r>
    <n v="1995"/>
    <s v="27-07-2023"/>
    <x v="1"/>
    <x v="11"/>
    <x v="0"/>
    <x v="9"/>
    <x v="4"/>
    <x v="0"/>
    <x v="0"/>
    <n v="1.5"/>
    <n v="20"/>
    <n v="1"/>
    <n v="1013680"/>
    <n v="1013680"/>
    <n v="858492"/>
    <n v="155188"/>
  </r>
  <r>
    <n v="1996"/>
    <s v="27-01-2024"/>
    <x v="0"/>
    <x v="6"/>
    <x v="3"/>
    <x v="6"/>
    <x v="6"/>
    <x v="8"/>
    <x v="2"/>
    <n v="2"/>
    <n v="20"/>
    <n v="6"/>
    <n v="1034287"/>
    <n v="6205722"/>
    <n v="5435139"/>
    <n v="770583"/>
  </r>
  <r>
    <n v="1997"/>
    <s v="12-03-2023"/>
    <x v="1"/>
    <x v="2"/>
    <x v="1"/>
    <x v="5"/>
    <x v="1"/>
    <x v="4"/>
    <x v="0"/>
    <n v="1.2"/>
    <n v="23"/>
    <n v="4"/>
    <n v="858006"/>
    <n v="3432024"/>
    <n v="2704006"/>
    <n v="728018"/>
  </r>
  <r>
    <n v="1998"/>
    <s v="27-09-2023"/>
    <x v="1"/>
    <x v="7"/>
    <x v="2"/>
    <x v="7"/>
    <x v="4"/>
    <x v="6"/>
    <x v="2"/>
    <n v="1"/>
    <n v="20"/>
    <n v="3"/>
    <n v="1178541"/>
    <n v="3535623"/>
    <n v="2958090"/>
    <n v="577533"/>
  </r>
  <r>
    <n v="1999"/>
    <s v="23-05-2023"/>
    <x v="1"/>
    <x v="8"/>
    <x v="1"/>
    <x v="10"/>
    <x v="2"/>
    <x v="3"/>
    <x v="2"/>
    <n v="1.2"/>
    <n v="23"/>
    <n v="4"/>
    <n v="860497"/>
    <n v="3441988"/>
    <n v="3077116"/>
    <n v="364872"/>
  </r>
  <r>
    <n v="2000"/>
    <s v="11-06-2024"/>
    <x v="0"/>
    <x v="3"/>
    <x v="0"/>
    <x v="2"/>
    <x v="3"/>
    <x v="8"/>
    <x v="2"/>
    <n v="1.2"/>
    <n v="19"/>
    <n v="2"/>
    <n v="723790"/>
    <n v="1447580"/>
    <n v="1142109"/>
    <n v="305471"/>
  </r>
  <r>
    <n v="2001"/>
    <s v="01-09-2024"/>
    <x v="0"/>
    <x v="7"/>
    <x v="1"/>
    <x v="5"/>
    <x v="6"/>
    <x v="4"/>
    <x v="0"/>
    <n v="2"/>
    <n v="18"/>
    <n v="6"/>
    <n v="624710"/>
    <n v="3748260"/>
    <n v="2853880"/>
    <n v="894380"/>
  </r>
  <r>
    <n v="2002"/>
    <s v="18-09-2024"/>
    <x v="0"/>
    <x v="7"/>
    <x v="2"/>
    <x v="15"/>
    <x v="5"/>
    <x v="9"/>
    <x v="0"/>
    <n v="1.5"/>
    <n v="23"/>
    <n v="7"/>
    <n v="855365"/>
    <n v="5987555"/>
    <n v="4701578"/>
    <n v="1285977"/>
  </r>
  <r>
    <n v="2003"/>
    <s v="18-01-2024"/>
    <x v="0"/>
    <x v="6"/>
    <x v="2"/>
    <x v="13"/>
    <x v="1"/>
    <x v="0"/>
    <x v="0"/>
    <n v="2"/>
    <n v="23"/>
    <n v="7"/>
    <n v="1189726"/>
    <n v="8328082"/>
    <n v="6632466"/>
    <n v="1695616"/>
  </r>
  <r>
    <n v="2004"/>
    <s v="05-05-2024"/>
    <x v="0"/>
    <x v="8"/>
    <x v="0"/>
    <x v="2"/>
    <x v="4"/>
    <x v="9"/>
    <x v="0"/>
    <n v="2"/>
    <n v="21"/>
    <n v="4"/>
    <n v="925446"/>
    <n v="3701784"/>
    <n v="3077072"/>
    <n v="624712"/>
  </r>
  <r>
    <n v="2005"/>
    <s v="25-10-2024"/>
    <x v="0"/>
    <x v="10"/>
    <x v="2"/>
    <x v="3"/>
    <x v="3"/>
    <x v="2"/>
    <x v="1"/>
    <n v="1.2"/>
    <n v="16"/>
    <n v="8"/>
    <n v="1468500"/>
    <n v="11748000"/>
    <n v="9938083"/>
    <n v="1809917"/>
  </r>
  <r>
    <n v="2006"/>
    <s v="30-07-2023"/>
    <x v="1"/>
    <x v="11"/>
    <x v="2"/>
    <x v="3"/>
    <x v="2"/>
    <x v="7"/>
    <x v="0"/>
    <n v="2"/>
    <n v="19"/>
    <n v="3"/>
    <n v="1178387"/>
    <n v="3535161"/>
    <n v="2917533"/>
    <n v="617628"/>
  </r>
  <r>
    <n v="2007"/>
    <s v="15-07-2024"/>
    <x v="0"/>
    <x v="11"/>
    <x v="0"/>
    <x v="2"/>
    <x v="4"/>
    <x v="6"/>
    <x v="2"/>
    <n v="2"/>
    <n v="22"/>
    <n v="7"/>
    <n v="818802"/>
    <n v="5731614"/>
    <n v="4498035"/>
    <n v="1233579"/>
  </r>
  <r>
    <n v="2008"/>
    <s v="14-10-2024"/>
    <x v="0"/>
    <x v="10"/>
    <x v="1"/>
    <x v="10"/>
    <x v="5"/>
    <x v="9"/>
    <x v="0"/>
    <n v="1.5"/>
    <n v="16"/>
    <n v="3"/>
    <n v="787107"/>
    <n v="2361321"/>
    <n v="2005664"/>
    <n v="355657"/>
  </r>
  <r>
    <n v="2009"/>
    <s v="14-08-2024"/>
    <x v="0"/>
    <x v="4"/>
    <x v="1"/>
    <x v="5"/>
    <x v="5"/>
    <x v="9"/>
    <x v="0"/>
    <n v="1"/>
    <n v="23"/>
    <n v="2"/>
    <n v="1161045"/>
    <n v="2322090"/>
    <n v="1754555"/>
    <n v="567535"/>
  </r>
  <r>
    <n v="2010"/>
    <s v="23-10-2024"/>
    <x v="0"/>
    <x v="10"/>
    <x v="3"/>
    <x v="8"/>
    <x v="6"/>
    <x v="8"/>
    <x v="2"/>
    <n v="1.2"/>
    <n v="18"/>
    <n v="3"/>
    <n v="653962"/>
    <n v="1961886"/>
    <n v="1535897"/>
    <n v="425989"/>
  </r>
  <r>
    <n v="2011"/>
    <s v="13-08-2023"/>
    <x v="1"/>
    <x v="4"/>
    <x v="2"/>
    <x v="7"/>
    <x v="7"/>
    <x v="9"/>
    <x v="0"/>
    <n v="1.5"/>
    <n v="20"/>
    <n v="2"/>
    <n v="1055392"/>
    <n v="2110784"/>
    <n v="1613554"/>
    <n v="497230"/>
  </r>
  <r>
    <n v="2012"/>
    <s v="30-10-2024"/>
    <x v="0"/>
    <x v="10"/>
    <x v="0"/>
    <x v="0"/>
    <x v="4"/>
    <x v="1"/>
    <x v="1"/>
    <n v="1"/>
    <n v="22"/>
    <n v="8"/>
    <n v="1497074"/>
    <n v="11976592"/>
    <n v="10088181"/>
    <n v="1888411"/>
  </r>
  <r>
    <n v="2013"/>
    <s v="26-04-2023"/>
    <x v="1"/>
    <x v="9"/>
    <x v="3"/>
    <x v="4"/>
    <x v="7"/>
    <x v="1"/>
    <x v="1"/>
    <n v="1"/>
    <n v="21"/>
    <n v="3"/>
    <n v="1098346"/>
    <n v="3295038"/>
    <n v="2733421"/>
    <n v="561617"/>
  </r>
  <r>
    <n v="2014"/>
    <s v="06-09-2023"/>
    <x v="1"/>
    <x v="7"/>
    <x v="3"/>
    <x v="4"/>
    <x v="4"/>
    <x v="5"/>
    <x v="2"/>
    <n v="2"/>
    <n v="18"/>
    <n v="7"/>
    <n v="731504"/>
    <n v="5120528"/>
    <n v="4175910"/>
    <n v="944618"/>
  </r>
  <r>
    <n v="2015"/>
    <s v="22-08-2023"/>
    <x v="1"/>
    <x v="4"/>
    <x v="2"/>
    <x v="3"/>
    <x v="7"/>
    <x v="3"/>
    <x v="2"/>
    <n v="2"/>
    <n v="23"/>
    <n v="4"/>
    <n v="1039660"/>
    <n v="4158640"/>
    <n v="3156235"/>
    <n v="1002405"/>
  </r>
  <r>
    <n v="2016"/>
    <s v="01-07-2023"/>
    <x v="1"/>
    <x v="11"/>
    <x v="2"/>
    <x v="13"/>
    <x v="0"/>
    <x v="3"/>
    <x v="2"/>
    <n v="1.5"/>
    <n v="18"/>
    <n v="8"/>
    <n v="972867"/>
    <n v="7782936"/>
    <n v="6298667"/>
    <n v="1484269"/>
  </r>
  <r>
    <n v="2017"/>
    <s v="14-01-2023"/>
    <x v="1"/>
    <x v="6"/>
    <x v="2"/>
    <x v="3"/>
    <x v="2"/>
    <x v="2"/>
    <x v="1"/>
    <n v="1.5"/>
    <n v="21"/>
    <n v="3"/>
    <n v="1009653"/>
    <n v="3028959"/>
    <n v="2718435"/>
    <n v="310524"/>
  </r>
  <r>
    <n v="2018"/>
    <s v="24-09-2023"/>
    <x v="1"/>
    <x v="7"/>
    <x v="2"/>
    <x v="3"/>
    <x v="6"/>
    <x v="5"/>
    <x v="2"/>
    <n v="1.2"/>
    <n v="19"/>
    <n v="6"/>
    <n v="1481668"/>
    <n v="8890008"/>
    <n v="7560487"/>
    <n v="1329521"/>
  </r>
  <r>
    <n v="2019"/>
    <s v="26-08-2023"/>
    <x v="1"/>
    <x v="4"/>
    <x v="1"/>
    <x v="1"/>
    <x v="6"/>
    <x v="6"/>
    <x v="2"/>
    <n v="1.5"/>
    <n v="20"/>
    <n v="7"/>
    <n v="763366"/>
    <n v="5343562"/>
    <n v="4061414"/>
    <n v="1282148"/>
  </r>
  <r>
    <n v="2020"/>
    <s v="04-06-2024"/>
    <x v="0"/>
    <x v="3"/>
    <x v="1"/>
    <x v="5"/>
    <x v="2"/>
    <x v="8"/>
    <x v="2"/>
    <n v="1.5"/>
    <n v="19"/>
    <n v="2"/>
    <n v="976591"/>
    <n v="1953182"/>
    <n v="1593963"/>
    <n v="359219"/>
  </r>
  <r>
    <n v="2021"/>
    <s v="25-04-2024"/>
    <x v="0"/>
    <x v="9"/>
    <x v="3"/>
    <x v="8"/>
    <x v="2"/>
    <x v="3"/>
    <x v="2"/>
    <n v="1.2"/>
    <n v="21"/>
    <n v="6"/>
    <n v="806919"/>
    <n v="4841514"/>
    <n v="3829236"/>
    <n v="1012278"/>
  </r>
  <r>
    <n v="2022"/>
    <s v="27-06-2024"/>
    <x v="0"/>
    <x v="3"/>
    <x v="1"/>
    <x v="10"/>
    <x v="6"/>
    <x v="4"/>
    <x v="0"/>
    <n v="1.2"/>
    <n v="16"/>
    <n v="4"/>
    <n v="1215889"/>
    <n v="4863556"/>
    <n v="3695158"/>
    <n v="1168398"/>
  </r>
  <r>
    <n v="2023"/>
    <s v="16-06-2024"/>
    <x v="0"/>
    <x v="3"/>
    <x v="0"/>
    <x v="0"/>
    <x v="5"/>
    <x v="7"/>
    <x v="0"/>
    <n v="1"/>
    <n v="19"/>
    <n v="4"/>
    <n v="1305065"/>
    <n v="5220260"/>
    <n v="4068000"/>
    <n v="1152260"/>
  </r>
  <r>
    <n v="2024"/>
    <s v="04-08-2023"/>
    <x v="1"/>
    <x v="4"/>
    <x v="0"/>
    <x v="0"/>
    <x v="1"/>
    <x v="3"/>
    <x v="2"/>
    <n v="1.2"/>
    <n v="23"/>
    <n v="7"/>
    <n v="971233"/>
    <n v="6798631"/>
    <n v="5864282"/>
    <n v="934349"/>
  </r>
  <r>
    <n v="2025"/>
    <s v="10-05-2024"/>
    <x v="0"/>
    <x v="8"/>
    <x v="2"/>
    <x v="15"/>
    <x v="2"/>
    <x v="5"/>
    <x v="2"/>
    <n v="1"/>
    <n v="20"/>
    <n v="5"/>
    <n v="802068"/>
    <n v="4010340"/>
    <n v="3301870"/>
    <n v="708470"/>
  </r>
  <r>
    <n v="2026"/>
    <s v="21-11-2023"/>
    <x v="1"/>
    <x v="1"/>
    <x v="2"/>
    <x v="13"/>
    <x v="7"/>
    <x v="9"/>
    <x v="0"/>
    <n v="2"/>
    <n v="21"/>
    <n v="6"/>
    <n v="1417139"/>
    <n v="8502834"/>
    <n v="7298629"/>
    <n v="1204205"/>
  </r>
  <r>
    <n v="2027"/>
    <s v="27-06-2023"/>
    <x v="1"/>
    <x v="3"/>
    <x v="0"/>
    <x v="14"/>
    <x v="7"/>
    <x v="0"/>
    <x v="0"/>
    <n v="2"/>
    <n v="21"/>
    <n v="8"/>
    <n v="620437"/>
    <n v="4963496"/>
    <n v="4333945"/>
    <n v="629551"/>
  </r>
  <r>
    <n v="2028"/>
    <s v="28-04-2024"/>
    <x v="0"/>
    <x v="9"/>
    <x v="1"/>
    <x v="11"/>
    <x v="0"/>
    <x v="5"/>
    <x v="2"/>
    <n v="1.5"/>
    <n v="21"/>
    <n v="3"/>
    <n v="771528"/>
    <n v="2314584"/>
    <n v="1887812"/>
    <n v="426772"/>
  </r>
  <r>
    <n v="2029"/>
    <s v="12-06-2024"/>
    <x v="0"/>
    <x v="3"/>
    <x v="2"/>
    <x v="7"/>
    <x v="4"/>
    <x v="0"/>
    <x v="0"/>
    <n v="1.2"/>
    <n v="21"/>
    <n v="6"/>
    <n v="1265576"/>
    <n v="7593456"/>
    <n v="6652110"/>
    <n v="941346"/>
  </r>
  <r>
    <n v="2030"/>
    <s v="01-11-2024"/>
    <x v="0"/>
    <x v="1"/>
    <x v="1"/>
    <x v="10"/>
    <x v="4"/>
    <x v="3"/>
    <x v="2"/>
    <n v="2"/>
    <n v="23"/>
    <n v="5"/>
    <n v="1353201"/>
    <n v="6766005"/>
    <n v="5914576"/>
    <n v="851429"/>
  </r>
  <r>
    <n v="2031"/>
    <s v="18-05-2024"/>
    <x v="0"/>
    <x v="8"/>
    <x v="0"/>
    <x v="9"/>
    <x v="5"/>
    <x v="0"/>
    <x v="0"/>
    <n v="1.2"/>
    <n v="18"/>
    <n v="1"/>
    <n v="1011459"/>
    <n v="1011459"/>
    <n v="896595"/>
    <n v="114864"/>
  </r>
  <r>
    <n v="2032"/>
    <s v="12-03-2024"/>
    <x v="0"/>
    <x v="2"/>
    <x v="2"/>
    <x v="15"/>
    <x v="3"/>
    <x v="5"/>
    <x v="2"/>
    <n v="1"/>
    <n v="19"/>
    <n v="1"/>
    <n v="948295"/>
    <n v="948295"/>
    <n v="721585"/>
    <n v="226710"/>
  </r>
  <r>
    <n v="2033"/>
    <s v="16-11-2024"/>
    <x v="0"/>
    <x v="1"/>
    <x v="3"/>
    <x v="6"/>
    <x v="2"/>
    <x v="3"/>
    <x v="2"/>
    <n v="1"/>
    <n v="23"/>
    <n v="4"/>
    <n v="1182217"/>
    <n v="4728868"/>
    <n v="3780383"/>
    <n v="948485"/>
  </r>
  <r>
    <n v="2034"/>
    <s v="20-12-2023"/>
    <x v="1"/>
    <x v="5"/>
    <x v="3"/>
    <x v="12"/>
    <x v="6"/>
    <x v="0"/>
    <x v="0"/>
    <n v="1.2"/>
    <n v="16"/>
    <n v="7"/>
    <n v="701254"/>
    <n v="4908778"/>
    <n v="4009813"/>
    <n v="898965"/>
  </r>
  <r>
    <n v="2035"/>
    <s v="04-07-2023"/>
    <x v="1"/>
    <x v="11"/>
    <x v="3"/>
    <x v="12"/>
    <x v="0"/>
    <x v="5"/>
    <x v="2"/>
    <n v="1.5"/>
    <n v="22"/>
    <n v="6"/>
    <n v="1123015"/>
    <n v="6738090"/>
    <n v="5943167"/>
    <n v="794923"/>
  </r>
  <r>
    <n v="2036"/>
    <s v="04-07-2024"/>
    <x v="0"/>
    <x v="11"/>
    <x v="1"/>
    <x v="10"/>
    <x v="6"/>
    <x v="6"/>
    <x v="2"/>
    <n v="1.2"/>
    <n v="20"/>
    <n v="2"/>
    <n v="1358732"/>
    <n v="2717464"/>
    <n v="2386221"/>
    <n v="331243"/>
  </r>
  <r>
    <n v="2037"/>
    <s v="09-11-2023"/>
    <x v="1"/>
    <x v="1"/>
    <x v="2"/>
    <x v="7"/>
    <x v="5"/>
    <x v="7"/>
    <x v="0"/>
    <n v="1"/>
    <n v="23"/>
    <n v="7"/>
    <n v="1294682"/>
    <n v="9062774"/>
    <n v="8020091"/>
    <n v="1042683"/>
  </r>
  <r>
    <n v="2038"/>
    <s v="29-10-2023"/>
    <x v="1"/>
    <x v="10"/>
    <x v="3"/>
    <x v="4"/>
    <x v="5"/>
    <x v="4"/>
    <x v="0"/>
    <n v="2"/>
    <n v="20"/>
    <n v="7"/>
    <n v="1286769"/>
    <n v="9007383"/>
    <n v="6811469"/>
    <n v="2195914"/>
  </r>
  <r>
    <n v="2039"/>
    <s v="28-01-2023"/>
    <x v="1"/>
    <x v="6"/>
    <x v="2"/>
    <x v="15"/>
    <x v="7"/>
    <x v="2"/>
    <x v="1"/>
    <n v="1.2"/>
    <n v="19"/>
    <n v="6"/>
    <n v="1213655"/>
    <n v="7281930"/>
    <n v="6371553"/>
    <n v="910377"/>
  </r>
  <r>
    <n v="2040"/>
    <s v="25-07-2024"/>
    <x v="0"/>
    <x v="11"/>
    <x v="3"/>
    <x v="8"/>
    <x v="1"/>
    <x v="7"/>
    <x v="0"/>
    <n v="1"/>
    <n v="23"/>
    <n v="3"/>
    <n v="1208464"/>
    <n v="3625392"/>
    <n v="3176044"/>
    <n v="449348"/>
  </r>
  <r>
    <n v="2041"/>
    <s v="20-10-2023"/>
    <x v="1"/>
    <x v="10"/>
    <x v="3"/>
    <x v="12"/>
    <x v="4"/>
    <x v="6"/>
    <x v="2"/>
    <n v="1.2"/>
    <n v="19"/>
    <n v="7"/>
    <n v="1321768"/>
    <n v="9252376"/>
    <n v="7340345"/>
    <n v="1912031"/>
  </r>
  <r>
    <n v="2042"/>
    <s v="11-07-2023"/>
    <x v="1"/>
    <x v="11"/>
    <x v="2"/>
    <x v="3"/>
    <x v="0"/>
    <x v="0"/>
    <x v="0"/>
    <n v="1"/>
    <n v="19"/>
    <n v="4"/>
    <n v="826929"/>
    <n v="3307716"/>
    <n v="2518400"/>
    <n v="789316"/>
  </r>
  <r>
    <n v="2043"/>
    <s v="21-05-2023"/>
    <x v="1"/>
    <x v="8"/>
    <x v="0"/>
    <x v="2"/>
    <x v="6"/>
    <x v="6"/>
    <x v="2"/>
    <n v="1.5"/>
    <n v="16"/>
    <n v="5"/>
    <n v="744881"/>
    <n v="3724405"/>
    <n v="3288412"/>
    <n v="435993"/>
  </r>
  <r>
    <n v="2044"/>
    <s v="23-01-2024"/>
    <x v="0"/>
    <x v="6"/>
    <x v="0"/>
    <x v="2"/>
    <x v="4"/>
    <x v="2"/>
    <x v="1"/>
    <n v="1.2"/>
    <n v="18"/>
    <n v="4"/>
    <n v="1395683"/>
    <n v="5582732"/>
    <n v="4950355"/>
    <n v="632377"/>
  </r>
  <r>
    <n v="2045"/>
    <s v="24-06-2024"/>
    <x v="0"/>
    <x v="3"/>
    <x v="1"/>
    <x v="5"/>
    <x v="4"/>
    <x v="3"/>
    <x v="2"/>
    <n v="1.2"/>
    <n v="20"/>
    <n v="6"/>
    <n v="1055485"/>
    <n v="6332910"/>
    <n v="4772763"/>
    <n v="1560147"/>
  </r>
  <r>
    <n v="2046"/>
    <s v="21-11-2023"/>
    <x v="1"/>
    <x v="1"/>
    <x v="0"/>
    <x v="0"/>
    <x v="4"/>
    <x v="8"/>
    <x v="2"/>
    <n v="1"/>
    <n v="19"/>
    <n v="5"/>
    <n v="1287826"/>
    <n v="6439130"/>
    <n v="5206788"/>
    <n v="1232342"/>
  </r>
  <r>
    <n v="2047"/>
    <s v="18-06-2023"/>
    <x v="1"/>
    <x v="3"/>
    <x v="3"/>
    <x v="8"/>
    <x v="3"/>
    <x v="0"/>
    <x v="0"/>
    <n v="1.2"/>
    <n v="23"/>
    <n v="6"/>
    <n v="827101"/>
    <n v="4962606"/>
    <n v="3997127"/>
    <n v="965479"/>
  </r>
  <r>
    <n v="2048"/>
    <s v="31-03-2023"/>
    <x v="1"/>
    <x v="2"/>
    <x v="1"/>
    <x v="11"/>
    <x v="5"/>
    <x v="0"/>
    <x v="0"/>
    <n v="2"/>
    <n v="23"/>
    <n v="6"/>
    <n v="1350147"/>
    <n v="8100882"/>
    <n v="6397031"/>
    <n v="1703851"/>
  </r>
  <r>
    <n v="2049"/>
    <s v="24-08-2024"/>
    <x v="0"/>
    <x v="4"/>
    <x v="0"/>
    <x v="2"/>
    <x v="5"/>
    <x v="7"/>
    <x v="0"/>
    <n v="1.5"/>
    <n v="20"/>
    <n v="3"/>
    <n v="1251862"/>
    <n v="3755586"/>
    <n v="3209011"/>
    <n v="546575"/>
  </r>
  <r>
    <n v="2050"/>
    <s v="24-04-2024"/>
    <x v="0"/>
    <x v="9"/>
    <x v="0"/>
    <x v="2"/>
    <x v="0"/>
    <x v="8"/>
    <x v="2"/>
    <n v="2"/>
    <n v="20"/>
    <n v="4"/>
    <n v="832162"/>
    <n v="3328648"/>
    <n v="2809452"/>
    <n v="519196"/>
  </r>
  <r>
    <n v="2051"/>
    <s v="12-11-2023"/>
    <x v="1"/>
    <x v="1"/>
    <x v="2"/>
    <x v="3"/>
    <x v="0"/>
    <x v="2"/>
    <x v="1"/>
    <n v="1"/>
    <n v="22"/>
    <n v="1"/>
    <n v="1386052"/>
    <n v="1386052"/>
    <n v="1199562"/>
    <n v="186490"/>
  </r>
  <r>
    <n v="2052"/>
    <s v="24-09-2023"/>
    <x v="1"/>
    <x v="7"/>
    <x v="0"/>
    <x v="0"/>
    <x v="0"/>
    <x v="5"/>
    <x v="2"/>
    <n v="1.2"/>
    <n v="18"/>
    <n v="1"/>
    <n v="673243"/>
    <n v="673243"/>
    <n v="533925"/>
    <n v="139318"/>
  </r>
  <r>
    <n v="2053"/>
    <s v="09-05-2024"/>
    <x v="0"/>
    <x v="8"/>
    <x v="3"/>
    <x v="12"/>
    <x v="6"/>
    <x v="1"/>
    <x v="1"/>
    <n v="1.5"/>
    <n v="16"/>
    <n v="4"/>
    <n v="728187"/>
    <n v="2912748"/>
    <n v="2253057"/>
    <n v="659691"/>
  </r>
  <r>
    <n v="2054"/>
    <s v="03-07-2023"/>
    <x v="1"/>
    <x v="11"/>
    <x v="0"/>
    <x v="14"/>
    <x v="1"/>
    <x v="0"/>
    <x v="0"/>
    <n v="1"/>
    <n v="21"/>
    <n v="6"/>
    <n v="1164935"/>
    <n v="6989610"/>
    <n v="5917966"/>
    <n v="1071644"/>
  </r>
  <r>
    <n v="2055"/>
    <s v="10-12-2023"/>
    <x v="1"/>
    <x v="5"/>
    <x v="3"/>
    <x v="6"/>
    <x v="3"/>
    <x v="9"/>
    <x v="0"/>
    <n v="1.2"/>
    <n v="22"/>
    <n v="2"/>
    <n v="1124036"/>
    <n v="2248072"/>
    <n v="1772853"/>
    <n v="475219"/>
  </r>
  <r>
    <n v="2056"/>
    <s v="28-10-2023"/>
    <x v="1"/>
    <x v="10"/>
    <x v="0"/>
    <x v="2"/>
    <x v="2"/>
    <x v="9"/>
    <x v="0"/>
    <n v="1"/>
    <n v="16"/>
    <n v="8"/>
    <n v="883302"/>
    <n v="7066416"/>
    <n v="5411849"/>
    <n v="1654567"/>
  </r>
  <r>
    <n v="2057"/>
    <s v="19-03-2023"/>
    <x v="1"/>
    <x v="2"/>
    <x v="2"/>
    <x v="15"/>
    <x v="0"/>
    <x v="2"/>
    <x v="1"/>
    <n v="1.2"/>
    <n v="22"/>
    <n v="8"/>
    <n v="1265014"/>
    <n v="10120112"/>
    <n v="8589752"/>
    <n v="1530360"/>
  </r>
  <r>
    <n v="2058"/>
    <s v="02-03-2023"/>
    <x v="1"/>
    <x v="2"/>
    <x v="1"/>
    <x v="5"/>
    <x v="3"/>
    <x v="8"/>
    <x v="2"/>
    <n v="1.2"/>
    <n v="21"/>
    <n v="7"/>
    <n v="684605"/>
    <n v="4792235"/>
    <n v="3685015"/>
    <n v="1107220"/>
  </r>
  <r>
    <n v="2059"/>
    <s v="12-10-2024"/>
    <x v="0"/>
    <x v="10"/>
    <x v="2"/>
    <x v="15"/>
    <x v="3"/>
    <x v="3"/>
    <x v="2"/>
    <n v="1"/>
    <n v="22"/>
    <n v="8"/>
    <n v="1115254"/>
    <n v="8922032"/>
    <n v="7704779"/>
    <n v="1217253"/>
  </r>
  <r>
    <n v="2060"/>
    <s v="18-09-2024"/>
    <x v="0"/>
    <x v="7"/>
    <x v="0"/>
    <x v="9"/>
    <x v="6"/>
    <x v="9"/>
    <x v="0"/>
    <n v="1.2"/>
    <n v="16"/>
    <n v="8"/>
    <n v="1096350"/>
    <n v="8770800"/>
    <n v="7407446"/>
    <n v="1363354"/>
  </r>
  <r>
    <n v="2061"/>
    <s v="08-02-2024"/>
    <x v="0"/>
    <x v="0"/>
    <x v="2"/>
    <x v="3"/>
    <x v="3"/>
    <x v="7"/>
    <x v="0"/>
    <n v="1"/>
    <n v="16"/>
    <n v="2"/>
    <n v="1068248"/>
    <n v="2136496"/>
    <n v="1629354"/>
    <n v="507142"/>
  </r>
  <r>
    <n v="2062"/>
    <s v="05-05-2023"/>
    <x v="1"/>
    <x v="8"/>
    <x v="1"/>
    <x v="10"/>
    <x v="4"/>
    <x v="7"/>
    <x v="0"/>
    <n v="2"/>
    <n v="23"/>
    <n v="1"/>
    <n v="1019541"/>
    <n v="1019541"/>
    <n v="871235"/>
    <n v="148306"/>
  </r>
  <r>
    <n v="2063"/>
    <s v="10-07-2023"/>
    <x v="1"/>
    <x v="11"/>
    <x v="2"/>
    <x v="7"/>
    <x v="3"/>
    <x v="6"/>
    <x v="2"/>
    <n v="1"/>
    <n v="16"/>
    <n v="7"/>
    <n v="1237585"/>
    <n v="8663095"/>
    <n v="6785371"/>
    <n v="1877724"/>
  </r>
  <r>
    <n v="2064"/>
    <s v="25-02-2023"/>
    <x v="1"/>
    <x v="0"/>
    <x v="2"/>
    <x v="15"/>
    <x v="3"/>
    <x v="2"/>
    <x v="1"/>
    <n v="2"/>
    <n v="16"/>
    <n v="6"/>
    <n v="1272845"/>
    <n v="7637070"/>
    <n v="6648054"/>
    <n v="989016"/>
  </r>
  <r>
    <n v="2065"/>
    <s v="24-10-2023"/>
    <x v="1"/>
    <x v="10"/>
    <x v="1"/>
    <x v="1"/>
    <x v="3"/>
    <x v="2"/>
    <x v="1"/>
    <n v="2"/>
    <n v="18"/>
    <n v="8"/>
    <n v="1034795"/>
    <n v="8278360"/>
    <n v="7107487"/>
    <n v="1170873"/>
  </r>
  <r>
    <n v="2066"/>
    <s v="15-04-2024"/>
    <x v="0"/>
    <x v="9"/>
    <x v="0"/>
    <x v="9"/>
    <x v="5"/>
    <x v="4"/>
    <x v="0"/>
    <n v="1"/>
    <n v="18"/>
    <n v="4"/>
    <n v="1254882"/>
    <n v="5019528"/>
    <n v="4259611"/>
    <n v="759917"/>
  </r>
  <r>
    <n v="2067"/>
    <s v="21-12-2023"/>
    <x v="1"/>
    <x v="5"/>
    <x v="2"/>
    <x v="7"/>
    <x v="0"/>
    <x v="7"/>
    <x v="0"/>
    <n v="2"/>
    <n v="20"/>
    <n v="7"/>
    <n v="751413"/>
    <n v="5259891"/>
    <n v="4654638"/>
    <n v="605253"/>
  </r>
  <r>
    <n v="2068"/>
    <s v="27-09-2023"/>
    <x v="1"/>
    <x v="7"/>
    <x v="0"/>
    <x v="0"/>
    <x v="0"/>
    <x v="8"/>
    <x v="2"/>
    <n v="1"/>
    <n v="16"/>
    <n v="8"/>
    <n v="683517"/>
    <n v="5468136"/>
    <n v="4790456"/>
    <n v="677680"/>
  </r>
  <r>
    <n v="2069"/>
    <s v="19-07-2024"/>
    <x v="0"/>
    <x v="11"/>
    <x v="1"/>
    <x v="11"/>
    <x v="7"/>
    <x v="9"/>
    <x v="0"/>
    <n v="1"/>
    <n v="23"/>
    <n v="5"/>
    <n v="1054806"/>
    <n v="5274030"/>
    <n v="4726564"/>
    <n v="547466"/>
  </r>
  <r>
    <n v="2070"/>
    <s v="25-03-2023"/>
    <x v="1"/>
    <x v="2"/>
    <x v="1"/>
    <x v="5"/>
    <x v="5"/>
    <x v="8"/>
    <x v="2"/>
    <n v="1.5"/>
    <n v="23"/>
    <n v="1"/>
    <n v="692404"/>
    <n v="692404"/>
    <n v="569883"/>
    <n v="122521"/>
  </r>
  <r>
    <n v="2071"/>
    <s v="17-04-2023"/>
    <x v="1"/>
    <x v="9"/>
    <x v="2"/>
    <x v="3"/>
    <x v="6"/>
    <x v="2"/>
    <x v="1"/>
    <n v="1"/>
    <n v="19"/>
    <n v="1"/>
    <n v="1069997"/>
    <n v="1069997"/>
    <n v="878077"/>
    <n v="191920"/>
  </r>
  <r>
    <n v="2072"/>
    <s v="24-10-2023"/>
    <x v="1"/>
    <x v="10"/>
    <x v="1"/>
    <x v="1"/>
    <x v="7"/>
    <x v="4"/>
    <x v="0"/>
    <n v="1"/>
    <n v="19"/>
    <n v="6"/>
    <n v="1034219"/>
    <n v="6205314"/>
    <n v="4801023"/>
    <n v="1404291"/>
  </r>
  <r>
    <n v="2073"/>
    <s v="05-06-2024"/>
    <x v="0"/>
    <x v="3"/>
    <x v="3"/>
    <x v="12"/>
    <x v="0"/>
    <x v="9"/>
    <x v="0"/>
    <n v="1"/>
    <n v="21"/>
    <n v="4"/>
    <n v="890746"/>
    <n v="3562984"/>
    <n v="2928907"/>
    <n v="634077"/>
  </r>
  <r>
    <n v="2074"/>
    <s v="28-06-2024"/>
    <x v="0"/>
    <x v="3"/>
    <x v="0"/>
    <x v="14"/>
    <x v="6"/>
    <x v="3"/>
    <x v="2"/>
    <n v="1.2"/>
    <n v="20"/>
    <n v="7"/>
    <n v="1281354"/>
    <n v="8969478"/>
    <n v="7621531"/>
    <n v="1347947"/>
  </r>
  <r>
    <n v="2075"/>
    <s v="29-03-2024"/>
    <x v="0"/>
    <x v="2"/>
    <x v="2"/>
    <x v="7"/>
    <x v="4"/>
    <x v="6"/>
    <x v="2"/>
    <n v="1.5"/>
    <n v="20"/>
    <n v="1"/>
    <n v="1327800"/>
    <n v="1327800"/>
    <n v="1084582"/>
    <n v="243218"/>
  </r>
  <r>
    <n v="2076"/>
    <s v="11-12-2023"/>
    <x v="1"/>
    <x v="5"/>
    <x v="1"/>
    <x v="1"/>
    <x v="6"/>
    <x v="4"/>
    <x v="0"/>
    <n v="1.5"/>
    <n v="16"/>
    <n v="6"/>
    <n v="1325194"/>
    <n v="7951164"/>
    <n v="6126142"/>
    <n v="1825022"/>
  </r>
  <r>
    <n v="2077"/>
    <s v="27-01-2024"/>
    <x v="0"/>
    <x v="6"/>
    <x v="3"/>
    <x v="6"/>
    <x v="2"/>
    <x v="6"/>
    <x v="2"/>
    <n v="1.5"/>
    <n v="20"/>
    <n v="5"/>
    <n v="1155283"/>
    <n v="5776415"/>
    <n v="4582253"/>
    <n v="1194162"/>
  </r>
  <r>
    <n v="2078"/>
    <s v="18-02-2024"/>
    <x v="0"/>
    <x v="0"/>
    <x v="0"/>
    <x v="9"/>
    <x v="1"/>
    <x v="3"/>
    <x v="2"/>
    <n v="1"/>
    <n v="22"/>
    <n v="5"/>
    <n v="696977"/>
    <n v="3484885"/>
    <n v="2688282"/>
    <n v="796603"/>
  </r>
  <r>
    <n v="2079"/>
    <s v="13-01-2024"/>
    <x v="0"/>
    <x v="6"/>
    <x v="2"/>
    <x v="15"/>
    <x v="1"/>
    <x v="2"/>
    <x v="1"/>
    <n v="2"/>
    <n v="16"/>
    <n v="4"/>
    <n v="1226542"/>
    <n v="4906168"/>
    <n v="3908911"/>
    <n v="997257"/>
  </r>
  <r>
    <n v="2080"/>
    <s v="08-09-2023"/>
    <x v="1"/>
    <x v="7"/>
    <x v="0"/>
    <x v="0"/>
    <x v="5"/>
    <x v="3"/>
    <x v="2"/>
    <n v="1"/>
    <n v="20"/>
    <n v="7"/>
    <n v="1382835"/>
    <n v="9679845"/>
    <n v="8245534"/>
    <n v="1434311"/>
  </r>
  <r>
    <n v="2081"/>
    <s v="22-01-2023"/>
    <x v="1"/>
    <x v="6"/>
    <x v="1"/>
    <x v="10"/>
    <x v="2"/>
    <x v="2"/>
    <x v="1"/>
    <n v="2"/>
    <n v="21"/>
    <n v="5"/>
    <n v="848891"/>
    <n v="4244455"/>
    <n v="3721410"/>
    <n v="523045"/>
  </r>
  <r>
    <n v="2082"/>
    <s v="01-08-2023"/>
    <x v="1"/>
    <x v="4"/>
    <x v="2"/>
    <x v="7"/>
    <x v="4"/>
    <x v="5"/>
    <x v="2"/>
    <n v="1.5"/>
    <n v="21"/>
    <n v="6"/>
    <n v="766173"/>
    <n v="4597038"/>
    <n v="4024900"/>
    <n v="572138"/>
  </r>
  <r>
    <n v="2083"/>
    <s v="26-10-2023"/>
    <x v="1"/>
    <x v="10"/>
    <x v="0"/>
    <x v="9"/>
    <x v="6"/>
    <x v="0"/>
    <x v="0"/>
    <n v="2"/>
    <n v="19"/>
    <n v="8"/>
    <n v="1484770"/>
    <n v="11878160"/>
    <n v="9279899"/>
    <n v="2598261"/>
  </r>
  <r>
    <n v="2084"/>
    <s v="07-09-2023"/>
    <x v="1"/>
    <x v="7"/>
    <x v="1"/>
    <x v="10"/>
    <x v="5"/>
    <x v="6"/>
    <x v="2"/>
    <n v="1.5"/>
    <n v="22"/>
    <n v="6"/>
    <n v="1083542"/>
    <n v="6501252"/>
    <n v="5503811"/>
    <n v="997441"/>
  </r>
  <r>
    <n v="2085"/>
    <s v="10-02-2023"/>
    <x v="1"/>
    <x v="0"/>
    <x v="1"/>
    <x v="5"/>
    <x v="1"/>
    <x v="3"/>
    <x v="2"/>
    <n v="1.2"/>
    <n v="20"/>
    <n v="7"/>
    <n v="1465872"/>
    <n v="10261104"/>
    <n v="9117410"/>
    <n v="1143694"/>
  </r>
  <r>
    <n v="2086"/>
    <s v="28-08-2023"/>
    <x v="1"/>
    <x v="4"/>
    <x v="0"/>
    <x v="9"/>
    <x v="6"/>
    <x v="4"/>
    <x v="0"/>
    <n v="2"/>
    <n v="22"/>
    <n v="2"/>
    <n v="925228"/>
    <n v="1850456"/>
    <n v="1521434"/>
    <n v="329022"/>
  </r>
  <r>
    <n v="2087"/>
    <s v="23-03-2023"/>
    <x v="1"/>
    <x v="2"/>
    <x v="3"/>
    <x v="6"/>
    <x v="5"/>
    <x v="4"/>
    <x v="0"/>
    <n v="1.2"/>
    <n v="23"/>
    <n v="5"/>
    <n v="767054"/>
    <n v="3835270"/>
    <n v="3072510"/>
    <n v="762760"/>
  </r>
  <r>
    <n v="2088"/>
    <s v="22-05-2023"/>
    <x v="1"/>
    <x v="8"/>
    <x v="2"/>
    <x v="13"/>
    <x v="7"/>
    <x v="5"/>
    <x v="2"/>
    <n v="1.5"/>
    <n v="23"/>
    <n v="6"/>
    <n v="1103281"/>
    <n v="6619686"/>
    <n v="5708275"/>
    <n v="911411"/>
  </r>
  <r>
    <n v="2089"/>
    <s v="26-04-2023"/>
    <x v="1"/>
    <x v="9"/>
    <x v="3"/>
    <x v="12"/>
    <x v="7"/>
    <x v="4"/>
    <x v="0"/>
    <n v="1.2"/>
    <n v="19"/>
    <n v="7"/>
    <n v="1001319"/>
    <n v="7009233"/>
    <n v="5797139"/>
    <n v="1212094"/>
  </r>
  <r>
    <n v="2090"/>
    <s v="01-12-2024"/>
    <x v="0"/>
    <x v="5"/>
    <x v="1"/>
    <x v="10"/>
    <x v="5"/>
    <x v="0"/>
    <x v="0"/>
    <n v="1.2"/>
    <n v="21"/>
    <n v="5"/>
    <n v="890119"/>
    <n v="4450595"/>
    <n v="3443588"/>
    <n v="1007007"/>
  </r>
  <r>
    <n v="2091"/>
    <s v="29-01-2023"/>
    <x v="1"/>
    <x v="6"/>
    <x v="1"/>
    <x v="11"/>
    <x v="6"/>
    <x v="9"/>
    <x v="0"/>
    <n v="2"/>
    <n v="16"/>
    <n v="7"/>
    <n v="1107826"/>
    <n v="7754782"/>
    <n v="6782308"/>
    <n v="972474"/>
  </r>
  <r>
    <n v="2092"/>
    <s v="22-09-2024"/>
    <x v="0"/>
    <x v="7"/>
    <x v="0"/>
    <x v="2"/>
    <x v="4"/>
    <x v="2"/>
    <x v="1"/>
    <n v="1.2"/>
    <n v="18"/>
    <n v="4"/>
    <n v="881813"/>
    <n v="3527252"/>
    <n v="2920435"/>
    <n v="606817"/>
  </r>
  <r>
    <n v="2093"/>
    <s v="17-10-2024"/>
    <x v="0"/>
    <x v="10"/>
    <x v="0"/>
    <x v="0"/>
    <x v="7"/>
    <x v="8"/>
    <x v="2"/>
    <n v="1"/>
    <n v="19"/>
    <n v="8"/>
    <n v="1113592"/>
    <n v="8908736"/>
    <n v="6963623"/>
    <n v="1945113"/>
  </r>
  <r>
    <n v="2094"/>
    <s v="10-03-2023"/>
    <x v="1"/>
    <x v="2"/>
    <x v="1"/>
    <x v="11"/>
    <x v="4"/>
    <x v="8"/>
    <x v="2"/>
    <n v="2"/>
    <n v="16"/>
    <n v="6"/>
    <n v="703126"/>
    <n v="4218756"/>
    <n v="3574416"/>
    <n v="644340"/>
  </r>
  <r>
    <n v="2095"/>
    <s v="01-05-2024"/>
    <x v="0"/>
    <x v="8"/>
    <x v="3"/>
    <x v="12"/>
    <x v="6"/>
    <x v="5"/>
    <x v="2"/>
    <n v="1"/>
    <n v="21"/>
    <n v="1"/>
    <n v="651362"/>
    <n v="651362"/>
    <n v="568772"/>
    <n v="82590"/>
  </r>
  <r>
    <n v="2096"/>
    <s v="07-03-2023"/>
    <x v="1"/>
    <x v="2"/>
    <x v="3"/>
    <x v="4"/>
    <x v="2"/>
    <x v="9"/>
    <x v="0"/>
    <n v="1.5"/>
    <n v="19"/>
    <n v="1"/>
    <n v="941198"/>
    <n v="941198"/>
    <n v="799078"/>
    <n v="142120"/>
  </r>
  <r>
    <n v="2097"/>
    <s v="30-09-2023"/>
    <x v="1"/>
    <x v="7"/>
    <x v="3"/>
    <x v="8"/>
    <x v="3"/>
    <x v="5"/>
    <x v="2"/>
    <n v="1.5"/>
    <n v="21"/>
    <n v="1"/>
    <n v="1304122"/>
    <n v="1304122"/>
    <n v="1026686"/>
    <n v="277436"/>
  </r>
  <r>
    <n v="2098"/>
    <s v="28-06-2023"/>
    <x v="1"/>
    <x v="3"/>
    <x v="0"/>
    <x v="9"/>
    <x v="2"/>
    <x v="5"/>
    <x v="2"/>
    <n v="1"/>
    <n v="22"/>
    <n v="7"/>
    <n v="1052621"/>
    <n v="7368347"/>
    <n v="6591232"/>
    <n v="777115"/>
  </r>
  <r>
    <n v="2099"/>
    <s v="04-08-2024"/>
    <x v="0"/>
    <x v="4"/>
    <x v="2"/>
    <x v="15"/>
    <x v="0"/>
    <x v="2"/>
    <x v="1"/>
    <n v="2"/>
    <n v="19"/>
    <n v="1"/>
    <n v="1070208"/>
    <n v="1070208"/>
    <n v="841261"/>
    <n v="228947"/>
  </r>
  <r>
    <n v="2100"/>
    <s v="15-06-2023"/>
    <x v="1"/>
    <x v="3"/>
    <x v="3"/>
    <x v="8"/>
    <x v="4"/>
    <x v="7"/>
    <x v="0"/>
    <n v="2"/>
    <n v="23"/>
    <n v="8"/>
    <n v="913566"/>
    <n v="7308528"/>
    <n v="6082012"/>
    <n v="1226516"/>
  </r>
  <r>
    <n v="2101"/>
    <s v="29-10-2023"/>
    <x v="1"/>
    <x v="10"/>
    <x v="2"/>
    <x v="15"/>
    <x v="2"/>
    <x v="3"/>
    <x v="2"/>
    <n v="1.5"/>
    <n v="22"/>
    <n v="5"/>
    <n v="1024253"/>
    <n v="5121265"/>
    <n v="4258940"/>
    <n v="862325"/>
  </r>
  <r>
    <n v="2102"/>
    <s v="24-05-2024"/>
    <x v="0"/>
    <x v="8"/>
    <x v="2"/>
    <x v="7"/>
    <x v="0"/>
    <x v="8"/>
    <x v="2"/>
    <n v="1"/>
    <n v="23"/>
    <n v="8"/>
    <n v="714878"/>
    <n v="5719024"/>
    <n v="4900977"/>
    <n v="818047"/>
  </r>
  <r>
    <n v="2103"/>
    <s v="15-12-2024"/>
    <x v="0"/>
    <x v="5"/>
    <x v="1"/>
    <x v="11"/>
    <x v="4"/>
    <x v="9"/>
    <x v="0"/>
    <n v="1"/>
    <n v="20"/>
    <n v="1"/>
    <n v="1353002"/>
    <n v="1353002"/>
    <n v="1135371"/>
    <n v="217631"/>
  </r>
  <r>
    <n v="2104"/>
    <s v="31-05-2024"/>
    <x v="0"/>
    <x v="8"/>
    <x v="2"/>
    <x v="3"/>
    <x v="4"/>
    <x v="3"/>
    <x v="2"/>
    <n v="2"/>
    <n v="20"/>
    <n v="7"/>
    <n v="1221520"/>
    <n v="8550640"/>
    <n v="6899176"/>
    <n v="1651464"/>
  </r>
  <r>
    <n v="2105"/>
    <s v="15-01-2023"/>
    <x v="1"/>
    <x v="6"/>
    <x v="1"/>
    <x v="10"/>
    <x v="5"/>
    <x v="3"/>
    <x v="2"/>
    <n v="1.5"/>
    <n v="20"/>
    <n v="8"/>
    <n v="1330255"/>
    <n v="10642040"/>
    <n v="8971126"/>
    <n v="1670914"/>
  </r>
  <r>
    <n v="2106"/>
    <s v="26-09-2024"/>
    <x v="0"/>
    <x v="7"/>
    <x v="0"/>
    <x v="9"/>
    <x v="2"/>
    <x v="6"/>
    <x v="2"/>
    <n v="1"/>
    <n v="19"/>
    <n v="1"/>
    <n v="647654"/>
    <n v="647654"/>
    <n v="525200"/>
    <n v="122454"/>
  </r>
  <r>
    <n v="2107"/>
    <s v="16-05-2024"/>
    <x v="0"/>
    <x v="8"/>
    <x v="1"/>
    <x v="11"/>
    <x v="7"/>
    <x v="0"/>
    <x v="0"/>
    <n v="2"/>
    <n v="16"/>
    <n v="8"/>
    <n v="922321"/>
    <n v="7378568"/>
    <n v="5557668"/>
    <n v="1820900"/>
  </r>
  <r>
    <n v="2108"/>
    <s v="18-09-2023"/>
    <x v="1"/>
    <x v="7"/>
    <x v="1"/>
    <x v="1"/>
    <x v="2"/>
    <x v="9"/>
    <x v="0"/>
    <n v="1"/>
    <n v="20"/>
    <n v="1"/>
    <n v="662059"/>
    <n v="662059"/>
    <n v="566388"/>
    <n v="95671"/>
  </r>
  <r>
    <n v="2109"/>
    <s v="26-05-2024"/>
    <x v="0"/>
    <x v="8"/>
    <x v="0"/>
    <x v="0"/>
    <x v="1"/>
    <x v="5"/>
    <x v="2"/>
    <n v="1"/>
    <n v="18"/>
    <n v="7"/>
    <n v="616028"/>
    <n v="4312196"/>
    <n v="3315970"/>
    <n v="996226"/>
  </r>
  <r>
    <n v="2110"/>
    <s v="04-09-2024"/>
    <x v="0"/>
    <x v="7"/>
    <x v="0"/>
    <x v="2"/>
    <x v="2"/>
    <x v="3"/>
    <x v="2"/>
    <n v="1.5"/>
    <n v="23"/>
    <n v="3"/>
    <n v="1004921"/>
    <n v="3014763"/>
    <n v="2300252"/>
    <n v="714511"/>
  </r>
  <r>
    <n v="2111"/>
    <s v="26-01-2024"/>
    <x v="0"/>
    <x v="6"/>
    <x v="2"/>
    <x v="13"/>
    <x v="1"/>
    <x v="6"/>
    <x v="2"/>
    <n v="1.2"/>
    <n v="20"/>
    <n v="3"/>
    <n v="628476"/>
    <n v="1885428"/>
    <n v="1559345"/>
    <n v="326083"/>
  </r>
  <r>
    <n v="2112"/>
    <s v="24-05-2023"/>
    <x v="1"/>
    <x v="8"/>
    <x v="3"/>
    <x v="8"/>
    <x v="7"/>
    <x v="0"/>
    <x v="0"/>
    <n v="2"/>
    <n v="18"/>
    <n v="3"/>
    <n v="1031531"/>
    <n v="3094593"/>
    <n v="2715777"/>
    <n v="378816"/>
  </r>
  <r>
    <n v="2113"/>
    <s v="21-02-2024"/>
    <x v="0"/>
    <x v="0"/>
    <x v="1"/>
    <x v="1"/>
    <x v="2"/>
    <x v="3"/>
    <x v="2"/>
    <n v="1.5"/>
    <n v="20"/>
    <n v="3"/>
    <n v="1170472"/>
    <n v="3511416"/>
    <n v="3113789"/>
    <n v="397627"/>
  </r>
  <r>
    <n v="2114"/>
    <s v="02-07-2024"/>
    <x v="0"/>
    <x v="11"/>
    <x v="1"/>
    <x v="5"/>
    <x v="1"/>
    <x v="0"/>
    <x v="0"/>
    <n v="1.5"/>
    <n v="18"/>
    <n v="8"/>
    <n v="828846"/>
    <n v="6630768"/>
    <n v="5255230"/>
    <n v="1375538"/>
  </r>
  <r>
    <n v="2115"/>
    <s v="13-04-2023"/>
    <x v="1"/>
    <x v="9"/>
    <x v="1"/>
    <x v="11"/>
    <x v="2"/>
    <x v="0"/>
    <x v="0"/>
    <n v="1.5"/>
    <n v="18"/>
    <n v="8"/>
    <n v="914914"/>
    <n v="7319312"/>
    <n v="5862639"/>
    <n v="1456673"/>
  </r>
  <r>
    <n v="2116"/>
    <s v="17-07-2024"/>
    <x v="0"/>
    <x v="11"/>
    <x v="3"/>
    <x v="12"/>
    <x v="6"/>
    <x v="2"/>
    <x v="1"/>
    <n v="2"/>
    <n v="23"/>
    <n v="2"/>
    <n v="969710"/>
    <n v="1939420"/>
    <n v="1456654"/>
    <n v="482766"/>
  </r>
  <r>
    <n v="2117"/>
    <s v="05-12-2023"/>
    <x v="1"/>
    <x v="5"/>
    <x v="1"/>
    <x v="11"/>
    <x v="5"/>
    <x v="8"/>
    <x v="2"/>
    <n v="2"/>
    <n v="23"/>
    <n v="8"/>
    <n v="633743"/>
    <n v="5069944"/>
    <n v="3960712"/>
    <n v="1109232"/>
  </r>
  <r>
    <n v="2118"/>
    <s v="25-12-2023"/>
    <x v="1"/>
    <x v="5"/>
    <x v="0"/>
    <x v="9"/>
    <x v="5"/>
    <x v="4"/>
    <x v="0"/>
    <n v="2"/>
    <n v="18"/>
    <n v="6"/>
    <n v="927751"/>
    <n v="5566506"/>
    <n v="4462025"/>
    <n v="1104481"/>
  </r>
  <r>
    <n v="2119"/>
    <s v="23-04-2024"/>
    <x v="0"/>
    <x v="9"/>
    <x v="2"/>
    <x v="13"/>
    <x v="4"/>
    <x v="1"/>
    <x v="1"/>
    <n v="1.5"/>
    <n v="22"/>
    <n v="7"/>
    <n v="1285859"/>
    <n v="9001013"/>
    <n v="7148792"/>
    <n v="1852221"/>
  </r>
  <r>
    <n v="2120"/>
    <s v="06-12-2024"/>
    <x v="0"/>
    <x v="5"/>
    <x v="2"/>
    <x v="15"/>
    <x v="0"/>
    <x v="7"/>
    <x v="0"/>
    <n v="1.5"/>
    <n v="16"/>
    <n v="4"/>
    <n v="1415069"/>
    <n v="5660276"/>
    <n v="4924757"/>
    <n v="735519"/>
  </r>
  <r>
    <n v="2121"/>
    <s v="26-11-2023"/>
    <x v="1"/>
    <x v="1"/>
    <x v="0"/>
    <x v="0"/>
    <x v="2"/>
    <x v="7"/>
    <x v="0"/>
    <n v="1.2"/>
    <n v="16"/>
    <n v="4"/>
    <n v="1369357"/>
    <n v="5477428"/>
    <n v="4824940"/>
    <n v="652488"/>
  </r>
  <r>
    <n v="2122"/>
    <s v="17-08-2024"/>
    <x v="0"/>
    <x v="4"/>
    <x v="0"/>
    <x v="14"/>
    <x v="5"/>
    <x v="1"/>
    <x v="1"/>
    <n v="1.2"/>
    <n v="22"/>
    <n v="8"/>
    <n v="1316051"/>
    <n v="10528408"/>
    <n v="8128404"/>
    <n v="2400004"/>
  </r>
  <r>
    <n v="2123"/>
    <s v="10-04-2024"/>
    <x v="0"/>
    <x v="9"/>
    <x v="2"/>
    <x v="13"/>
    <x v="0"/>
    <x v="6"/>
    <x v="2"/>
    <n v="2"/>
    <n v="19"/>
    <n v="8"/>
    <n v="1261074"/>
    <n v="10088592"/>
    <n v="8765114"/>
    <n v="1323478"/>
  </r>
  <r>
    <n v="2124"/>
    <s v="30-04-2023"/>
    <x v="1"/>
    <x v="9"/>
    <x v="1"/>
    <x v="10"/>
    <x v="6"/>
    <x v="8"/>
    <x v="2"/>
    <n v="1.5"/>
    <n v="20"/>
    <n v="6"/>
    <n v="704671"/>
    <n v="4228026"/>
    <n v="3219878"/>
    <n v="1008148"/>
  </r>
  <r>
    <n v="2125"/>
    <s v="27-09-2023"/>
    <x v="1"/>
    <x v="7"/>
    <x v="1"/>
    <x v="10"/>
    <x v="4"/>
    <x v="9"/>
    <x v="0"/>
    <n v="2"/>
    <n v="19"/>
    <n v="7"/>
    <n v="1321964"/>
    <n v="9253748"/>
    <n v="7689855"/>
    <n v="1563893"/>
  </r>
  <r>
    <n v="2126"/>
    <s v="11-01-2023"/>
    <x v="1"/>
    <x v="6"/>
    <x v="2"/>
    <x v="15"/>
    <x v="2"/>
    <x v="8"/>
    <x v="2"/>
    <n v="2"/>
    <n v="22"/>
    <n v="1"/>
    <n v="1378146"/>
    <n v="1378146"/>
    <n v="1160173"/>
    <n v="217973"/>
  </r>
  <r>
    <n v="2127"/>
    <s v="14-12-2023"/>
    <x v="1"/>
    <x v="5"/>
    <x v="0"/>
    <x v="0"/>
    <x v="0"/>
    <x v="5"/>
    <x v="2"/>
    <n v="2"/>
    <n v="21"/>
    <n v="7"/>
    <n v="1194063"/>
    <n v="8358441"/>
    <n v="6692857"/>
    <n v="1665584"/>
  </r>
  <r>
    <n v="2128"/>
    <s v="08-09-2024"/>
    <x v="0"/>
    <x v="7"/>
    <x v="2"/>
    <x v="3"/>
    <x v="0"/>
    <x v="3"/>
    <x v="2"/>
    <n v="1.2"/>
    <n v="20"/>
    <n v="5"/>
    <n v="940157"/>
    <n v="4700785"/>
    <n v="3878800"/>
    <n v="821985"/>
  </r>
  <r>
    <n v="2129"/>
    <s v="06-01-2024"/>
    <x v="0"/>
    <x v="6"/>
    <x v="1"/>
    <x v="10"/>
    <x v="7"/>
    <x v="6"/>
    <x v="2"/>
    <n v="1.2"/>
    <n v="19"/>
    <n v="4"/>
    <n v="607781"/>
    <n v="2431124"/>
    <n v="1854955"/>
    <n v="576169"/>
  </r>
  <r>
    <n v="2130"/>
    <s v="24-01-2023"/>
    <x v="1"/>
    <x v="6"/>
    <x v="3"/>
    <x v="8"/>
    <x v="2"/>
    <x v="1"/>
    <x v="1"/>
    <n v="2"/>
    <n v="21"/>
    <n v="3"/>
    <n v="987965"/>
    <n v="2963895"/>
    <n v="2292181"/>
    <n v="671714"/>
  </r>
  <r>
    <n v="2131"/>
    <s v="18-09-2023"/>
    <x v="1"/>
    <x v="7"/>
    <x v="0"/>
    <x v="0"/>
    <x v="1"/>
    <x v="2"/>
    <x v="1"/>
    <n v="2"/>
    <n v="16"/>
    <n v="3"/>
    <n v="1306585"/>
    <n v="3919755"/>
    <n v="2947005"/>
    <n v="972750"/>
  </r>
  <r>
    <n v="2132"/>
    <s v="24-08-2023"/>
    <x v="1"/>
    <x v="4"/>
    <x v="2"/>
    <x v="3"/>
    <x v="7"/>
    <x v="6"/>
    <x v="2"/>
    <n v="1"/>
    <n v="23"/>
    <n v="7"/>
    <n v="1353042"/>
    <n v="9471294"/>
    <n v="8454750"/>
    <n v="1016544"/>
  </r>
  <r>
    <n v="2133"/>
    <s v="08-03-2024"/>
    <x v="0"/>
    <x v="2"/>
    <x v="2"/>
    <x v="13"/>
    <x v="3"/>
    <x v="4"/>
    <x v="0"/>
    <n v="1.2"/>
    <n v="16"/>
    <n v="2"/>
    <n v="1492667"/>
    <n v="2985334"/>
    <n v="2542179"/>
    <n v="443155"/>
  </r>
  <r>
    <n v="2134"/>
    <s v="09-05-2023"/>
    <x v="1"/>
    <x v="8"/>
    <x v="1"/>
    <x v="1"/>
    <x v="1"/>
    <x v="6"/>
    <x v="2"/>
    <n v="1.5"/>
    <n v="21"/>
    <n v="7"/>
    <n v="1460612"/>
    <n v="10224284"/>
    <n v="9075251"/>
    <n v="1149033"/>
  </r>
  <r>
    <n v="2135"/>
    <s v="15-09-2023"/>
    <x v="1"/>
    <x v="7"/>
    <x v="2"/>
    <x v="3"/>
    <x v="7"/>
    <x v="7"/>
    <x v="0"/>
    <n v="1.5"/>
    <n v="23"/>
    <n v="6"/>
    <n v="672364"/>
    <n v="4034184"/>
    <n v="3419754"/>
    <n v="614430"/>
  </r>
  <r>
    <n v="2136"/>
    <s v="15-06-2024"/>
    <x v="0"/>
    <x v="3"/>
    <x v="1"/>
    <x v="5"/>
    <x v="0"/>
    <x v="1"/>
    <x v="1"/>
    <n v="1"/>
    <n v="16"/>
    <n v="7"/>
    <n v="1445752"/>
    <n v="10120264"/>
    <n v="7883839"/>
    <n v="2236425"/>
  </r>
  <r>
    <n v="2137"/>
    <s v="03-02-2024"/>
    <x v="0"/>
    <x v="0"/>
    <x v="2"/>
    <x v="7"/>
    <x v="5"/>
    <x v="5"/>
    <x v="2"/>
    <n v="2"/>
    <n v="20"/>
    <n v="6"/>
    <n v="1046817"/>
    <n v="6280902"/>
    <n v="5344955"/>
    <n v="935947"/>
  </r>
  <r>
    <n v="2138"/>
    <s v="09-03-2023"/>
    <x v="1"/>
    <x v="2"/>
    <x v="1"/>
    <x v="10"/>
    <x v="4"/>
    <x v="7"/>
    <x v="0"/>
    <n v="1.2"/>
    <n v="22"/>
    <n v="7"/>
    <n v="625726"/>
    <n v="4380082"/>
    <n v="3835740"/>
    <n v="544342"/>
  </r>
  <r>
    <n v="2139"/>
    <s v="14-07-2024"/>
    <x v="0"/>
    <x v="11"/>
    <x v="3"/>
    <x v="12"/>
    <x v="1"/>
    <x v="7"/>
    <x v="0"/>
    <n v="1.2"/>
    <n v="20"/>
    <n v="3"/>
    <n v="1375841"/>
    <n v="4127523"/>
    <n v="3194894"/>
    <n v="932629"/>
  </r>
  <r>
    <n v="2140"/>
    <s v="28-03-2024"/>
    <x v="0"/>
    <x v="2"/>
    <x v="1"/>
    <x v="11"/>
    <x v="0"/>
    <x v="4"/>
    <x v="0"/>
    <n v="1.5"/>
    <n v="23"/>
    <n v="8"/>
    <n v="709087"/>
    <n v="5672696"/>
    <n v="4370819"/>
    <n v="1301877"/>
  </r>
  <r>
    <n v="2141"/>
    <s v="24-10-2023"/>
    <x v="1"/>
    <x v="10"/>
    <x v="1"/>
    <x v="11"/>
    <x v="2"/>
    <x v="0"/>
    <x v="0"/>
    <n v="1.5"/>
    <n v="21"/>
    <n v="3"/>
    <n v="709854"/>
    <n v="2129562"/>
    <n v="1893518"/>
    <n v="236044"/>
  </r>
  <r>
    <n v="2142"/>
    <s v="22-09-2023"/>
    <x v="1"/>
    <x v="7"/>
    <x v="1"/>
    <x v="1"/>
    <x v="1"/>
    <x v="4"/>
    <x v="0"/>
    <n v="1.5"/>
    <n v="16"/>
    <n v="3"/>
    <n v="688912"/>
    <n v="2066736"/>
    <n v="1681474"/>
    <n v="385262"/>
  </r>
  <r>
    <n v="2143"/>
    <s v="15-03-2024"/>
    <x v="0"/>
    <x v="2"/>
    <x v="0"/>
    <x v="2"/>
    <x v="5"/>
    <x v="9"/>
    <x v="0"/>
    <n v="2"/>
    <n v="20"/>
    <n v="6"/>
    <n v="1088323"/>
    <n v="6529938"/>
    <n v="5057442"/>
    <n v="1472496"/>
  </r>
  <r>
    <n v="2144"/>
    <s v="13-02-2024"/>
    <x v="0"/>
    <x v="0"/>
    <x v="2"/>
    <x v="3"/>
    <x v="2"/>
    <x v="2"/>
    <x v="1"/>
    <n v="1.2"/>
    <n v="20"/>
    <n v="1"/>
    <n v="1001818"/>
    <n v="1001818"/>
    <n v="846852"/>
    <n v="154966"/>
  </r>
  <r>
    <n v="2145"/>
    <s v="28-02-2024"/>
    <x v="0"/>
    <x v="0"/>
    <x v="1"/>
    <x v="5"/>
    <x v="7"/>
    <x v="1"/>
    <x v="1"/>
    <n v="1"/>
    <n v="19"/>
    <n v="7"/>
    <n v="1107377"/>
    <n v="7751639"/>
    <n v="5958028"/>
    <n v="1793611"/>
  </r>
  <r>
    <n v="2146"/>
    <s v="08-03-2024"/>
    <x v="0"/>
    <x v="2"/>
    <x v="0"/>
    <x v="14"/>
    <x v="0"/>
    <x v="5"/>
    <x v="2"/>
    <n v="1.2"/>
    <n v="21"/>
    <n v="5"/>
    <n v="638249"/>
    <n v="3191245"/>
    <n v="2639426"/>
    <n v="551819"/>
  </r>
  <r>
    <n v="2147"/>
    <s v="21-11-2023"/>
    <x v="1"/>
    <x v="1"/>
    <x v="2"/>
    <x v="13"/>
    <x v="7"/>
    <x v="2"/>
    <x v="1"/>
    <n v="1.5"/>
    <n v="20"/>
    <n v="4"/>
    <n v="1086521"/>
    <n v="4346084"/>
    <n v="3839987"/>
    <n v="506097"/>
  </r>
  <r>
    <n v="2148"/>
    <s v="30-08-2023"/>
    <x v="1"/>
    <x v="4"/>
    <x v="2"/>
    <x v="3"/>
    <x v="1"/>
    <x v="3"/>
    <x v="2"/>
    <n v="1"/>
    <n v="23"/>
    <n v="4"/>
    <n v="1226396"/>
    <n v="4905584"/>
    <n v="4397188"/>
    <n v="508396"/>
  </r>
  <r>
    <n v="2149"/>
    <s v="12-11-2023"/>
    <x v="1"/>
    <x v="1"/>
    <x v="0"/>
    <x v="0"/>
    <x v="6"/>
    <x v="4"/>
    <x v="0"/>
    <n v="1.2"/>
    <n v="22"/>
    <n v="3"/>
    <n v="1232056"/>
    <n v="3696168"/>
    <n v="2927390"/>
    <n v="768778"/>
  </r>
  <r>
    <n v="2150"/>
    <s v="18-06-2024"/>
    <x v="0"/>
    <x v="3"/>
    <x v="0"/>
    <x v="14"/>
    <x v="5"/>
    <x v="8"/>
    <x v="2"/>
    <n v="1.5"/>
    <n v="20"/>
    <n v="4"/>
    <n v="689387"/>
    <n v="2757548"/>
    <n v="2161889"/>
    <n v="595659"/>
  </r>
  <r>
    <n v="2151"/>
    <s v="25-11-2023"/>
    <x v="1"/>
    <x v="1"/>
    <x v="2"/>
    <x v="3"/>
    <x v="0"/>
    <x v="9"/>
    <x v="0"/>
    <n v="1.5"/>
    <n v="18"/>
    <n v="7"/>
    <n v="1001166"/>
    <n v="7008162"/>
    <n v="5907265"/>
    <n v="1100897"/>
  </r>
  <r>
    <n v="2152"/>
    <s v="01-05-2024"/>
    <x v="0"/>
    <x v="8"/>
    <x v="2"/>
    <x v="15"/>
    <x v="6"/>
    <x v="3"/>
    <x v="2"/>
    <n v="1"/>
    <n v="16"/>
    <n v="1"/>
    <n v="1374808"/>
    <n v="1374808"/>
    <n v="1195853"/>
    <n v="178955"/>
  </r>
  <r>
    <n v="2153"/>
    <s v="30-10-2024"/>
    <x v="0"/>
    <x v="10"/>
    <x v="0"/>
    <x v="0"/>
    <x v="3"/>
    <x v="8"/>
    <x v="2"/>
    <n v="1"/>
    <n v="21"/>
    <n v="3"/>
    <n v="827462"/>
    <n v="2482386"/>
    <n v="2046782"/>
    <n v="435604"/>
  </r>
  <r>
    <n v="2154"/>
    <s v="02-05-2024"/>
    <x v="0"/>
    <x v="8"/>
    <x v="3"/>
    <x v="12"/>
    <x v="3"/>
    <x v="2"/>
    <x v="1"/>
    <n v="1"/>
    <n v="21"/>
    <n v="4"/>
    <n v="1428038"/>
    <n v="5712152"/>
    <n v="4360446"/>
    <n v="1351706"/>
  </r>
  <r>
    <n v="2155"/>
    <s v="11-09-2024"/>
    <x v="0"/>
    <x v="7"/>
    <x v="1"/>
    <x v="1"/>
    <x v="7"/>
    <x v="6"/>
    <x v="2"/>
    <n v="1.5"/>
    <n v="19"/>
    <n v="5"/>
    <n v="1424726"/>
    <n v="7123630"/>
    <n v="6070167"/>
    <n v="1053463"/>
  </r>
  <r>
    <n v="2156"/>
    <s v="26-03-2023"/>
    <x v="1"/>
    <x v="2"/>
    <x v="3"/>
    <x v="4"/>
    <x v="6"/>
    <x v="4"/>
    <x v="0"/>
    <n v="1.2"/>
    <n v="23"/>
    <n v="7"/>
    <n v="797196"/>
    <n v="5580372"/>
    <n v="4813086"/>
    <n v="767286"/>
  </r>
  <r>
    <n v="2157"/>
    <s v="21-03-2023"/>
    <x v="1"/>
    <x v="2"/>
    <x v="0"/>
    <x v="0"/>
    <x v="4"/>
    <x v="0"/>
    <x v="0"/>
    <n v="1.5"/>
    <n v="21"/>
    <n v="3"/>
    <n v="727091"/>
    <n v="2181273"/>
    <n v="1909987"/>
    <n v="271286"/>
  </r>
  <r>
    <n v="2158"/>
    <s v="25-09-2024"/>
    <x v="0"/>
    <x v="7"/>
    <x v="1"/>
    <x v="11"/>
    <x v="1"/>
    <x v="3"/>
    <x v="2"/>
    <n v="1.5"/>
    <n v="23"/>
    <n v="8"/>
    <n v="832218"/>
    <n v="6657744"/>
    <n v="5540322"/>
    <n v="1117422"/>
  </r>
  <r>
    <n v="2159"/>
    <s v="06-06-2024"/>
    <x v="0"/>
    <x v="3"/>
    <x v="0"/>
    <x v="14"/>
    <x v="7"/>
    <x v="3"/>
    <x v="2"/>
    <n v="1.5"/>
    <n v="19"/>
    <n v="2"/>
    <n v="846093"/>
    <n v="1692186"/>
    <n v="1290562"/>
    <n v="401624"/>
  </r>
  <r>
    <n v="2160"/>
    <s v="18-10-2023"/>
    <x v="1"/>
    <x v="10"/>
    <x v="2"/>
    <x v="15"/>
    <x v="3"/>
    <x v="1"/>
    <x v="1"/>
    <n v="2"/>
    <n v="21"/>
    <n v="6"/>
    <n v="709726"/>
    <n v="4258356"/>
    <n v="3755953"/>
    <n v="502403"/>
  </r>
  <r>
    <n v="2161"/>
    <s v="02-06-2023"/>
    <x v="1"/>
    <x v="3"/>
    <x v="2"/>
    <x v="7"/>
    <x v="3"/>
    <x v="8"/>
    <x v="2"/>
    <n v="1.5"/>
    <n v="16"/>
    <n v="8"/>
    <n v="784045"/>
    <n v="6272360"/>
    <n v="5218861"/>
    <n v="1053499"/>
  </r>
  <r>
    <n v="2162"/>
    <s v="08-04-2023"/>
    <x v="1"/>
    <x v="9"/>
    <x v="1"/>
    <x v="11"/>
    <x v="4"/>
    <x v="7"/>
    <x v="0"/>
    <n v="1.2"/>
    <n v="19"/>
    <n v="2"/>
    <n v="1128149"/>
    <n v="2256298"/>
    <n v="1826967"/>
    <n v="429331"/>
  </r>
  <r>
    <n v="2163"/>
    <s v="15-10-2023"/>
    <x v="1"/>
    <x v="10"/>
    <x v="2"/>
    <x v="15"/>
    <x v="7"/>
    <x v="5"/>
    <x v="2"/>
    <n v="1.2"/>
    <n v="16"/>
    <n v="3"/>
    <n v="876742"/>
    <n v="2630226"/>
    <n v="2005863"/>
    <n v="624363"/>
  </r>
  <r>
    <n v="2164"/>
    <s v="09-04-2024"/>
    <x v="0"/>
    <x v="9"/>
    <x v="3"/>
    <x v="12"/>
    <x v="7"/>
    <x v="3"/>
    <x v="2"/>
    <n v="2"/>
    <n v="16"/>
    <n v="3"/>
    <n v="716813"/>
    <n v="2150439"/>
    <n v="1864635"/>
    <n v="285804"/>
  </r>
  <r>
    <n v="2165"/>
    <s v="30-05-2024"/>
    <x v="0"/>
    <x v="8"/>
    <x v="0"/>
    <x v="9"/>
    <x v="2"/>
    <x v="1"/>
    <x v="1"/>
    <n v="1"/>
    <n v="19"/>
    <n v="2"/>
    <n v="1390753"/>
    <n v="2781506"/>
    <n v="2493982"/>
    <n v="287524"/>
  </r>
  <r>
    <n v="2166"/>
    <s v="06-12-2024"/>
    <x v="0"/>
    <x v="5"/>
    <x v="0"/>
    <x v="0"/>
    <x v="4"/>
    <x v="7"/>
    <x v="0"/>
    <n v="2"/>
    <n v="22"/>
    <n v="5"/>
    <n v="1283724"/>
    <n v="6418620"/>
    <n v="4871504"/>
    <n v="1547116"/>
  </r>
  <r>
    <n v="2167"/>
    <s v="15-12-2024"/>
    <x v="0"/>
    <x v="5"/>
    <x v="3"/>
    <x v="6"/>
    <x v="1"/>
    <x v="9"/>
    <x v="0"/>
    <n v="1.5"/>
    <n v="19"/>
    <n v="1"/>
    <n v="749097"/>
    <n v="749097"/>
    <n v="637663"/>
    <n v="111434"/>
  </r>
  <r>
    <n v="2168"/>
    <s v="03-09-2024"/>
    <x v="0"/>
    <x v="7"/>
    <x v="2"/>
    <x v="7"/>
    <x v="3"/>
    <x v="6"/>
    <x v="2"/>
    <n v="2"/>
    <n v="18"/>
    <n v="4"/>
    <n v="857688"/>
    <n v="3430752"/>
    <n v="3007487"/>
    <n v="423265"/>
  </r>
  <r>
    <n v="2169"/>
    <s v="14-04-2024"/>
    <x v="0"/>
    <x v="9"/>
    <x v="3"/>
    <x v="6"/>
    <x v="1"/>
    <x v="0"/>
    <x v="0"/>
    <n v="2"/>
    <n v="18"/>
    <n v="4"/>
    <n v="830451"/>
    <n v="3321804"/>
    <n v="2510505"/>
    <n v="811299"/>
  </r>
  <r>
    <n v="2170"/>
    <s v="09-02-2024"/>
    <x v="0"/>
    <x v="0"/>
    <x v="1"/>
    <x v="10"/>
    <x v="7"/>
    <x v="0"/>
    <x v="0"/>
    <n v="1.5"/>
    <n v="22"/>
    <n v="6"/>
    <n v="1201920"/>
    <n v="7211520"/>
    <n v="5639099"/>
    <n v="1572421"/>
  </r>
  <r>
    <n v="2171"/>
    <s v="16-10-2024"/>
    <x v="0"/>
    <x v="10"/>
    <x v="2"/>
    <x v="13"/>
    <x v="2"/>
    <x v="9"/>
    <x v="0"/>
    <n v="1.5"/>
    <n v="16"/>
    <n v="5"/>
    <n v="1190587"/>
    <n v="5952935"/>
    <n v="5026468"/>
    <n v="926467"/>
  </r>
  <r>
    <n v="2172"/>
    <s v="09-10-2024"/>
    <x v="0"/>
    <x v="10"/>
    <x v="0"/>
    <x v="14"/>
    <x v="1"/>
    <x v="1"/>
    <x v="1"/>
    <n v="1"/>
    <n v="23"/>
    <n v="2"/>
    <n v="751928"/>
    <n v="1503856"/>
    <n v="1166888"/>
    <n v="336968"/>
  </r>
  <r>
    <n v="2173"/>
    <s v="13-06-2023"/>
    <x v="1"/>
    <x v="3"/>
    <x v="1"/>
    <x v="11"/>
    <x v="0"/>
    <x v="7"/>
    <x v="0"/>
    <n v="1.5"/>
    <n v="18"/>
    <n v="3"/>
    <n v="1355310"/>
    <n v="4065930"/>
    <n v="3268288"/>
    <n v="797642"/>
  </r>
  <r>
    <n v="2174"/>
    <s v="04-07-2023"/>
    <x v="1"/>
    <x v="11"/>
    <x v="0"/>
    <x v="14"/>
    <x v="7"/>
    <x v="6"/>
    <x v="2"/>
    <n v="1.5"/>
    <n v="16"/>
    <n v="5"/>
    <n v="1042988"/>
    <n v="5214940"/>
    <n v="4013106"/>
    <n v="1201834"/>
  </r>
  <r>
    <n v="2175"/>
    <s v="28-02-2023"/>
    <x v="1"/>
    <x v="0"/>
    <x v="0"/>
    <x v="9"/>
    <x v="0"/>
    <x v="6"/>
    <x v="2"/>
    <n v="1.5"/>
    <n v="22"/>
    <n v="7"/>
    <n v="1055338"/>
    <n v="7387366"/>
    <n v="6420009"/>
    <n v="967357"/>
  </r>
  <r>
    <n v="2176"/>
    <s v="14-01-2024"/>
    <x v="0"/>
    <x v="6"/>
    <x v="3"/>
    <x v="8"/>
    <x v="0"/>
    <x v="5"/>
    <x v="2"/>
    <n v="1.2"/>
    <n v="23"/>
    <n v="2"/>
    <n v="1479683"/>
    <n v="2959366"/>
    <n v="2626469"/>
    <n v="332897"/>
  </r>
  <r>
    <n v="2177"/>
    <s v="17-06-2024"/>
    <x v="0"/>
    <x v="3"/>
    <x v="3"/>
    <x v="4"/>
    <x v="1"/>
    <x v="8"/>
    <x v="2"/>
    <n v="1.5"/>
    <n v="19"/>
    <n v="1"/>
    <n v="1026509"/>
    <n v="1026509"/>
    <n v="887014"/>
    <n v="139495"/>
  </r>
  <r>
    <n v="2178"/>
    <s v="30-01-2024"/>
    <x v="0"/>
    <x v="6"/>
    <x v="1"/>
    <x v="10"/>
    <x v="0"/>
    <x v="9"/>
    <x v="0"/>
    <n v="1.5"/>
    <n v="21"/>
    <n v="1"/>
    <n v="1041527"/>
    <n v="1041527"/>
    <n v="848875"/>
    <n v="192652"/>
  </r>
  <r>
    <n v="2179"/>
    <s v="19-10-2024"/>
    <x v="0"/>
    <x v="10"/>
    <x v="0"/>
    <x v="0"/>
    <x v="3"/>
    <x v="6"/>
    <x v="2"/>
    <n v="1"/>
    <n v="16"/>
    <n v="8"/>
    <n v="1076541"/>
    <n v="8612328"/>
    <n v="7466960"/>
    <n v="1145368"/>
  </r>
  <r>
    <n v="2180"/>
    <s v="19-01-2023"/>
    <x v="1"/>
    <x v="6"/>
    <x v="0"/>
    <x v="2"/>
    <x v="3"/>
    <x v="3"/>
    <x v="2"/>
    <n v="1"/>
    <n v="20"/>
    <n v="7"/>
    <n v="1005204"/>
    <n v="7036428"/>
    <n v="5882004"/>
    <n v="1154424"/>
  </r>
  <r>
    <n v="2181"/>
    <s v="10-08-2024"/>
    <x v="0"/>
    <x v="4"/>
    <x v="3"/>
    <x v="8"/>
    <x v="2"/>
    <x v="2"/>
    <x v="1"/>
    <n v="2"/>
    <n v="20"/>
    <n v="7"/>
    <n v="936040"/>
    <n v="6552280"/>
    <n v="5836636"/>
    <n v="715644"/>
  </r>
  <r>
    <n v="2182"/>
    <s v="04-05-2024"/>
    <x v="0"/>
    <x v="8"/>
    <x v="2"/>
    <x v="3"/>
    <x v="2"/>
    <x v="6"/>
    <x v="2"/>
    <n v="1.5"/>
    <n v="21"/>
    <n v="8"/>
    <n v="698653"/>
    <n v="5589224"/>
    <n v="4498045"/>
    <n v="1091179"/>
  </r>
  <r>
    <n v="2183"/>
    <s v="16-04-2023"/>
    <x v="1"/>
    <x v="9"/>
    <x v="0"/>
    <x v="14"/>
    <x v="2"/>
    <x v="7"/>
    <x v="0"/>
    <n v="1"/>
    <n v="23"/>
    <n v="4"/>
    <n v="1241919"/>
    <n v="4967676"/>
    <n v="3733511"/>
    <n v="1234165"/>
  </r>
  <r>
    <n v="2184"/>
    <s v="04-06-2023"/>
    <x v="1"/>
    <x v="3"/>
    <x v="2"/>
    <x v="15"/>
    <x v="7"/>
    <x v="2"/>
    <x v="1"/>
    <n v="1"/>
    <n v="22"/>
    <n v="5"/>
    <n v="883663"/>
    <n v="4418315"/>
    <n v="3595611"/>
    <n v="822704"/>
  </r>
  <r>
    <n v="2185"/>
    <s v="25-12-2023"/>
    <x v="1"/>
    <x v="5"/>
    <x v="3"/>
    <x v="4"/>
    <x v="2"/>
    <x v="0"/>
    <x v="0"/>
    <n v="1.5"/>
    <n v="21"/>
    <n v="2"/>
    <n v="1065306"/>
    <n v="2130612"/>
    <n v="1680778"/>
    <n v="449834"/>
  </r>
  <r>
    <n v="2186"/>
    <s v="09-04-2023"/>
    <x v="1"/>
    <x v="9"/>
    <x v="1"/>
    <x v="5"/>
    <x v="3"/>
    <x v="6"/>
    <x v="2"/>
    <n v="1"/>
    <n v="18"/>
    <n v="6"/>
    <n v="602265"/>
    <n v="3613590"/>
    <n v="2826881"/>
    <n v="786709"/>
  </r>
  <r>
    <n v="2187"/>
    <s v="04-12-2024"/>
    <x v="0"/>
    <x v="5"/>
    <x v="3"/>
    <x v="6"/>
    <x v="0"/>
    <x v="0"/>
    <x v="0"/>
    <n v="1"/>
    <n v="23"/>
    <n v="4"/>
    <n v="1420238"/>
    <n v="5680952"/>
    <n v="4773310"/>
    <n v="907642"/>
  </r>
  <r>
    <n v="2188"/>
    <s v="08-02-2023"/>
    <x v="1"/>
    <x v="0"/>
    <x v="2"/>
    <x v="3"/>
    <x v="5"/>
    <x v="1"/>
    <x v="1"/>
    <n v="1.2"/>
    <n v="20"/>
    <n v="2"/>
    <n v="1425598"/>
    <n v="2851196"/>
    <n v="2516417"/>
    <n v="334779"/>
  </r>
  <r>
    <n v="2189"/>
    <s v="23-01-2023"/>
    <x v="1"/>
    <x v="6"/>
    <x v="0"/>
    <x v="9"/>
    <x v="3"/>
    <x v="3"/>
    <x v="2"/>
    <n v="1.5"/>
    <n v="22"/>
    <n v="8"/>
    <n v="1294076"/>
    <n v="10352608"/>
    <n v="8051991"/>
    <n v="2300617"/>
  </r>
  <r>
    <n v="2190"/>
    <s v="22-07-2023"/>
    <x v="1"/>
    <x v="11"/>
    <x v="3"/>
    <x v="6"/>
    <x v="5"/>
    <x v="4"/>
    <x v="0"/>
    <n v="1.5"/>
    <n v="22"/>
    <n v="5"/>
    <n v="887870"/>
    <n v="4439350"/>
    <n v="3728068"/>
    <n v="711282"/>
  </r>
  <r>
    <n v="2191"/>
    <s v="12-01-2024"/>
    <x v="0"/>
    <x v="6"/>
    <x v="0"/>
    <x v="0"/>
    <x v="6"/>
    <x v="4"/>
    <x v="0"/>
    <n v="1"/>
    <n v="16"/>
    <n v="2"/>
    <n v="1385448"/>
    <n v="2770896"/>
    <n v="2110008"/>
    <n v="660888"/>
  </r>
  <r>
    <n v="2192"/>
    <s v="31-08-2023"/>
    <x v="1"/>
    <x v="4"/>
    <x v="1"/>
    <x v="1"/>
    <x v="4"/>
    <x v="8"/>
    <x v="2"/>
    <n v="1"/>
    <n v="18"/>
    <n v="5"/>
    <n v="805088"/>
    <n v="4025440"/>
    <n v="3051551"/>
    <n v="973889"/>
  </r>
  <r>
    <n v="2193"/>
    <s v="22-04-2024"/>
    <x v="0"/>
    <x v="9"/>
    <x v="3"/>
    <x v="6"/>
    <x v="0"/>
    <x v="7"/>
    <x v="0"/>
    <n v="1.2"/>
    <n v="18"/>
    <n v="1"/>
    <n v="1235619"/>
    <n v="1235619"/>
    <n v="1014493"/>
    <n v="221126"/>
  </r>
  <r>
    <n v="2194"/>
    <s v="23-01-2023"/>
    <x v="1"/>
    <x v="6"/>
    <x v="1"/>
    <x v="10"/>
    <x v="3"/>
    <x v="1"/>
    <x v="1"/>
    <n v="1.5"/>
    <n v="23"/>
    <n v="1"/>
    <n v="704053"/>
    <n v="704053"/>
    <n v="538529"/>
    <n v="165524"/>
  </r>
  <r>
    <n v="2195"/>
    <s v="14-06-2023"/>
    <x v="1"/>
    <x v="3"/>
    <x v="3"/>
    <x v="6"/>
    <x v="5"/>
    <x v="6"/>
    <x v="2"/>
    <n v="2"/>
    <n v="22"/>
    <n v="7"/>
    <n v="889941"/>
    <n v="6229587"/>
    <n v="5070411"/>
    <n v="1159176"/>
  </r>
  <r>
    <n v="2196"/>
    <s v="04-01-2023"/>
    <x v="1"/>
    <x v="6"/>
    <x v="3"/>
    <x v="4"/>
    <x v="3"/>
    <x v="2"/>
    <x v="1"/>
    <n v="1.5"/>
    <n v="20"/>
    <n v="7"/>
    <n v="1190960"/>
    <n v="8336720"/>
    <n v="7493575"/>
    <n v="843145"/>
  </r>
  <r>
    <n v="2197"/>
    <s v="14-08-2024"/>
    <x v="0"/>
    <x v="4"/>
    <x v="2"/>
    <x v="3"/>
    <x v="4"/>
    <x v="5"/>
    <x v="2"/>
    <n v="2"/>
    <n v="22"/>
    <n v="3"/>
    <n v="1115969"/>
    <n v="3347907"/>
    <n v="2842738"/>
    <n v="505169"/>
  </r>
  <r>
    <n v="2198"/>
    <s v="13-07-2024"/>
    <x v="0"/>
    <x v="11"/>
    <x v="1"/>
    <x v="5"/>
    <x v="6"/>
    <x v="1"/>
    <x v="1"/>
    <n v="1"/>
    <n v="18"/>
    <n v="5"/>
    <n v="1169146"/>
    <n v="5845730"/>
    <n v="4923748"/>
    <n v="921982"/>
  </r>
  <r>
    <n v="2199"/>
    <s v="02-12-2023"/>
    <x v="1"/>
    <x v="5"/>
    <x v="2"/>
    <x v="15"/>
    <x v="1"/>
    <x v="6"/>
    <x v="2"/>
    <n v="1.5"/>
    <n v="23"/>
    <n v="5"/>
    <n v="1103564"/>
    <n v="5517820"/>
    <n v="4956518"/>
    <n v="561302"/>
  </r>
  <r>
    <n v="2200"/>
    <s v="27-11-2023"/>
    <x v="1"/>
    <x v="1"/>
    <x v="0"/>
    <x v="14"/>
    <x v="0"/>
    <x v="1"/>
    <x v="1"/>
    <n v="2"/>
    <n v="16"/>
    <n v="6"/>
    <n v="826943"/>
    <n v="4961658"/>
    <n v="4109739"/>
    <n v="851919"/>
  </r>
  <r>
    <n v="2201"/>
    <s v="29-09-2023"/>
    <x v="1"/>
    <x v="7"/>
    <x v="2"/>
    <x v="3"/>
    <x v="3"/>
    <x v="1"/>
    <x v="1"/>
    <n v="1"/>
    <n v="20"/>
    <n v="2"/>
    <n v="628620"/>
    <n v="1257240"/>
    <n v="1042832"/>
    <n v="214408"/>
  </r>
  <r>
    <n v="2202"/>
    <s v="24-12-2023"/>
    <x v="1"/>
    <x v="5"/>
    <x v="1"/>
    <x v="5"/>
    <x v="5"/>
    <x v="2"/>
    <x v="1"/>
    <n v="1.2"/>
    <n v="23"/>
    <n v="4"/>
    <n v="875224"/>
    <n v="3500896"/>
    <n v="2921020"/>
    <n v="579876"/>
  </r>
  <r>
    <n v="2203"/>
    <s v="13-02-2023"/>
    <x v="1"/>
    <x v="0"/>
    <x v="1"/>
    <x v="5"/>
    <x v="1"/>
    <x v="1"/>
    <x v="1"/>
    <n v="1"/>
    <n v="22"/>
    <n v="1"/>
    <n v="1196251"/>
    <n v="1196251"/>
    <n v="1067081"/>
    <n v="129170"/>
  </r>
  <r>
    <n v="2204"/>
    <s v="06-01-2024"/>
    <x v="0"/>
    <x v="6"/>
    <x v="2"/>
    <x v="13"/>
    <x v="6"/>
    <x v="8"/>
    <x v="2"/>
    <n v="1.2"/>
    <n v="22"/>
    <n v="6"/>
    <n v="1195326"/>
    <n v="7171956"/>
    <n v="5950131"/>
    <n v="1221825"/>
  </r>
  <r>
    <n v="2205"/>
    <s v="05-10-2024"/>
    <x v="0"/>
    <x v="10"/>
    <x v="0"/>
    <x v="14"/>
    <x v="7"/>
    <x v="7"/>
    <x v="0"/>
    <n v="1.2"/>
    <n v="22"/>
    <n v="4"/>
    <n v="994836"/>
    <n v="3979344"/>
    <n v="3381845"/>
    <n v="597499"/>
  </r>
  <r>
    <n v="2206"/>
    <s v="27-01-2024"/>
    <x v="0"/>
    <x v="6"/>
    <x v="0"/>
    <x v="14"/>
    <x v="7"/>
    <x v="7"/>
    <x v="0"/>
    <n v="1.5"/>
    <n v="23"/>
    <n v="1"/>
    <n v="1057249"/>
    <n v="1057249"/>
    <n v="950968"/>
    <n v="106281"/>
  </r>
  <r>
    <n v="2207"/>
    <s v="01-01-2023"/>
    <x v="1"/>
    <x v="6"/>
    <x v="3"/>
    <x v="8"/>
    <x v="0"/>
    <x v="9"/>
    <x v="0"/>
    <n v="2"/>
    <n v="22"/>
    <n v="1"/>
    <n v="859216"/>
    <n v="859216"/>
    <n v="648907"/>
    <n v="210309"/>
  </r>
  <r>
    <n v="2208"/>
    <s v="25-10-2024"/>
    <x v="0"/>
    <x v="10"/>
    <x v="0"/>
    <x v="14"/>
    <x v="2"/>
    <x v="4"/>
    <x v="0"/>
    <n v="1"/>
    <n v="20"/>
    <n v="1"/>
    <n v="902748"/>
    <n v="902748"/>
    <n v="733107"/>
    <n v="169641"/>
  </r>
  <r>
    <n v="2209"/>
    <s v="10-09-2023"/>
    <x v="1"/>
    <x v="7"/>
    <x v="3"/>
    <x v="4"/>
    <x v="1"/>
    <x v="0"/>
    <x v="0"/>
    <n v="1.2"/>
    <n v="19"/>
    <n v="7"/>
    <n v="1357973"/>
    <n v="9505811"/>
    <n v="8324037"/>
    <n v="1181774"/>
  </r>
  <r>
    <n v="2210"/>
    <s v="01-01-2023"/>
    <x v="1"/>
    <x v="6"/>
    <x v="2"/>
    <x v="13"/>
    <x v="5"/>
    <x v="1"/>
    <x v="1"/>
    <n v="1.2"/>
    <n v="16"/>
    <n v="7"/>
    <n v="1243762"/>
    <n v="8706334"/>
    <n v="7763651"/>
    <n v="942683"/>
  </r>
  <r>
    <n v="2211"/>
    <s v="03-04-2023"/>
    <x v="1"/>
    <x v="9"/>
    <x v="0"/>
    <x v="14"/>
    <x v="5"/>
    <x v="7"/>
    <x v="0"/>
    <n v="2"/>
    <n v="20"/>
    <n v="8"/>
    <n v="1206620"/>
    <n v="9652960"/>
    <n v="7275726"/>
    <n v="2377234"/>
  </r>
  <r>
    <n v="2212"/>
    <s v="26-10-2023"/>
    <x v="1"/>
    <x v="10"/>
    <x v="2"/>
    <x v="3"/>
    <x v="4"/>
    <x v="4"/>
    <x v="0"/>
    <n v="1.2"/>
    <n v="23"/>
    <n v="5"/>
    <n v="1118761"/>
    <n v="5593805"/>
    <n v="4619807"/>
    <n v="973998"/>
  </r>
  <r>
    <n v="2213"/>
    <s v="05-12-2023"/>
    <x v="1"/>
    <x v="5"/>
    <x v="0"/>
    <x v="2"/>
    <x v="5"/>
    <x v="6"/>
    <x v="2"/>
    <n v="1"/>
    <n v="21"/>
    <n v="3"/>
    <n v="1136913"/>
    <n v="3410739"/>
    <n v="2902939"/>
    <n v="507800"/>
  </r>
  <r>
    <n v="2214"/>
    <s v="26-11-2023"/>
    <x v="1"/>
    <x v="1"/>
    <x v="2"/>
    <x v="13"/>
    <x v="0"/>
    <x v="0"/>
    <x v="0"/>
    <n v="1"/>
    <n v="23"/>
    <n v="5"/>
    <n v="1137171"/>
    <n v="5685855"/>
    <n v="4656208"/>
    <n v="1029647"/>
  </r>
  <r>
    <n v="2215"/>
    <s v="19-09-2023"/>
    <x v="1"/>
    <x v="7"/>
    <x v="0"/>
    <x v="2"/>
    <x v="4"/>
    <x v="8"/>
    <x v="2"/>
    <n v="2"/>
    <n v="19"/>
    <n v="8"/>
    <n v="606373"/>
    <n v="4850984"/>
    <n v="4065446"/>
    <n v="785538"/>
  </r>
  <r>
    <n v="2216"/>
    <s v="21-05-2023"/>
    <x v="1"/>
    <x v="8"/>
    <x v="1"/>
    <x v="1"/>
    <x v="0"/>
    <x v="9"/>
    <x v="0"/>
    <n v="2"/>
    <n v="18"/>
    <n v="4"/>
    <n v="1440182"/>
    <n v="5760728"/>
    <n v="4617211"/>
    <n v="1143517"/>
  </r>
  <r>
    <n v="2217"/>
    <s v="28-03-2023"/>
    <x v="1"/>
    <x v="2"/>
    <x v="3"/>
    <x v="4"/>
    <x v="2"/>
    <x v="1"/>
    <x v="1"/>
    <n v="1.2"/>
    <n v="19"/>
    <n v="7"/>
    <n v="958104"/>
    <n v="6706728"/>
    <n v="5951211"/>
    <n v="755517"/>
  </r>
  <r>
    <n v="2218"/>
    <s v="05-05-2023"/>
    <x v="1"/>
    <x v="8"/>
    <x v="3"/>
    <x v="6"/>
    <x v="3"/>
    <x v="9"/>
    <x v="0"/>
    <n v="1.2"/>
    <n v="23"/>
    <n v="1"/>
    <n v="835564"/>
    <n v="835564"/>
    <n v="645781"/>
    <n v="189783"/>
  </r>
  <r>
    <n v="2219"/>
    <s v="14-03-2024"/>
    <x v="0"/>
    <x v="2"/>
    <x v="0"/>
    <x v="2"/>
    <x v="7"/>
    <x v="4"/>
    <x v="0"/>
    <n v="1.5"/>
    <n v="16"/>
    <n v="7"/>
    <n v="1400424"/>
    <n v="9802968"/>
    <n v="8143276"/>
    <n v="1659692"/>
  </r>
  <r>
    <n v="2220"/>
    <s v="07-01-2023"/>
    <x v="1"/>
    <x v="6"/>
    <x v="3"/>
    <x v="12"/>
    <x v="7"/>
    <x v="5"/>
    <x v="2"/>
    <n v="1.2"/>
    <n v="22"/>
    <n v="3"/>
    <n v="760759"/>
    <n v="2282277"/>
    <n v="1743912"/>
    <n v="538365"/>
  </r>
  <r>
    <n v="2221"/>
    <s v="10-02-2023"/>
    <x v="1"/>
    <x v="0"/>
    <x v="2"/>
    <x v="7"/>
    <x v="0"/>
    <x v="1"/>
    <x v="1"/>
    <n v="1.5"/>
    <n v="23"/>
    <n v="2"/>
    <n v="686703"/>
    <n v="1373406"/>
    <n v="1203556"/>
    <n v="169850"/>
  </r>
  <r>
    <n v="2222"/>
    <s v="23-01-2024"/>
    <x v="0"/>
    <x v="6"/>
    <x v="0"/>
    <x v="14"/>
    <x v="3"/>
    <x v="4"/>
    <x v="0"/>
    <n v="1"/>
    <n v="16"/>
    <n v="1"/>
    <n v="1108330"/>
    <n v="1108330"/>
    <n v="913075"/>
    <n v="195255"/>
  </r>
  <r>
    <n v="2223"/>
    <s v="12-12-2023"/>
    <x v="1"/>
    <x v="5"/>
    <x v="0"/>
    <x v="14"/>
    <x v="4"/>
    <x v="4"/>
    <x v="0"/>
    <n v="2"/>
    <n v="18"/>
    <n v="3"/>
    <n v="690295"/>
    <n v="2070885"/>
    <n v="1836292"/>
    <n v="234593"/>
  </r>
  <r>
    <n v="2224"/>
    <s v="19-10-2024"/>
    <x v="0"/>
    <x v="10"/>
    <x v="2"/>
    <x v="13"/>
    <x v="6"/>
    <x v="2"/>
    <x v="1"/>
    <n v="2"/>
    <n v="19"/>
    <n v="2"/>
    <n v="795334"/>
    <n v="1590668"/>
    <n v="1276677"/>
    <n v="313991"/>
  </r>
  <r>
    <n v="2225"/>
    <s v="14-10-2024"/>
    <x v="0"/>
    <x v="10"/>
    <x v="0"/>
    <x v="0"/>
    <x v="2"/>
    <x v="2"/>
    <x v="1"/>
    <n v="2"/>
    <n v="20"/>
    <n v="8"/>
    <n v="862517"/>
    <n v="6900136"/>
    <n v="6187712"/>
    <n v="712424"/>
  </r>
  <r>
    <n v="2226"/>
    <s v="03-02-2023"/>
    <x v="1"/>
    <x v="0"/>
    <x v="2"/>
    <x v="3"/>
    <x v="7"/>
    <x v="2"/>
    <x v="1"/>
    <n v="1.5"/>
    <n v="22"/>
    <n v="7"/>
    <n v="1342739"/>
    <n v="9399173"/>
    <n v="7647877"/>
    <n v="1751296"/>
  </r>
  <r>
    <n v="2227"/>
    <s v="30-03-2023"/>
    <x v="1"/>
    <x v="2"/>
    <x v="3"/>
    <x v="4"/>
    <x v="2"/>
    <x v="8"/>
    <x v="2"/>
    <n v="1"/>
    <n v="19"/>
    <n v="7"/>
    <n v="823169"/>
    <n v="5762183"/>
    <n v="4864418"/>
    <n v="897765"/>
  </r>
  <r>
    <n v="2228"/>
    <s v="29-01-2023"/>
    <x v="1"/>
    <x v="6"/>
    <x v="1"/>
    <x v="1"/>
    <x v="3"/>
    <x v="3"/>
    <x v="2"/>
    <n v="1"/>
    <n v="22"/>
    <n v="5"/>
    <n v="1469091"/>
    <n v="7345455"/>
    <n v="6188039"/>
    <n v="1157416"/>
  </r>
  <r>
    <n v="2229"/>
    <s v="05-01-2024"/>
    <x v="0"/>
    <x v="6"/>
    <x v="1"/>
    <x v="1"/>
    <x v="3"/>
    <x v="1"/>
    <x v="1"/>
    <n v="2"/>
    <n v="19"/>
    <n v="8"/>
    <n v="1097642"/>
    <n v="8781136"/>
    <n v="7891319"/>
    <n v="889817"/>
  </r>
  <r>
    <n v="2230"/>
    <s v="10-12-2024"/>
    <x v="0"/>
    <x v="5"/>
    <x v="0"/>
    <x v="0"/>
    <x v="4"/>
    <x v="3"/>
    <x v="2"/>
    <n v="1"/>
    <n v="19"/>
    <n v="3"/>
    <n v="1450022"/>
    <n v="4350066"/>
    <n v="3807160"/>
    <n v="542906"/>
  </r>
  <r>
    <n v="2231"/>
    <s v="14-06-2024"/>
    <x v="0"/>
    <x v="3"/>
    <x v="2"/>
    <x v="7"/>
    <x v="7"/>
    <x v="4"/>
    <x v="0"/>
    <n v="1.5"/>
    <n v="16"/>
    <n v="1"/>
    <n v="996972"/>
    <n v="996972"/>
    <n v="881574"/>
    <n v="115398"/>
  </r>
  <r>
    <n v="2232"/>
    <s v="17-03-2023"/>
    <x v="1"/>
    <x v="2"/>
    <x v="1"/>
    <x v="5"/>
    <x v="7"/>
    <x v="4"/>
    <x v="0"/>
    <n v="2"/>
    <n v="20"/>
    <n v="4"/>
    <n v="1014839"/>
    <n v="4059356"/>
    <n v="3195330"/>
    <n v="864026"/>
  </r>
  <r>
    <n v="2233"/>
    <s v="12-05-2024"/>
    <x v="0"/>
    <x v="8"/>
    <x v="3"/>
    <x v="6"/>
    <x v="7"/>
    <x v="1"/>
    <x v="1"/>
    <n v="2"/>
    <n v="18"/>
    <n v="5"/>
    <n v="1228856"/>
    <n v="6144280"/>
    <n v="4627282"/>
    <n v="1516998"/>
  </r>
  <r>
    <n v="2234"/>
    <s v="08-04-2024"/>
    <x v="0"/>
    <x v="9"/>
    <x v="3"/>
    <x v="8"/>
    <x v="5"/>
    <x v="4"/>
    <x v="0"/>
    <n v="1.2"/>
    <n v="16"/>
    <n v="4"/>
    <n v="1328514"/>
    <n v="5314056"/>
    <n v="4729067"/>
    <n v="584989"/>
  </r>
  <r>
    <n v="2235"/>
    <s v="24-06-2024"/>
    <x v="0"/>
    <x v="3"/>
    <x v="3"/>
    <x v="4"/>
    <x v="2"/>
    <x v="5"/>
    <x v="2"/>
    <n v="1.5"/>
    <n v="19"/>
    <n v="4"/>
    <n v="1230064"/>
    <n v="4920256"/>
    <n v="4202364"/>
    <n v="717892"/>
  </r>
  <r>
    <n v="2236"/>
    <s v="04-10-2023"/>
    <x v="1"/>
    <x v="10"/>
    <x v="1"/>
    <x v="5"/>
    <x v="0"/>
    <x v="9"/>
    <x v="0"/>
    <n v="1.2"/>
    <n v="23"/>
    <n v="2"/>
    <n v="926782"/>
    <n v="1853564"/>
    <n v="1550393"/>
    <n v="303171"/>
  </r>
  <r>
    <n v="2237"/>
    <s v="30-01-2024"/>
    <x v="0"/>
    <x v="6"/>
    <x v="2"/>
    <x v="13"/>
    <x v="0"/>
    <x v="2"/>
    <x v="1"/>
    <n v="2"/>
    <n v="22"/>
    <n v="5"/>
    <n v="1437911"/>
    <n v="7189555"/>
    <n v="5447876"/>
    <n v="1741679"/>
  </r>
  <r>
    <n v="2238"/>
    <s v="27-07-2024"/>
    <x v="0"/>
    <x v="11"/>
    <x v="2"/>
    <x v="13"/>
    <x v="6"/>
    <x v="1"/>
    <x v="1"/>
    <n v="1.5"/>
    <n v="20"/>
    <n v="4"/>
    <n v="742103"/>
    <n v="2968412"/>
    <n v="2309941"/>
    <n v="658471"/>
  </r>
  <r>
    <n v="2239"/>
    <s v="21-10-2023"/>
    <x v="1"/>
    <x v="10"/>
    <x v="1"/>
    <x v="11"/>
    <x v="2"/>
    <x v="9"/>
    <x v="0"/>
    <n v="1.2"/>
    <n v="19"/>
    <n v="8"/>
    <n v="956055"/>
    <n v="7648440"/>
    <n v="6008917"/>
    <n v="1639523"/>
  </r>
  <r>
    <n v="2240"/>
    <s v="18-06-2024"/>
    <x v="0"/>
    <x v="3"/>
    <x v="0"/>
    <x v="9"/>
    <x v="1"/>
    <x v="8"/>
    <x v="2"/>
    <n v="1.2"/>
    <n v="21"/>
    <n v="1"/>
    <n v="943868"/>
    <n v="943868"/>
    <n v="763201"/>
    <n v="180667"/>
  </r>
  <r>
    <n v="2241"/>
    <s v="30-05-2024"/>
    <x v="0"/>
    <x v="8"/>
    <x v="3"/>
    <x v="4"/>
    <x v="7"/>
    <x v="3"/>
    <x v="2"/>
    <n v="1.2"/>
    <n v="21"/>
    <n v="3"/>
    <n v="941605"/>
    <n v="2824815"/>
    <n v="2438693"/>
    <n v="386122"/>
  </r>
  <r>
    <n v="2242"/>
    <s v="09-05-2024"/>
    <x v="0"/>
    <x v="8"/>
    <x v="3"/>
    <x v="4"/>
    <x v="6"/>
    <x v="1"/>
    <x v="1"/>
    <n v="1.5"/>
    <n v="21"/>
    <n v="8"/>
    <n v="756930"/>
    <n v="6055440"/>
    <n v="5376613"/>
    <n v="678827"/>
  </r>
  <r>
    <n v="2243"/>
    <s v="24-09-2024"/>
    <x v="0"/>
    <x v="7"/>
    <x v="3"/>
    <x v="6"/>
    <x v="7"/>
    <x v="6"/>
    <x v="2"/>
    <n v="1.5"/>
    <n v="22"/>
    <n v="3"/>
    <n v="903786"/>
    <n v="2711358"/>
    <n v="2184647"/>
    <n v="526711"/>
  </r>
  <r>
    <n v="2244"/>
    <s v="23-10-2023"/>
    <x v="1"/>
    <x v="10"/>
    <x v="3"/>
    <x v="8"/>
    <x v="5"/>
    <x v="1"/>
    <x v="1"/>
    <n v="1"/>
    <n v="22"/>
    <n v="7"/>
    <n v="1491071"/>
    <n v="10437497"/>
    <n v="8767270"/>
    <n v="1670227"/>
  </r>
  <r>
    <n v="2245"/>
    <s v="08-02-2023"/>
    <x v="1"/>
    <x v="0"/>
    <x v="2"/>
    <x v="7"/>
    <x v="0"/>
    <x v="0"/>
    <x v="0"/>
    <n v="2"/>
    <n v="16"/>
    <n v="3"/>
    <n v="764655"/>
    <n v="2293965"/>
    <n v="1772569"/>
    <n v="521396"/>
  </r>
  <r>
    <n v="2246"/>
    <s v="12-08-2024"/>
    <x v="0"/>
    <x v="4"/>
    <x v="0"/>
    <x v="14"/>
    <x v="1"/>
    <x v="4"/>
    <x v="0"/>
    <n v="1.2"/>
    <n v="21"/>
    <n v="2"/>
    <n v="948839"/>
    <n v="1897678"/>
    <n v="1607519"/>
    <n v="290159"/>
  </r>
  <r>
    <n v="2247"/>
    <s v="28-11-2023"/>
    <x v="1"/>
    <x v="1"/>
    <x v="1"/>
    <x v="5"/>
    <x v="1"/>
    <x v="2"/>
    <x v="1"/>
    <n v="1"/>
    <n v="23"/>
    <n v="4"/>
    <n v="1440238"/>
    <n v="5760952"/>
    <n v="4755520"/>
    <n v="1005432"/>
  </r>
  <r>
    <n v="2248"/>
    <s v="03-12-2023"/>
    <x v="1"/>
    <x v="5"/>
    <x v="1"/>
    <x v="10"/>
    <x v="6"/>
    <x v="9"/>
    <x v="0"/>
    <n v="2"/>
    <n v="22"/>
    <n v="7"/>
    <n v="1496833"/>
    <n v="10477831"/>
    <n v="9095764"/>
    <n v="1382067"/>
  </r>
  <r>
    <n v="2249"/>
    <s v="02-01-2023"/>
    <x v="1"/>
    <x v="6"/>
    <x v="2"/>
    <x v="3"/>
    <x v="7"/>
    <x v="2"/>
    <x v="1"/>
    <n v="1"/>
    <n v="21"/>
    <n v="8"/>
    <n v="1378162"/>
    <n v="11025296"/>
    <n v="8767569"/>
    <n v="2257727"/>
  </r>
  <r>
    <n v="2250"/>
    <s v="21-04-2023"/>
    <x v="1"/>
    <x v="9"/>
    <x v="0"/>
    <x v="9"/>
    <x v="2"/>
    <x v="5"/>
    <x v="2"/>
    <n v="1.5"/>
    <n v="21"/>
    <n v="3"/>
    <n v="1077344"/>
    <n v="3232032"/>
    <n v="2602896"/>
    <n v="629136"/>
  </r>
  <r>
    <n v="2251"/>
    <s v="04-03-2023"/>
    <x v="1"/>
    <x v="2"/>
    <x v="0"/>
    <x v="0"/>
    <x v="5"/>
    <x v="7"/>
    <x v="0"/>
    <n v="2"/>
    <n v="23"/>
    <n v="6"/>
    <n v="1246034"/>
    <n v="7476204"/>
    <n v="5685820"/>
    <n v="1790384"/>
  </r>
  <r>
    <n v="2252"/>
    <s v="10-04-2023"/>
    <x v="1"/>
    <x v="9"/>
    <x v="3"/>
    <x v="6"/>
    <x v="4"/>
    <x v="0"/>
    <x v="0"/>
    <n v="1.5"/>
    <n v="18"/>
    <n v="3"/>
    <n v="1071642"/>
    <n v="3214926"/>
    <n v="2775206"/>
    <n v="439720"/>
  </r>
  <r>
    <n v="2253"/>
    <s v="15-09-2024"/>
    <x v="0"/>
    <x v="7"/>
    <x v="2"/>
    <x v="13"/>
    <x v="5"/>
    <x v="9"/>
    <x v="0"/>
    <n v="2"/>
    <n v="18"/>
    <n v="8"/>
    <n v="735407"/>
    <n v="5883256"/>
    <n v="4630969"/>
    <n v="1252287"/>
  </r>
  <r>
    <n v="2254"/>
    <s v="14-01-2024"/>
    <x v="0"/>
    <x v="6"/>
    <x v="3"/>
    <x v="4"/>
    <x v="7"/>
    <x v="0"/>
    <x v="0"/>
    <n v="1.2"/>
    <n v="16"/>
    <n v="1"/>
    <n v="800797"/>
    <n v="800797"/>
    <n v="720103"/>
    <n v="80694"/>
  </r>
  <r>
    <n v="2255"/>
    <s v="12-06-2023"/>
    <x v="1"/>
    <x v="3"/>
    <x v="2"/>
    <x v="13"/>
    <x v="4"/>
    <x v="8"/>
    <x v="2"/>
    <n v="1"/>
    <n v="22"/>
    <n v="1"/>
    <n v="896531"/>
    <n v="896531"/>
    <n v="739731"/>
    <n v="156800"/>
  </r>
  <r>
    <n v="2256"/>
    <s v="18-10-2023"/>
    <x v="1"/>
    <x v="10"/>
    <x v="0"/>
    <x v="9"/>
    <x v="4"/>
    <x v="6"/>
    <x v="2"/>
    <n v="1"/>
    <n v="23"/>
    <n v="6"/>
    <n v="749162"/>
    <n v="4494972"/>
    <n v="3554821"/>
    <n v="940151"/>
  </r>
  <r>
    <n v="2257"/>
    <s v="25-01-2023"/>
    <x v="1"/>
    <x v="6"/>
    <x v="2"/>
    <x v="7"/>
    <x v="4"/>
    <x v="2"/>
    <x v="1"/>
    <n v="1.2"/>
    <n v="21"/>
    <n v="1"/>
    <n v="1460582"/>
    <n v="1460582"/>
    <n v="1185460"/>
    <n v="275122"/>
  </r>
  <r>
    <n v="2258"/>
    <s v="09-02-2024"/>
    <x v="0"/>
    <x v="0"/>
    <x v="1"/>
    <x v="5"/>
    <x v="5"/>
    <x v="9"/>
    <x v="0"/>
    <n v="1"/>
    <n v="22"/>
    <n v="7"/>
    <n v="604949"/>
    <n v="4234643"/>
    <n v="3450334"/>
    <n v="784309"/>
  </r>
  <r>
    <n v="2259"/>
    <s v="11-11-2023"/>
    <x v="1"/>
    <x v="1"/>
    <x v="3"/>
    <x v="8"/>
    <x v="6"/>
    <x v="9"/>
    <x v="0"/>
    <n v="2"/>
    <n v="21"/>
    <n v="3"/>
    <n v="1349534"/>
    <n v="4048602"/>
    <n v="3440922"/>
    <n v="607680"/>
  </r>
  <r>
    <n v="2260"/>
    <s v="25-08-2024"/>
    <x v="0"/>
    <x v="4"/>
    <x v="1"/>
    <x v="1"/>
    <x v="0"/>
    <x v="4"/>
    <x v="0"/>
    <n v="1.5"/>
    <n v="20"/>
    <n v="1"/>
    <n v="866313"/>
    <n v="866313"/>
    <n v="774042"/>
    <n v="92271"/>
  </r>
  <r>
    <n v="2261"/>
    <s v="29-06-2023"/>
    <x v="1"/>
    <x v="3"/>
    <x v="1"/>
    <x v="10"/>
    <x v="2"/>
    <x v="6"/>
    <x v="2"/>
    <n v="1"/>
    <n v="23"/>
    <n v="4"/>
    <n v="810532"/>
    <n v="3242128"/>
    <n v="2771933"/>
    <n v="470195"/>
  </r>
  <r>
    <n v="2262"/>
    <s v="19-09-2024"/>
    <x v="0"/>
    <x v="7"/>
    <x v="3"/>
    <x v="6"/>
    <x v="6"/>
    <x v="4"/>
    <x v="0"/>
    <n v="1"/>
    <n v="21"/>
    <n v="6"/>
    <n v="1022771"/>
    <n v="6136626"/>
    <n v="4850926"/>
    <n v="1285700"/>
  </r>
  <r>
    <n v="2263"/>
    <s v="21-05-2023"/>
    <x v="1"/>
    <x v="8"/>
    <x v="0"/>
    <x v="0"/>
    <x v="0"/>
    <x v="3"/>
    <x v="2"/>
    <n v="1.5"/>
    <n v="19"/>
    <n v="6"/>
    <n v="827193"/>
    <n v="4963158"/>
    <n v="4066324"/>
    <n v="896834"/>
  </r>
  <r>
    <n v="2264"/>
    <s v="22-07-2024"/>
    <x v="0"/>
    <x v="11"/>
    <x v="3"/>
    <x v="8"/>
    <x v="6"/>
    <x v="1"/>
    <x v="1"/>
    <n v="1.2"/>
    <n v="18"/>
    <n v="7"/>
    <n v="1140197"/>
    <n v="7981379"/>
    <n v="6820334"/>
    <n v="1161045"/>
  </r>
  <r>
    <n v="2265"/>
    <s v="11-04-2023"/>
    <x v="1"/>
    <x v="9"/>
    <x v="2"/>
    <x v="15"/>
    <x v="1"/>
    <x v="2"/>
    <x v="1"/>
    <n v="2"/>
    <n v="21"/>
    <n v="5"/>
    <n v="842593"/>
    <n v="4212965"/>
    <n v="3600472"/>
    <n v="612493"/>
  </r>
  <r>
    <n v="2266"/>
    <s v="20-10-2024"/>
    <x v="0"/>
    <x v="10"/>
    <x v="2"/>
    <x v="3"/>
    <x v="7"/>
    <x v="3"/>
    <x v="2"/>
    <n v="1.5"/>
    <n v="20"/>
    <n v="1"/>
    <n v="1190074"/>
    <n v="1190074"/>
    <n v="1062853"/>
    <n v="127221"/>
  </r>
  <r>
    <n v="2267"/>
    <s v="30-08-2023"/>
    <x v="1"/>
    <x v="4"/>
    <x v="2"/>
    <x v="13"/>
    <x v="4"/>
    <x v="6"/>
    <x v="2"/>
    <n v="1.5"/>
    <n v="18"/>
    <n v="3"/>
    <n v="1377529"/>
    <n v="4132587"/>
    <n v="3356681"/>
    <n v="775906"/>
  </r>
  <r>
    <n v="2268"/>
    <s v="29-12-2023"/>
    <x v="1"/>
    <x v="5"/>
    <x v="3"/>
    <x v="4"/>
    <x v="5"/>
    <x v="8"/>
    <x v="2"/>
    <n v="2"/>
    <n v="19"/>
    <n v="5"/>
    <n v="1064307"/>
    <n v="5321535"/>
    <n v="4422828"/>
    <n v="898707"/>
  </r>
  <r>
    <n v="2269"/>
    <s v="23-01-2024"/>
    <x v="0"/>
    <x v="6"/>
    <x v="1"/>
    <x v="1"/>
    <x v="7"/>
    <x v="4"/>
    <x v="0"/>
    <n v="1.2"/>
    <n v="20"/>
    <n v="2"/>
    <n v="1190949"/>
    <n v="2381898"/>
    <n v="1943962"/>
    <n v="437936"/>
  </r>
  <r>
    <n v="2270"/>
    <s v="14-03-2024"/>
    <x v="0"/>
    <x v="2"/>
    <x v="3"/>
    <x v="6"/>
    <x v="5"/>
    <x v="8"/>
    <x v="2"/>
    <n v="1.5"/>
    <n v="20"/>
    <n v="5"/>
    <n v="1144636"/>
    <n v="5723180"/>
    <n v="4937737"/>
    <n v="785443"/>
  </r>
  <r>
    <n v="2271"/>
    <s v="23-09-2023"/>
    <x v="1"/>
    <x v="7"/>
    <x v="0"/>
    <x v="9"/>
    <x v="1"/>
    <x v="5"/>
    <x v="2"/>
    <n v="1"/>
    <n v="20"/>
    <n v="3"/>
    <n v="661404"/>
    <n v="1984212"/>
    <n v="1684398"/>
    <n v="299814"/>
  </r>
  <r>
    <n v="2272"/>
    <s v="18-06-2023"/>
    <x v="1"/>
    <x v="3"/>
    <x v="3"/>
    <x v="8"/>
    <x v="7"/>
    <x v="0"/>
    <x v="0"/>
    <n v="1"/>
    <n v="19"/>
    <n v="7"/>
    <n v="1466866"/>
    <n v="10268062"/>
    <n v="8744633"/>
    <n v="1523429"/>
  </r>
  <r>
    <n v="2273"/>
    <s v="03-04-2024"/>
    <x v="0"/>
    <x v="9"/>
    <x v="1"/>
    <x v="1"/>
    <x v="1"/>
    <x v="8"/>
    <x v="2"/>
    <n v="2"/>
    <n v="19"/>
    <n v="8"/>
    <n v="760593"/>
    <n v="6084744"/>
    <n v="4870492"/>
    <n v="1214252"/>
  </r>
  <r>
    <n v="2274"/>
    <s v="16-04-2023"/>
    <x v="1"/>
    <x v="9"/>
    <x v="0"/>
    <x v="2"/>
    <x v="4"/>
    <x v="6"/>
    <x v="2"/>
    <n v="1"/>
    <n v="22"/>
    <n v="6"/>
    <n v="754941"/>
    <n v="4529646"/>
    <n v="4065128"/>
    <n v="464518"/>
  </r>
  <r>
    <n v="2275"/>
    <s v="13-02-2024"/>
    <x v="0"/>
    <x v="0"/>
    <x v="2"/>
    <x v="15"/>
    <x v="6"/>
    <x v="1"/>
    <x v="1"/>
    <n v="1.2"/>
    <n v="23"/>
    <n v="6"/>
    <n v="1240993"/>
    <n v="7445958"/>
    <n v="5972118"/>
    <n v="1473840"/>
  </r>
  <r>
    <n v="2276"/>
    <s v="14-05-2023"/>
    <x v="1"/>
    <x v="8"/>
    <x v="2"/>
    <x v="3"/>
    <x v="3"/>
    <x v="8"/>
    <x v="2"/>
    <n v="2"/>
    <n v="19"/>
    <n v="3"/>
    <n v="707955"/>
    <n v="2123865"/>
    <n v="1777300"/>
    <n v="346565"/>
  </r>
  <r>
    <n v="2277"/>
    <s v="26-10-2024"/>
    <x v="0"/>
    <x v="10"/>
    <x v="2"/>
    <x v="15"/>
    <x v="4"/>
    <x v="6"/>
    <x v="2"/>
    <n v="1.5"/>
    <n v="18"/>
    <n v="2"/>
    <n v="940503"/>
    <n v="1881006"/>
    <n v="1562471"/>
    <n v="318535"/>
  </r>
  <r>
    <n v="2278"/>
    <s v="17-09-2024"/>
    <x v="0"/>
    <x v="7"/>
    <x v="0"/>
    <x v="2"/>
    <x v="3"/>
    <x v="8"/>
    <x v="2"/>
    <n v="1.2"/>
    <n v="19"/>
    <n v="5"/>
    <n v="712858"/>
    <n v="3564290"/>
    <n v="2841885"/>
    <n v="722405"/>
  </r>
  <r>
    <n v="2279"/>
    <s v="15-09-2024"/>
    <x v="0"/>
    <x v="7"/>
    <x v="0"/>
    <x v="2"/>
    <x v="5"/>
    <x v="9"/>
    <x v="0"/>
    <n v="1.5"/>
    <n v="20"/>
    <n v="5"/>
    <n v="948664"/>
    <n v="4743320"/>
    <n v="3956426"/>
    <n v="786894"/>
  </r>
  <r>
    <n v="2280"/>
    <s v="23-02-2023"/>
    <x v="1"/>
    <x v="0"/>
    <x v="1"/>
    <x v="5"/>
    <x v="4"/>
    <x v="5"/>
    <x v="2"/>
    <n v="2"/>
    <n v="23"/>
    <n v="3"/>
    <n v="1095084"/>
    <n v="3285252"/>
    <n v="2544909"/>
    <n v="740343"/>
  </r>
  <r>
    <n v="2281"/>
    <s v="06-07-2023"/>
    <x v="1"/>
    <x v="11"/>
    <x v="1"/>
    <x v="11"/>
    <x v="2"/>
    <x v="5"/>
    <x v="2"/>
    <n v="2"/>
    <n v="22"/>
    <n v="2"/>
    <n v="1340946"/>
    <n v="2681892"/>
    <n v="2258735"/>
    <n v="423157"/>
  </r>
  <r>
    <n v="2282"/>
    <s v="27-04-2024"/>
    <x v="0"/>
    <x v="9"/>
    <x v="0"/>
    <x v="2"/>
    <x v="4"/>
    <x v="4"/>
    <x v="0"/>
    <n v="1.2"/>
    <n v="19"/>
    <n v="1"/>
    <n v="926284"/>
    <n v="926284"/>
    <n v="832786"/>
    <n v="93498"/>
  </r>
  <r>
    <n v="2283"/>
    <s v="23-06-2024"/>
    <x v="0"/>
    <x v="3"/>
    <x v="0"/>
    <x v="2"/>
    <x v="7"/>
    <x v="7"/>
    <x v="0"/>
    <n v="1"/>
    <n v="23"/>
    <n v="1"/>
    <n v="1039271"/>
    <n v="1039271"/>
    <n v="833937"/>
    <n v="205334"/>
  </r>
  <r>
    <n v="2284"/>
    <s v="26-07-2023"/>
    <x v="1"/>
    <x v="11"/>
    <x v="2"/>
    <x v="13"/>
    <x v="0"/>
    <x v="8"/>
    <x v="2"/>
    <n v="2"/>
    <n v="18"/>
    <n v="3"/>
    <n v="999965"/>
    <n v="2999895"/>
    <n v="2699084"/>
    <n v="300811"/>
  </r>
  <r>
    <n v="2285"/>
    <s v="05-07-2023"/>
    <x v="1"/>
    <x v="11"/>
    <x v="3"/>
    <x v="8"/>
    <x v="2"/>
    <x v="8"/>
    <x v="2"/>
    <n v="1"/>
    <n v="21"/>
    <n v="4"/>
    <n v="1317973"/>
    <n v="5271892"/>
    <n v="4327431"/>
    <n v="944461"/>
  </r>
  <r>
    <n v="2286"/>
    <s v="11-10-2024"/>
    <x v="0"/>
    <x v="10"/>
    <x v="0"/>
    <x v="14"/>
    <x v="5"/>
    <x v="0"/>
    <x v="0"/>
    <n v="1.2"/>
    <n v="20"/>
    <n v="2"/>
    <n v="1378867"/>
    <n v="2757734"/>
    <n v="2453356"/>
    <n v="304378"/>
  </r>
  <r>
    <n v="2287"/>
    <s v="16-10-2023"/>
    <x v="1"/>
    <x v="10"/>
    <x v="0"/>
    <x v="2"/>
    <x v="4"/>
    <x v="2"/>
    <x v="1"/>
    <n v="1"/>
    <n v="16"/>
    <n v="5"/>
    <n v="1357657"/>
    <n v="6788285"/>
    <n v="5619118"/>
    <n v="1169167"/>
  </r>
  <r>
    <n v="2288"/>
    <s v="05-02-2023"/>
    <x v="1"/>
    <x v="0"/>
    <x v="1"/>
    <x v="1"/>
    <x v="6"/>
    <x v="6"/>
    <x v="2"/>
    <n v="1"/>
    <n v="21"/>
    <n v="5"/>
    <n v="1160932"/>
    <n v="5804660"/>
    <n v="5195671"/>
    <n v="608989"/>
  </r>
  <r>
    <n v="2289"/>
    <s v="08-11-2024"/>
    <x v="0"/>
    <x v="1"/>
    <x v="0"/>
    <x v="14"/>
    <x v="0"/>
    <x v="8"/>
    <x v="2"/>
    <n v="1.2"/>
    <n v="19"/>
    <n v="2"/>
    <n v="762157"/>
    <n v="1524314"/>
    <n v="1237987"/>
    <n v="286327"/>
  </r>
  <r>
    <n v="2290"/>
    <s v="10-07-2023"/>
    <x v="1"/>
    <x v="11"/>
    <x v="2"/>
    <x v="7"/>
    <x v="2"/>
    <x v="2"/>
    <x v="1"/>
    <n v="2"/>
    <n v="18"/>
    <n v="4"/>
    <n v="954711"/>
    <n v="3818844"/>
    <n v="3012973"/>
    <n v="805871"/>
  </r>
  <r>
    <n v="2291"/>
    <s v="08-08-2024"/>
    <x v="0"/>
    <x v="4"/>
    <x v="0"/>
    <x v="14"/>
    <x v="3"/>
    <x v="4"/>
    <x v="0"/>
    <n v="1"/>
    <n v="21"/>
    <n v="1"/>
    <n v="1171953"/>
    <n v="1171953"/>
    <n v="961120"/>
    <n v="210833"/>
  </r>
  <r>
    <n v="2292"/>
    <s v="26-05-2023"/>
    <x v="1"/>
    <x v="8"/>
    <x v="2"/>
    <x v="13"/>
    <x v="6"/>
    <x v="7"/>
    <x v="0"/>
    <n v="1.5"/>
    <n v="16"/>
    <n v="2"/>
    <n v="623776"/>
    <n v="1247552"/>
    <n v="966734"/>
    <n v="280818"/>
  </r>
  <r>
    <n v="2293"/>
    <s v="25-09-2023"/>
    <x v="1"/>
    <x v="7"/>
    <x v="2"/>
    <x v="7"/>
    <x v="3"/>
    <x v="3"/>
    <x v="2"/>
    <n v="1.5"/>
    <n v="23"/>
    <n v="5"/>
    <n v="776184"/>
    <n v="3880920"/>
    <n v="3053664"/>
    <n v="827256"/>
  </r>
  <r>
    <n v="2294"/>
    <s v="07-03-2023"/>
    <x v="1"/>
    <x v="2"/>
    <x v="3"/>
    <x v="6"/>
    <x v="7"/>
    <x v="1"/>
    <x v="1"/>
    <n v="1.2"/>
    <n v="16"/>
    <n v="1"/>
    <n v="808383"/>
    <n v="808383"/>
    <n v="664557"/>
    <n v="143826"/>
  </r>
  <r>
    <n v="2295"/>
    <s v="23-05-2023"/>
    <x v="1"/>
    <x v="8"/>
    <x v="3"/>
    <x v="8"/>
    <x v="3"/>
    <x v="0"/>
    <x v="0"/>
    <n v="1.2"/>
    <n v="19"/>
    <n v="5"/>
    <n v="1476422"/>
    <n v="7382110"/>
    <n v="6188357"/>
    <n v="1193753"/>
  </r>
  <r>
    <n v="2296"/>
    <s v="28-07-2023"/>
    <x v="1"/>
    <x v="11"/>
    <x v="0"/>
    <x v="2"/>
    <x v="4"/>
    <x v="8"/>
    <x v="2"/>
    <n v="1.5"/>
    <n v="21"/>
    <n v="2"/>
    <n v="1307789"/>
    <n v="2615578"/>
    <n v="2172188"/>
    <n v="443390"/>
  </r>
  <r>
    <n v="2297"/>
    <s v="28-01-2023"/>
    <x v="1"/>
    <x v="6"/>
    <x v="0"/>
    <x v="0"/>
    <x v="4"/>
    <x v="6"/>
    <x v="2"/>
    <n v="1.5"/>
    <n v="22"/>
    <n v="1"/>
    <n v="831161"/>
    <n v="831161"/>
    <n v="631307"/>
    <n v="199854"/>
  </r>
  <r>
    <n v="2298"/>
    <s v="24-07-2024"/>
    <x v="0"/>
    <x v="11"/>
    <x v="1"/>
    <x v="11"/>
    <x v="7"/>
    <x v="4"/>
    <x v="0"/>
    <n v="1.5"/>
    <n v="19"/>
    <n v="3"/>
    <n v="1481541"/>
    <n v="4444623"/>
    <n v="3698221"/>
    <n v="746402"/>
  </r>
  <r>
    <n v="2299"/>
    <s v="29-10-2024"/>
    <x v="0"/>
    <x v="10"/>
    <x v="3"/>
    <x v="8"/>
    <x v="6"/>
    <x v="6"/>
    <x v="2"/>
    <n v="2"/>
    <n v="22"/>
    <n v="6"/>
    <n v="945234"/>
    <n v="5671404"/>
    <n v="4906079"/>
    <n v="765325"/>
  </r>
  <r>
    <n v="2300"/>
    <s v="18-08-2024"/>
    <x v="0"/>
    <x v="4"/>
    <x v="1"/>
    <x v="10"/>
    <x v="0"/>
    <x v="4"/>
    <x v="0"/>
    <n v="1"/>
    <n v="18"/>
    <n v="4"/>
    <n v="757444"/>
    <n v="3029776"/>
    <n v="2381891"/>
    <n v="647885"/>
  </r>
  <r>
    <n v="2301"/>
    <s v="07-10-2024"/>
    <x v="0"/>
    <x v="10"/>
    <x v="3"/>
    <x v="4"/>
    <x v="7"/>
    <x v="2"/>
    <x v="1"/>
    <n v="2"/>
    <n v="16"/>
    <n v="7"/>
    <n v="1300535"/>
    <n v="9103745"/>
    <n v="7799607"/>
    <n v="1304138"/>
  </r>
  <r>
    <n v="2302"/>
    <s v="06-01-2024"/>
    <x v="0"/>
    <x v="6"/>
    <x v="1"/>
    <x v="5"/>
    <x v="3"/>
    <x v="3"/>
    <x v="2"/>
    <n v="1.2"/>
    <n v="18"/>
    <n v="4"/>
    <n v="953240"/>
    <n v="3812960"/>
    <n v="3353076"/>
    <n v="459884"/>
  </r>
  <r>
    <n v="2303"/>
    <s v="16-04-2023"/>
    <x v="1"/>
    <x v="9"/>
    <x v="3"/>
    <x v="6"/>
    <x v="3"/>
    <x v="1"/>
    <x v="1"/>
    <n v="2"/>
    <n v="16"/>
    <n v="6"/>
    <n v="979272"/>
    <n v="5875632"/>
    <n v="4577047"/>
    <n v="1298585"/>
  </r>
  <r>
    <n v="2304"/>
    <s v="07-01-2024"/>
    <x v="0"/>
    <x v="6"/>
    <x v="3"/>
    <x v="6"/>
    <x v="6"/>
    <x v="6"/>
    <x v="2"/>
    <n v="1"/>
    <n v="20"/>
    <n v="5"/>
    <n v="982681"/>
    <n v="4913405"/>
    <n v="4338690"/>
    <n v="574715"/>
  </r>
  <r>
    <n v="2305"/>
    <s v="21-06-2024"/>
    <x v="0"/>
    <x v="3"/>
    <x v="1"/>
    <x v="11"/>
    <x v="6"/>
    <x v="9"/>
    <x v="0"/>
    <n v="1.2"/>
    <n v="23"/>
    <n v="4"/>
    <n v="1202399"/>
    <n v="4809596"/>
    <n v="4144333"/>
    <n v="665263"/>
  </r>
  <r>
    <n v="2306"/>
    <s v="30-11-2023"/>
    <x v="1"/>
    <x v="1"/>
    <x v="1"/>
    <x v="11"/>
    <x v="5"/>
    <x v="9"/>
    <x v="0"/>
    <n v="1"/>
    <n v="22"/>
    <n v="1"/>
    <n v="771009"/>
    <n v="771009"/>
    <n v="583562"/>
    <n v="187447"/>
  </r>
  <r>
    <n v="2307"/>
    <s v="04-11-2023"/>
    <x v="1"/>
    <x v="1"/>
    <x v="0"/>
    <x v="2"/>
    <x v="1"/>
    <x v="3"/>
    <x v="2"/>
    <n v="1"/>
    <n v="22"/>
    <n v="5"/>
    <n v="923757"/>
    <n v="4618785"/>
    <n v="3591000"/>
    <n v="1027785"/>
  </r>
  <r>
    <n v="2308"/>
    <s v="09-11-2023"/>
    <x v="1"/>
    <x v="1"/>
    <x v="3"/>
    <x v="12"/>
    <x v="5"/>
    <x v="6"/>
    <x v="2"/>
    <n v="1.2"/>
    <n v="21"/>
    <n v="6"/>
    <n v="1066756"/>
    <n v="6400536"/>
    <n v="5686265"/>
    <n v="714271"/>
  </r>
  <r>
    <n v="2309"/>
    <s v="20-10-2023"/>
    <x v="1"/>
    <x v="10"/>
    <x v="2"/>
    <x v="3"/>
    <x v="7"/>
    <x v="0"/>
    <x v="0"/>
    <n v="1.5"/>
    <n v="16"/>
    <n v="1"/>
    <n v="617993"/>
    <n v="617993"/>
    <n v="514134"/>
    <n v="103859"/>
  </r>
  <r>
    <n v="2310"/>
    <s v="24-04-2023"/>
    <x v="1"/>
    <x v="9"/>
    <x v="3"/>
    <x v="8"/>
    <x v="6"/>
    <x v="3"/>
    <x v="2"/>
    <n v="2"/>
    <n v="21"/>
    <n v="4"/>
    <n v="1486187"/>
    <n v="5944748"/>
    <n v="5091969"/>
    <n v="852779"/>
  </r>
  <r>
    <n v="2311"/>
    <s v="23-08-2024"/>
    <x v="0"/>
    <x v="4"/>
    <x v="3"/>
    <x v="6"/>
    <x v="6"/>
    <x v="7"/>
    <x v="0"/>
    <n v="1.5"/>
    <n v="22"/>
    <n v="8"/>
    <n v="881165"/>
    <n v="7049320"/>
    <n v="6242219"/>
    <n v="807101"/>
  </r>
  <r>
    <n v="2312"/>
    <s v="30-11-2023"/>
    <x v="1"/>
    <x v="1"/>
    <x v="2"/>
    <x v="3"/>
    <x v="5"/>
    <x v="5"/>
    <x v="2"/>
    <n v="2"/>
    <n v="20"/>
    <n v="8"/>
    <n v="1296378"/>
    <n v="10371024"/>
    <n v="8087136"/>
    <n v="2283888"/>
  </r>
  <r>
    <n v="2313"/>
    <s v="19-05-2023"/>
    <x v="1"/>
    <x v="8"/>
    <x v="1"/>
    <x v="5"/>
    <x v="4"/>
    <x v="7"/>
    <x v="0"/>
    <n v="1.2"/>
    <n v="21"/>
    <n v="4"/>
    <n v="1039759"/>
    <n v="4159036"/>
    <n v="3242826"/>
    <n v="916210"/>
  </r>
  <r>
    <n v="2314"/>
    <s v="11-09-2024"/>
    <x v="0"/>
    <x v="7"/>
    <x v="1"/>
    <x v="10"/>
    <x v="5"/>
    <x v="3"/>
    <x v="2"/>
    <n v="2"/>
    <n v="19"/>
    <n v="3"/>
    <n v="1029702"/>
    <n v="3089106"/>
    <n v="2751829"/>
    <n v="337277"/>
  </r>
  <r>
    <n v="2315"/>
    <s v="02-02-2024"/>
    <x v="0"/>
    <x v="0"/>
    <x v="1"/>
    <x v="10"/>
    <x v="5"/>
    <x v="1"/>
    <x v="1"/>
    <n v="2"/>
    <n v="16"/>
    <n v="5"/>
    <n v="1123136"/>
    <n v="5615680"/>
    <n v="4402197"/>
    <n v="1213483"/>
  </r>
  <r>
    <n v="2316"/>
    <s v="15-07-2024"/>
    <x v="0"/>
    <x v="11"/>
    <x v="1"/>
    <x v="1"/>
    <x v="3"/>
    <x v="7"/>
    <x v="0"/>
    <n v="1"/>
    <n v="16"/>
    <n v="2"/>
    <n v="1185604"/>
    <n v="2371208"/>
    <n v="2048517"/>
    <n v="322691"/>
  </r>
  <r>
    <n v="2317"/>
    <s v="03-09-2023"/>
    <x v="1"/>
    <x v="7"/>
    <x v="3"/>
    <x v="6"/>
    <x v="0"/>
    <x v="1"/>
    <x v="1"/>
    <n v="2"/>
    <n v="23"/>
    <n v="8"/>
    <n v="1281419"/>
    <n v="10251352"/>
    <n v="7831709"/>
    <n v="2419643"/>
  </r>
  <r>
    <n v="2318"/>
    <s v="19-11-2023"/>
    <x v="1"/>
    <x v="1"/>
    <x v="0"/>
    <x v="14"/>
    <x v="3"/>
    <x v="1"/>
    <x v="1"/>
    <n v="1"/>
    <n v="21"/>
    <n v="3"/>
    <n v="808726"/>
    <n v="2426178"/>
    <n v="2014138"/>
    <n v="412040"/>
  </r>
  <r>
    <n v="2319"/>
    <s v="18-05-2024"/>
    <x v="0"/>
    <x v="8"/>
    <x v="0"/>
    <x v="9"/>
    <x v="7"/>
    <x v="3"/>
    <x v="2"/>
    <n v="1.5"/>
    <n v="20"/>
    <n v="8"/>
    <n v="1216010"/>
    <n v="9728080"/>
    <n v="8589509"/>
    <n v="1138571"/>
  </r>
  <r>
    <n v="2320"/>
    <s v="09-02-2023"/>
    <x v="1"/>
    <x v="0"/>
    <x v="2"/>
    <x v="7"/>
    <x v="6"/>
    <x v="5"/>
    <x v="2"/>
    <n v="1.5"/>
    <n v="22"/>
    <n v="7"/>
    <n v="606310"/>
    <n v="4244170"/>
    <n v="3338428"/>
    <n v="905742"/>
  </r>
  <r>
    <n v="2321"/>
    <s v="05-01-2023"/>
    <x v="1"/>
    <x v="6"/>
    <x v="1"/>
    <x v="11"/>
    <x v="0"/>
    <x v="9"/>
    <x v="0"/>
    <n v="1"/>
    <n v="21"/>
    <n v="7"/>
    <n v="929735"/>
    <n v="6508145"/>
    <n v="5370421"/>
    <n v="1137724"/>
  </r>
  <r>
    <n v="2322"/>
    <s v="01-09-2024"/>
    <x v="0"/>
    <x v="7"/>
    <x v="0"/>
    <x v="9"/>
    <x v="2"/>
    <x v="1"/>
    <x v="1"/>
    <n v="1.2"/>
    <n v="20"/>
    <n v="8"/>
    <n v="1173651"/>
    <n v="9389208"/>
    <n v="8247587"/>
    <n v="1141621"/>
  </r>
  <r>
    <n v="2323"/>
    <s v="25-02-2024"/>
    <x v="0"/>
    <x v="0"/>
    <x v="1"/>
    <x v="5"/>
    <x v="6"/>
    <x v="0"/>
    <x v="0"/>
    <n v="2"/>
    <n v="18"/>
    <n v="1"/>
    <n v="1068385"/>
    <n v="1068385"/>
    <n v="839622"/>
    <n v="228763"/>
  </r>
  <r>
    <n v="2324"/>
    <s v="23-07-2023"/>
    <x v="1"/>
    <x v="11"/>
    <x v="2"/>
    <x v="7"/>
    <x v="7"/>
    <x v="5"/>
    <x v="2"/>
    <n v="2"/>
    <n v="20"/>
    <n v="8"/>
    <n v="879373"/>
    <n v="7034984"/>
    <n v="6203683"/>
    <n v="831301"/>
  </r>
  <r>
    <n v="2325"/>
    <s v="17-09-2024"/>
    <x v="0"/>
    <x v="7"/>
    <x v="2"/>
    <x v="7"/>
    <x v="7"/>
    <x v="6"/>
    <x v="2"/>
    <n v="1.2"/>
    <n v="18"/>
    <n v="6"/>
    <n v="725526"/>
    <n v="4353156"/>
    <n v="3295514"/>
    <n v="1057642"/>
  </r>
  <r>
    <n v="2326"/>
    <s v="24-11-2023"/>
    <x v="1"/>
    <x v="1"/>
    <x v="1"/>
    <x v="10"/>
    <x v="5"/>
    <x v="9"/>
    <x v="0"/>
    <n v="1.2"/>
    <n v="22"/>
    <n v="6"/>
    <n v="1069579"/>
    <n v="6417474"/>
    <n v="5100699"/>
    <n v="1316775"/>
  </r>
  <r>
    <n v="2327"/>
    <s v="25-10-2023"/>
    <x v="1"/>
    <x v="10"/>
    <x v="1"/>
    <x v="11"/>
    <x v="6"/>
    <x v="1"/>
    <x v="1"/>
    <n v="1.5"/>
    <n v="23"/>
    <n v="6"/>
    <n v="986483"/>
    <n v="5918898"/>
    <n v="4498844"/>
    <n v="1420054"/>
  </r>
  <r>
    <n v="2328"/>
    <s v="11-08-2023"/>
    <x v="1"/>
    <x v="4"/>
    <x v="3"/>
    <x v="4"/>
    <x v="2"/>
    <x v="0"/>
    <x v="0"/>
    <n v="1.5"/>
    <n v="18"/>
    <n v="1"/>
    <n v="663793"/>
    <n v="663793"/>
    <n v="583865"/>
    <n v="79928"/>
  </r>
  <r>
    <n v="2329"/>
    <s v="05-04-2023"/>
    <x v="1"/>
    <x v="9"/>
    <x v="0"/>
    <x v="0"/>
    <x v="3"/>
    <x v="1"/>
    <x v="1"/>
    <n v="1.5"/>
    <n v="21"/>
    <n v="3"/>
    <n v="1220027"/>
    <n v="3660081"/>
    <n v="3191906"/>
    <n v="468175"/>
  </r>
  <r>
    <n v="2330"/>
    <s v="06-01-2024"/>
    <x v="0"/>
    <x v="6"/>
    <x v="1"/>
    <x v="10"/>
    <x v="1"/>
    <x v="9"/>
    <x v="0"/>
    <n v="2"/>
    <n v="22"/>
    <n v="3"/>
    <n v="1118644"/>
    <n v="3355932"/>
    <n v="2645624"/>
    <n v="710308"/>
  </r>
  <r>
    <n v="2331"/>
    <s v="17-04-2023"/>
    <x v="1"/>
    <x v="9"/>
    <x v="3"/>
    <x v="6"/>
    <x v="0"/>
    <x v="7"/>
    <x v="0"/>
    <n v="1"/>
    <n v="23"/>
    <n v="2"/>
    <n v="992063"/>
    <n v="1984126"/>
    <n v="1669287"/>
    <n v="314839"/>
  </r>
  <r>
    <n v="2332"/>
    <s v="12-05-2024"/>
    <x v="0"/>
    <x v="8"/>
    <x v="1"/>
    <x v="1"/>
    <x v="1"/>
    <x v="5"/>
    <x v="2"/>
    <n v="1"/>
    <n v="22"/>
    <n v="3"/>
    <n v="1138789"/>
    <n v="3416367"/>
    <n v="2794759"/>
    <n v="621608"/>
  </r>
  <r>
    <n v="2333"/>
    <s v="19-06-2024"/>
    <x v="0"/>
    <x v="3"/>
    <x v="1"/>
    <x v="11"/>
    <x v="7"/>
    <x v="4"/>
    <x v="0"/>
    <n v="2"/>
    <n v="22"/>
    <n v="3"/>
    <n v="1239551"/>
    <n v="3718653"/>
    <n v="3315737"/>
    <n v="402916"/>
  </r>
  <r>
    <n v="2334"/>
    <s v="24-12-2024"/>
    <x v="0"/>
    <x v="5"/>
    <x v="2"/>
    <x v="13"/>
    <x v="4"/>
    <x v="1"/>
    <x v="1"/>
    <n v="2"/>
    <n v="21"/>
    <n v="1"/>
    <n v="1044350"/>
    <n v="1044350"/>
    <n v="894239"/>
    <n v="150111"/>
  </r>
  <r>
    <n v="2335"/>
    <s v="15-06-2024"/>
    <x v="0"/>
    <x v="3"/>
    <x v="3"/>
    <x v="4"/>
    <x v="4"/>
    <x v="9"/>
    <x v="0"/>
    <n v="1.2"/>
    <n v="22"/>
    <n v="4"/>
    <n v="1384505"/>
    <n v="5538020"/>
    <n v="4979446"/>
    <n v="558574"/>
  </r>
  <r>
    <n v="2336"/>
    <s v="23-09-2024"/>
    <x v="0"/>
    <x v="7"/>
    <x v="0"/>
    <x v="14"/>
    <x v="4"/>
    <x v="4"/>
    <x v="0"/>
    <n v="1.5"/>
    <n v="19"/>
    <n v="5"/>
    <n v="1046280"/>
    <n v="5231400"/>
    <n v="4389127"/>
    <n v="842273"/>
  </r>
  <r>
    <n v="2337"/>
    <s v="12-10-2023"/>
    <x v="1"/>
    <x v="10"/>
    <x v="2"/>
    <x v="15"/>
    <x v="5"/>
    <x v="4"/>
    <x v="0"/>
    <n v="1.5"/>
    <n v="22"/>
    <n v="6"/>
    <n v="1045097"/>
    <n v="6270582"/>
    <n v="5045917"/>
    <n v="1224665"/>
  </r>
  <r>
    <n v="2338"/>
    <s v="21-10-2024"/>
    <x v="0"/>
    <x v="10"/>
    <x v="2"/>
    <x v="3"/>
    <x v="2"/>
    <x v="2"/>
    <x v="1"/>
    <n v="1.2"/>
    <n v="16"/>
    <n v="2"/>
    <n v="655579"/>
    <n v="1311158"/>
    <n v="1164571"/>
    <n v="146587"/>
  </r>
  <r>
    <n v="2339"/>
    <s v="21-12-2023"/>
    <x v="1"/>
    <x v="5"/>
    <x v="1"/>
    <x v="1"/>
    <x v="4"/>
    <x v="2"/>
    <x v="1"/>
    <n v="1.2"/>
    <n v="18"/>
    <n v="6"/>
    <n v="1342833"/>
    <n v="8056998"/>
    <n v="6964617"/>
    <n v="1092381"/>
  </r>
  <r>
    <n v="2340"/>
    <s v="04-07-2023"/>
    <x v="1"/>
    <x v="11"/>
    <x v="0"/>
    <x v="9"/>
    <x v="2"/>
    <x v="1"/>
    <x v="1"/>
    <n v="1"/>
    <n v="18"/>
    <n v="4"/>
    <n v="994517"/>
    <n v="3978068"/>
    <n v="3162507"/>
    <n v="815561"/>
  </r>
  <r>
    <n v="2341"/>
    <s v="27-10-2023"/>
    <x v="1"/>
    <x v="10"/>
    <x v="0"/>
    <x v="2"/>
    <x v="3"/>
    <x v="9"/>
    <x v="0"/>
    <n v="1.2"/>
    <n v="18"/>
    <n v="7"/>
    <n v="1239951"/>
    <n v="8679657"/>
    <n v="7240503"/>
    <n v="1439154"/>
  </r>
  <r>
    <n v="2342"/>
    <s v="03-04-2023"/>
    <x v="1"/>
    <x v="9"/>
    <x v="3"/>
    <x v="4"/>
    <x v="0"/>
    <x v="1"/>
    <x v="1"/>
    <n v="1.2"/>
    <n v="16"/>
    <n v="5"/>
    <n v="692826"/>
    <n v="3464130"/>
    <n v="2608370"/>
    <n v="855760"/>
  </r>
  <r>
    <n v="2343"/>
    <s v="19-06-2024"/>
    <x v="0"/>
    <x v="3"/>
    <x v="0"/>
    <x v="14"/>
    <x v="1"/>
    <x v="5"/>
    <x v="2"/>
    <n v="1"/>
    <n v="22"/>
    <n v="1"/>
    <n v="699044"/>
    <n v="699044"/>
    <n v="572253"/>
    <n v="126791"/>
  </r>
  <r>
    <n v="2344"/>
    <s v="29-04-2024"/>
    <x v="0"/>
    <x v="9"/>
    <x v="3"/>
    <x v="4"/>
    <x v="2"/>
    <x v="8"/>
    <x v="2"/>
    <n v="2"/>
    <n v="18"/>
    <n v="5"/>
    <n v="855767"/>
    <n v="4278835"/>
    <n v="3471225"/>
    <n v="807610"/>
  </r>
  <r>
    <n v="2345"/>
    <s v="26-03-2024"/>
    <x v="0"/>
    <x v="2"/>
    <x v="2"/>
    <x v="15"/>
    <x v="3"/>
    <x v="4"/>
    <x v="0"/>
    <n v="1.2"/>
    <n v="16"/>
    <n v="5"/>
    <n v="1228965"/>
    <n v="6144825"/>
    <n v="5237467"/>
    <n v="907358"/>
  </r>
  <r>
    <n v="2346"/>
    <s v="24-11-2024"/>
    <x v="0"/>
    <x v="1"/>
    <x v="3"/>
    <x v="4"/>
    <x v="0"/>
    <x v="4"/>
    <x v="0"/>
    <n v="1.2"/>
    <n v="22"/>
    <n v="8"/>
    <n v="1117228"/>
    <n v="8937824"/>
    <n v="7536797"/>
    <n v="1401027"/>
  </r>
  <r>
    <n v="2347"/>
    <s v="28-07-2023"/>
    <x v="1"/>
    <x v="11"/>
    <x v="3"/>
    <x v="12"/>
    <x v="0"/>
    <x v="0"/>
    <x v="0"/>
    <n v="1.5"/>
    <n v="23"/>
    <n v="6"/>
    <n v="1258116"/>
    <n v="7548696"/>
    <n v="6603856"/>
    <n v="944840"/>
  </r>
  <r>
    <n v="2348"/>
    <s v="27-08-2024"/>
    <x v="0"/>
    <x v="4"/>
    <x v="2"/>
    <x v="13"/>
    <x v="0"/>
    <x v="5"/>
    <x v="2"/>
    <n v="1"/>
    <n v="21"/>
    <n v="8"/>
    <n v="782171"/>
    <n v="6257368"/>
    <n v="4828366"/>
    <n v="1429002"/>
  </r>
  <r>
    <n v="2349"/>
    <s v="31-01-2024"/>
    <x v="0"/>
    <x v="6"/>
    <x v="3"/>
    <x v="4"/>
    <x v="6"/>
    <x v="6"/>
    <x v="2"/>
    <n v="2"/>
    <n v="22"/>
    <n v="8"/>
    <n v="1112701"/>
    <n v="8901608"/>
    <n v="6904414"/>
    <n v="1997194"/>
  </r>
  <r>
    <n v="2350"/>
    <s v="14-03-2024"/>
    <x v="0"/>
    <x v="2"/>
    <x v="2"/>
    <x v="13"/>
    <x v="7"/>
    <x v="5"/>
    <x v="2"/>
    <n v="1"/>
    <n v="21"/>
    <n v="8"/>
    <n v="878042"/>
    <n v="7024336"/>
    <n v="6246941"/>
    <n v="777395"/>
  </r>
  <r>
    <n v="2351"/>
    <s v="09-05-2024"/>
    <x v="0"/>
    <x v="8"/>
    <x v="2"/>
    <x v="3"/>
    <x v="3"/>
    <x v="4"/>
    <x v="0"/>
    <n v="1"/>
    <n v="22"/>
    <n v="3"/>
    <n v="1477482"/>
    <n v="4432446"/>
    <n v="3812795"/>
    <n v="619651"/>
  </r>
  <r>
    <n v="2352"/>
    <s v="04-09-2023"/>
    <x v="1"/>
    <x v="7"/>
    <x v="0"/>
    <x v="2"/>
    <x v="2"/>
    <x v="8"/>
    <x v="2"/>
    <n v="2"/>
    <n v="21"/>
    <n v="2"/>
    <n v="1353380"/>
    <n v="2706760"/>
    <n v="2426411"/>
    <n v="280349"/>
  </r>
  <r>
    <n v="2353"/>
    <s v="11-09-2024"/>
    <x v="0"/>
    <x v="7"/>
    <x v="1"/>
    <x v="1"/>
    <x v="4"/>
    <x v="5"/>
    <x v="2"/>
    <n v="2"/>
    <n v="22"/>
    <n v="4"/>
    <n v="1052513"/>
    <n v="4210052"/>
    <n v="3325039"/>
    <n v="885013"/>
  </r>
  <r>
    <n v="2354"/>
    <s v="15-03-2024"/>
    <x v="0"/>
    <x v="2"/>
    <x v="3"/>
    <x v="12"/>
    <x v="2"/>
    <x v="2"/>
    <x v="1"/>
    <n v="1"/>
    <n v="19"/>
    <n v="7"/>
    <n v="758524"/>
    <n v="5309668"/>
    <n v="4014279"/>
    <n v="1295389"/>
  </r>
  <r>
    <n v="2355"/>
    <s v="18-06-2023"/>
    <x v="1"/>
    <x v="3"/>
    <x v="0"/>
    <x v="0"/>
    <x v="0"/>
    <x v="3"/>
    <x v="2"/>
    <n v="1"/>
    <n v="23"/>
    <n v="3"/>
    <n v="1421729"/>
    <n v="4265187"/>
    <n v="3500957"/>
    <n v="764230"/>
  </r>
  <r>
    <n v="2356"/>
    <s v="17-01-2023"/>
    <x v="1"/>
    <x v="6"/>
    <x v="3"/>
    <x v="12"/>
    <x v="3"/>
    <x v="9"/>
    <x v="0"/>
    <n v="2"/>
    <n v="20"/>
    <n v="7"/>
    <n v="1148760"/>
    <n v="8041320"/>
    <n v="6846797"/>
    <n v="1194523"/>
  </r>
  <r>
    <n v="2357"/>
    <s v="14-01-2023"/>
    <x v="1"/>
    <x v="6"/>
    <x v="1"/>
    <x v="11"/>
    <x v="3"/>
    <x v="9"/>
    <x v="0"/>
    <n v="1.2"/>
    <n v="22"/>
    <n v="4"/>
    <n v="883786"/>
    <n v="3535144"/>
    <n v="3052215"/>
    <n v="482929"/>
  </r>
  <r>
    <n v="2358"/>
    <s v="19-12-2023"/>
    <x v="1"/>
    <x v="5"/>
    <x v="3"/>
    <x v="4"/>
    <x v="1"/>
    <x v="6"/>
    <x v="2"/>
    <n v="2"/>
    <n v="16"/>
    <n v="6"/>
    <n v="1457746"/>
    <n v="8746476"/>
    <n v="6620767"/>
    <n v="2125709"/>
  </r>
  <r>
    <n v="2359"/>
    <s v="20-02-2024"/>
    <x v="0"/>
    <x v="0"/>
    <x v="3"/>
    <x v="12"/>
    <x v="3"/>
    <x v="1"/>
    <x v="1"/>
    <n v="1.2"/>
    <n v="18"/>
    <n v="8"/>
    <n v="889504"/>
    <n v="7116032"/>
    <n v="6028761"/>
    <n v="1087271"/>
  </r>
  <r>
    <n v="2360"/>
    <s v="22-12-2023"/>
    <x v="1"/>
    <x v="5"/>
    <x v="3"/>
    <x v="12"/>
    <x v="4"/>
    <x v="6"/>
    <x v="2"/>
    <n v="1.5"/>
    <n v="16"/>
    <n v="3"/>
    <n v="1159546"/>
    <n v="3478638"/>
    <n v="2639090"/>
    <n v="839548"/>
  </r>
  <r>
    <n v="2361"/>
    <s v="19-11-2023"/>
    <x v="1"/>
    <x v="1"/>
    <x v="3"/>
    <x v="12"/>
    <x v="7"/>
    <x v="7"/>
    <x v="0"/>
    <n v="1.2"/>
    <n v="18"/>
    <n v="8"/>
    <n v="1473255"/>
    <n v="11786040"/>
    <n v="10296216"/>
    <n v="1489824"/>
  </r>
  <r>
    <n v="2362"/>
    <s v="03-05-2023"/>
    <x v="1"/>
    <x v="8"/>
    <x v="2"/>
    <x v="13"/>
    <x v="0"/>
    <x v="6"/>
    <x v="2"/>
    <n v="1"/>
    <n v="23"/>
    <n v="8"/>
    <n v="1034317"/>
    <n v="8274536"/>
    <n v="6510378"/>
    <n v="1764158"/>
  </r>
  <r>
    <n v="2363"/>
    <s v="19-02-2024"/>
    <x v="0"/>
    <x v="0"/>
    <x v="2"/>
    <x v="15"/>
    <x v="3"/>
    <x v="1"/>
    <x v="1"/>
    <n v="2"/>
    <n v="21"/>
    <n v="4"/>
    <n v="1366194"/>
    <n v="5464776"/>
    <n v="4100226"/>
    <n v="1364550"/>
  </r>
  <r>
    <n v="2364"/>
    <s v="19-07-2023"/>
    <x v="1"/>
    <x v="11"/>
    <x v="3"/>
    <x v="8"/>
    <x v="0"/>
    <x v="5"/>
    <x v="2"/>
    <n v="1"/>
    <n v="18"/>
    <n v="4"/>
    <n v="1290443"/>
    <n v="5161772"/>
    <n v="4445450"/>
    <n v="716322"/>
  </r>
  <r>
    <n v="2365"/>
    <s v="23-09-2024"/>
    <x v="0"/>
    <x v="7"/>
    <x v="2"/>
    <x v="3"/>
    <x v="3"/>
    <x v="4"/>
    <x v="0"/>
    <n v="2"/>
    <n v="16"/>
    <n v="5"/>
    <n v="1240582"/>
    <n v="6202910"/>
    <n v="5030898"/>
    <n v="1172012"/>
  </r>
  <r>
    <n v="2366"/>
    <s v="04-06-2023"/>
    <x v="1"/>
    <x v="3"/>
    <x v="3"/>
    <x v="12"/>
    <x v="3"/>
    <x v="3"/>
    <x v="2"/>
    <n v="1.5"/>
    <n v="21"/>
    <n v="1"/>
    <n v="906314"/>
    <n v="906314"/>
    <n v="713561"/>
    <n v="192753"/>
  </r>
  <r>
    <n v="2367"/>
    <s v="25-01-2023"/>
    <x v="1"/>
    <x v="6"/>
    <x v="2"/>
    <x v="3"/>
    <x v="0"/>
    <x v="6"/>
    <x v="2"/>
    <n v="1.5"/>
    <n v="22"/>
    <n v="6"/>
    <n v="1173159"/>
    <n v="7038954"/>
    <n v="5427411"/>
    <n v="1611543"/>
  </r>
  <r>
    <n v="2368"/>
    <s v="20-05-2023"/>
    <x v="1"/>
    <x v="8"/>
    <x v="0"/>
    <x v="9"/>
    <x v="6"/>
    <x v="6"/>
    <x v="2"/>
    <n v="2"/>
    <n v="22"/>
    <n v="6"/>
    <n v="842228"/>
    <n v="5053368"/>
    <n v="3899843"/>
    <n v="1153525"/>
  </r>
  <r>
    <n v="2369"/>
    <s v="07-04-2024"/>
    <x v="0"/>
    <x v="9"/>
    <x v="3"/>
    <x v="6"/>
    <x v="3"/>
    <x v="9"/>
    <x v="0"/>
    <n v="1"/>
    <n v="21"/>
    <n v="3"/>
    <n v="1065808"/>
    <n v="3197424"/>
    <n v="2859161"/>
    <n v="338263"/>
  </r>
  <r>
    <n v="2370"/>
    <s v="03-03-2024"/>
    <x v="0"/>
    <x v="2"/>
    <x v="3"/>
    <x v="6"/>
    <x v="5"/>
    <x v="7"/>
    <x v="0"/>
    <n v="1"/>
    <n v="20"/>
    <n v="2"/>
    <n v="964368"/>
    <n v="1928736"/>
    <n v="1552915"/>
    <n v="375821"/>
  </r>
  <r>
    <n v="2371"/>
    <s v="06-08-2023"/>
    <x v="1"/>
    <x v="4"/>
    <x v="3"/>
    <x v="6"/>
    <x v="7"/>
    <x v="9"/>
    <x v="0"/>
    <n v="1"/>
    <n v="18"/>
    <n v="2"/>
    <n v="1126025"/>
    <n v="2252050"/>
    <n v="1843739"/>
    <n v="408311"/>
  </r>
  <r>
    <n v="2372"/>
    <s v="26-12-2024"/>
    <x v="0"/>
    <x v="5"/>
    <x v="2"/>
    <x v="13"/>
    <x v="6"/>
    <x v="5"/>
    <x v="2"/>
    <n v="1.5"/>
    <n v="20"/>
    <n v="4"/>
    <n v="1344599"/>
    <n v="5378396"/>
    <n v="4483820"/>
    <n v="894576"/>
  </r>
  <r>
    <n v="2373"/>
    <s v="14-11-2024"/>
    <x v="0"/>
    <x v="1"/>
    <x v="3"/>
    <x v="8"/>
    <x v="4"/>
    <x v="9"/>
    <x v="0"/>
    <n v="2"/>
    <n v="21"/>
    <n v="8"/>
    <n v="1218821"/>
    <n v="9750568"/>
    <n v="8552007"/>
    <n v="1198561"/>
  </r>
  <r>
    <n v="2374"/>
    <s v="06-02-2024"/>
    <x v="0"/>
    <x v="0"/>
    <x v="2"/>
    <x v="13"/>
    <x v="4"/>
    <x v="6"/>
    <x v="2"/>
    <n v="1.2"/>
    <n v="23"/>
    <n v="8"/>
    <n v="1251225"/>
    <n v="10009800"/>
    <n v="8098201"/>
    <n v="1911599"/>
  </r>
  <r>
    <n v="2375"/>
    <s v="07-02-2024"/>
    <x v="0"/>
    <x v="0"/>
    <x v="0"/>
    <x v="2"/>
    <x v="5"/>
    <x v="5"/>
    <x v="2"/>
    <n v="1.5"/>
    <n v="23"/>
    <n v="4"/>
    <n v="858302"/>
    <n v="3433208"/>
    <n v="2899702"/>
    <n v="533506"/>
  </r>
  <r>
    <n v="2376"/>
    <s v="06-07-2024"/>
    <x v="0"/>
    <x v="11"/>
    <x v="1"/>
    <x v="10"/>
    <x v="1"/>
    <x v="8"/>
    <x v="2"/>
    <n v="1.5"/>
    <n v="16"/>
    <n v="8"/>
    <n v="1428343"/>
    <n v="11426744"/>
    <n v="8949723"/>
    <n v="2477021"/>
  </r>
  <r>
    <n v="2377"/>
    <s v="13-06-2023"/>
    <x v="1"/>
    <x v="3"/>
    <x v="0"/>
    <x v="2"/>
    <x v="6"/>
    <x v="6"/>
    <x v="2"/>
    <n v="1.2"/>
    <n v="22"/>
    <n v="1"/>
    <n v="1385193"/>
    <n v="1385193"/>
    <n v="1199105"/>
    <n v="186088"/>
  </r>
  <r>
    <n v="2378"/>
    <s v="21-04-2023"/>
    <x v="1"/>
    <x v="9"/>
    <x v="3"/>
    <x v="6"/>
    <x v="2"/>
    <x v="7"/>
    <x v="0"/>
    <n v="1.5"/>
    <n v="18"/>
    <n v="6"/>
    <n v="1347276"/>
    <n v="8083656"/>
    <n v="6337214"/>
    <n v="1746442"/>
  </r>
  <r>
    <n v="2379"/>
    <s v="07-09-2023"/>
    <x v="1"/>
    <x v="7"/>
    <x v="2"/>
    <x v="15"/>
    <x v="5"/>
    <x v="1"/>
    <x v="1"/>
    <n v="1.5"/>
    <n v="18"/>
    <n v="4"/>
    <n v="1261636"/>
    <n v="5046544"/>
    <n v="4056775"/>
    <n v="989769"/>
  </r>
  <r>
    <n v="2380"/>
    <s v="11-10-2023"/>
    <x v="1"/>
    <x v="10"/>
    <x v="0"/>
    <x v="9"/>
    <x v="5"/>
    <x v="0"/>
    <x v="0"/>
    <n v="1.2"/>
    <n v="20"/>
    <n v="3"/>
    <n v="1347007"/>
    <n v="4041021"/>
    <n v="3624947"/>
    <n v="416074"/>
  </r>
  <r>
    <n v="2381"/>
    <s v="01-05-2023"/>
    <x v="1"/>
    <x v="8"/>
    <x v="1"/>
    <x v="1"/>
    <x v="0"/>
    <x v="8"/>
    <x v="2"/>
    <n v="1"/>
    <n v="16"/>
    <n v="2"/>
    <n v="621893"/>
    <n v="1243786"/>
    <n v="972813"/>
    <n v="270973"/>
  </r>
  <r>
    <n v="2382"/>
    <s v="13-10-2023"/>
    <x v="1"/>
    <x v="10"/>
    <x v="0"/>
    <x v="2"/>
    <x v="6"/>
    <x v="0"/>
    <x v="0"/>
    <n v="1"/>
    <n v="16"/>
    <n v="7"/>
    <n v="869401"/>
    <n v="6085807"/>
    <n v="5122319"/>
    <n v="963488"/>
  </r>
  <r>
    <n v="2383"/>
    <s v="18-11-2023"/>
    <x v="1"/>
    <x v="1"/>
    <x v="0"/>
    <x v="0"/>
    <x v="0"/>
    <x v="0"/>
    <x v="0"/>
    <n v="1.2"/>
    <n v="16"/>
    <n v="6"/>
    <n v="743171"/>
    <n v="4459026"/>
    <n v="3570346"/>
    <n v="888680"/>
  </r>
  <r>
    <n v="2384"/>
    <s v="04-01-2024"/>
    <x v="0"/>
    <x v="6"/>
    <x v="3"/>
    <x v="4"/>
    <x v="4"/>
    <x v="1"/>
    <x v="1"/>
    <n v="1.2"/>
    <n v="16"/>
    <n v="4"/>
    <n v="1085750"/>
    <n v="4343000"/>
    <n v="3443338"/>
    <n v="899662"/>
  </r>
  <r>
    <n v="2385"/>
    <s v="25-03-2023"/>
    <x v="1"/>
    <x v="2"/>
    <x v="1"/>
    <x v="10"/>
    <x v="6"/>
    <x v="8"/>
    <x v="2"/>
    <n v="1.5"/>
    <n v="18"/>
    <n v="6"/>
    <n v="797664"/>
    <n v="4785984"/>
    <n v="4276782"/>
    <n v="509202"/>
  </r>
  <r>
    <n v="2386"/>
    <s v="01-03-2023"/>
    <x v="1"/>
    <x v="2"/>
    <x v="2"/>
    <x v="15"/>
    <x v="6"/>
    <x v="9"/>
    <x v="0"/>
    <n v="1"/>
    <n v="23"/>
    <n v="7"/>
    <n v="854951"/>
    <n v="5984657"/>
    <n v="4532159"/>
    <n v="1452498"/>
  </r>
  <r>
    <n v="2387"/>
    <s v="25-12-2024"/>
    <x v="0"/>
    <x v="5"/>
    <x v="3"/>
    <x v="4"/>
    <x v="6"/>
    <x v="9"/>
    <x v="0"/>
    <n v="1.2"/>
    <n v="23"/>
    <n v="7"/>
    <n v="1457589"/>
    <n v="10203123"/>
    <n v="9059240"/>
    <n v="1143883"/>
  </r>
  <r>
    <n v="2388"/>
    <s v="06-06-2023"/>
    <x v="1"/>
    <x v="3"/>
    <x v="0"/>
    <x v="14"/>
    <x v="5"/>
    <x v="9"/>
    <x v="0"/>
    <n v="1"/>
    <n v="21"/>
    <n v="3"/>
    <n v="1204667"/>
    <n v="3614001"/>
    <n v="3194529"/>
    <n v="419472"/>
  </r>
  <r>
    <n v="2389"/>
    <s v="04-01-2024"/>
    <x v="0"/>
    <x v="6"/>
    <x v="2"/>
    <x v="13"/>
    <x v="1"/>
    <x v="9"/>
    <x v="0"/>
    <n v="1"/>
    <n v="22"/>
    <n v="6"/>
    <n v="771153"/>
    <n v="4626918"/>
    <n v="3959976"/>
    <n v="666942"/>
  </r>
  <r>
    <n v="2390"/>
    <s v="10-02-2024"/>
    <x v="0"/>
    <x v="0"/>
    <x v="2"/>
    <x v="7"/>
    <x v="0"/>
    <x v="9"/>
    <x v="0"/>
    <n v="2"/>
    <n v="22"/>
    <n v="5"/>
    <n v="726025"/>
    <n v="3630125"/>
    <n v="2825612"/>
    <n v="804513"/>
  </r>
  <r>
    <n v="2391"/>
    <s v="25-06-2023"/>
    <x v="1"/>
    <x v="3"/>
    <x v="1"/>
    <x v="1"/>
    <x v="2"/>
    <x v="6"/>
    <x v="2"/>
    <n v="2"/>
    <n v="21"/>
    <n v="7"/>
    <n v="1073316"/>
    <n v="7513212"/>
    <n v="6485066"/>
    <n v="1028146"/>
  </r>
  <r>
    <n v="2392"/>
    <s v="03-05-2023"/>
    <x v="1"/>
    <x v="8"/>
    <x v="0"/>
    <x v="9"/>
    <x v="3"/>
    <x v="4"/>
    <x v="0"/>
    <n v="2"/>
    <n v="19"/>
    <n v="6"/>
    <n v="657717"/>
    <n v="3946302"/>
    <n v="3444969"/>
    <n v="501333"/>
  </r>
  <r>
    <n v="2393"/>
    <s v="11-07-2024"/>
    <x v="0"/>
    <x v="11"/>
    <x v="1"/>
    <x v="5"/>
    <x v="2"/>
    <x v="0"/>
    <x v="0"/>
    <n v="1"/>
    <n v="19"/>
    <n v="1"/>
    <n v="965873"/>
    <n v="965873"/>
    <n v="834339"/>
    <n v="131534"/>
  </r>
  <r>
    <n v="2394"/>
    <s v="18-03-2024"/>
    <x v="0"/>
    <x v="2"/>
    <x v="0"/>
    <x v="14"/>
    <x v="0"/>
    <x v="1"/>
    <x v="1"/>
    <n v="1"/>
    <n v="22"/>
    <n v="5"/>
    <n v="967918"/>
    <n v="4839590"/>
    <n v="3672441"/>
    <n v="1167149"/>
  </r>
  <r>
    <n v="2395"/>
    <s v="12-06-2024"/>
    <x v="0"/>
    <x v="3"/>
    <x v="3"/>
    <x v="4"/>
    <x v="1"/>
    <x v="4"/>
    <x v="0"/>
    <n v="1"/>
    <n v="20"/>
    <n v="5"/>
    <n v="1122189"/>
    <n v="5610945"/>
    <n v="4925149"/>
    <n v="685796"/>
  </r>
  <r>
    <n v="2396"/>
    <s v="29-08-2023"/>
    <x v="1"/>
    <x v="4"/>
    <x v="1"/>
    <x v="10"/>
    <x v="0"/>
    <x v="0"/>
    <x v="0"/>
    <n v="2"/>
    <n v="16"/>
    <n v="2"/>
    <n v="1231613"/>
    <n v="2463226"/>
    <n v="2115849"/>
    <n v="347377"/>
  </r>
  <r>
    <n v="2397"/>
    <s v="14-11-2023"/>
    <x v="1"/>
    <x v="1"/>
    <x v="2"/>
    <x v="15"/>
    <x v="7"/>
    <x v="1"/>
    <x v="1"/>
    <n v="1.2"/>
    <n v="16"/>
    <n v="2"/>
    <n v="1234067"/>
    <n v="2468134"/>
    <n v="2208206"/>
    <n v="259928"/>
  </r>
  <r>
    <n v="2398"/>
    <s v="13-02-2024"/>
    <x v="0"/>
    <x v="0"/>
    <x v="3"/>
    <x v="12"/>
    <x v="0"/>
    <x v="1"/>
    <x v="1"/>
    <n v="1.5"/>
    <n v="16"/>
    <n v="3"/>
    <n v="922069"/>
    <n v="2766207"/>
    <n v="2146774"/>
    <n v="619433"/>
  </r>
  <r>
    <n v="2399"/>
    <s v="15-12-2024"/>
    <x v="0"/>
    <x v="5"/>
    <x v="3"/>
    <x v="8"/>
    <x v="1"/>
    <x v="3"/>
    <x v="2"/>
    <n v="1.2"/>
    <n v="19"/>
    <n v="1"/>
    <n v="919242"/>
    <n v="919242"/>
    <n v="782805"/>
    <n v="136437"/>
  </r>
  <r>
    <n v="2400"/>
    <s v="31-08-2023"/>
    <x v="1"/>
    <x v="4"/>
    <x v="1"/>
    <x v="5"/>
    <x v="3"/>
    <x v="2"/>
    <x v="1"/>
    <n v="1"/>
    <n v="19"/>
    <n v="4"/>
    <n v="1284281"/>
    <n v="5137124"/>
    <n v="4244508"/>
    <n v="892616"/>
  </r>
  <r>
    <n v="2401"/>
    <s v="11-07-2023"/>
    <x v="1"/>
    <x v="11"/>
    <x v="1"/>
    <x v="11"/>
    <x v="5"/>
    <x v="8"/>
    <x v="2"/>
    <n v="2"/>
    <n v="21"/>
    <n v="4"/>
    <n v="1162651"/>
    <n v="4650604"/>
    <n v="3648185"/>
    <n v="1002419"/>
  </r>
  <r>
    <n v="2402"/>
    <s v="10-08-2024"/>
    <x v="0"/>
    <x v="4"/>
    <x v="2"/>
    <x v="15"/>
    <x v="4"/>
    <x v="8"/>
    <x v="2"/>
    <n v="2"/>
    <n v="21"/>
    <n v="1"/>
    <n v="1248114"/>
    <n v="1248114"/>
    <n v="1109497"/>
    <n v="138617"/>
  </r>
  <r>
    <n v="2403"/>
    <s v="14-09-2024"/>
    <x v="0"/>
    <x v="7"/>
    <x v="3"/>
    <x v="12"/>
    <x v="3"/>
    <x v="3"/>
    <x v="2"/>
    <n v="1.2"/>
    <n v="23"/>
    <n v="2"/>
    <n v="1444937"/>
    <n v="2889874"/>
    <n v="2376775"/>
    <n v="513099"/>
  </r>
  <r>
    <n v="2404"/>
    <s v="13-03-2024"/>
    <x v="0"/>
    <x v="2"/>
    <x v="1"/>
    <x v="5"/>
    <x v="6"/>
    <x v="6"/>
    <x v="2"/>
    <n v="1"/>
    <n v="22"/>
    <n v="7"/>
    <n v="962955"/>
    <n v="6740685"/>
    <n v="5295546"/>
    <n v="1445139"/>
  </r>
  <r>
    <n v="2405"/>
    <s v="18-10-2024"/>
    <x v="0"/>
    <x v="10"/>
    <x v="3"/>
    <x v="6"/>
    <x v="6"/>
    <x v="0"/>
    <x v="0"/>
    <n v="1.5"/>
    <n v="16"/>
    <n v="7"/>
    <n v="604005"/>
    <n v="4228035"/>
    <n v="3687259"/>
    <n v="540776"/>
  </r>
  <r>
    <n v="2406"/>
    <s v="29-05-2023"/>
    <x v="1"/>
    <x v="8"/>
    <x v="0"/>
    <x v="2"/>
    <x v="0"/>
    <x v="5"/>
    <x v="2"/>
    <n v="1.5"/>
    <n v="20"/>
    <n v="6"/>
    <n v="755646"/>
    <n v="4533876"/>
    <n v="4017089"/>
    <n v="516787"/>
  </r>
  <r>
    <n v="2407"/>
    <s v="23-06-2023"/>
    <x v="1"/>
    <x v="3"/>
    <x v="1"/>
    <x v="11"/>
    <x v="5"/>
    <x v="0"/>
    <x v="0"/>
    <n v="2"/>
    <n v="21"/>
    <n v="3"/>
    <n v="1496598"/>
    <n v="4489794"/>
    <n v="3955439"/>
    <n v="534355"/>
  </r>
  <r>
    <n v="2408"/>
    <s v="02-06-2023"/>
    <x v="1"/>
    <x v="3"/>
    <x v="2"/>
    <x v="15"/>
    <x v="3"/>
    <x v="5"/>
    <x v="2"/>
    <n v="1.5"/>
    <n v="23"/>
    <n v="1"/>
    <n v="1004625"/>
    <n v="1004625"/>
    <n v="848774"/>
    <n v="155851"/>
  </r>
  <r>
    <n v="2409"/>
    <s v="27-03-2023"/>
    <x v="1"/>
    <x v="2"/>
    <x v="1"/>
    <x v="10"/>
    <x v="5"/>
    <x v="2"/>
    <x v="1"/>
    <n v="1.2"/>
    <n v="16"/>
    <n v="7"/>
    <n v="821349"/>
    <n v="5749443"/>
    <n v="5159166"/>
    <n v="590277"/>
  </r>
  <r>
    <n v="2410"/>
    <s v="04-10-2023"/>
    <x v="1"/>
    <x v="10"/>
    <x v="1"/>
    <x v="10"/>
    <x v="3"/>
    <x v="3"/>
    <x v="2"/>
    <n v="1.5"/>
    <n v="22"/>
    <n v="6"/>
    <n v="1462135"/>
    <n v="8772810"/>
    <n v="6994061"/>
    <n v="1778749"/>
  </r>
  <r>
    <n v="2411"/>
    <s v="07-10-2024"/>
    <x v="0"/>
    <x v="10"/>
    <x v="2"/>
    <x v="3"/>
    <x v="3"/>
    <x v="6"/>
    <x v="2"/>
    <n v="1.2"/>
    <n v="22"/>
    <n v="1"/>
    <n v="1266423"/>
    <n v="1266423"/>
    <n v="1129338"/>
    <n v="137085"/>
  </r>
  <r>
    <n v="2412"/>
    <s v="19-06-2024"/>
    <x v="0"/>
    <x v="3"/>
    <x v="0"/>
    <x v="2"/>
    <x v="5"/>
    <x v="3"/>
    <x v="2"/>
    <n v="1.2"/>
    <n v="16"/>
    <n v="5"/>
    <n v="1482552"/>
    <n v="7412760"/>
    <n v="6113489"/>
    <n v="1299271"/>
  </r>
  <r>
    <n v="2413"/>
    <s v="13-12-2023"/>
    <x v="1"/>
    <x v="5"/>
    <x v="0"/>
    <x v="9"/>
    <x v="0"/>
    <x v="9"/>
    <x v="0"/>
    <n v="1"/>
    <n v="19"/>
    <n v="4"/>
    <n v="1070194"/>
    <n v="4280776"/>
    <n v="3331381"/>
    <n v="949395"/>
  </r>
  <r>
    <n v="2414"/>
    <s v="28-01-2024"/>
    <x v="0"/>
    <x v="6"/>
    <x v="3"/>
    <x v="8"/>
    <x v="6"/>
    <x v="9"/>
    <x v="0"/>
    <n v="1.2"/>
    <n v="22"/>
    <n v="1"/>
    <n v="726577"/>
    <n v="726577"/>
    <n v="590277"/>
    <n v="136300"/>
  </r>
  <r>
    <n v="2415"/>
    <s v="10-09-2023"/>
    <x v="1"/>
    <x v="7"/>
    <x v="3"/>
    <x v="4"/>
    <x v="5"/>
    <x v="0"/>
    <x v="0"/>
    <n v="2"/>
    <n v="20"/>
    <n v="1"/>
    <n v="1247680"/>
    <n v="1247680"/>
    <n v="937376"/>
    <n v="310304"/>
  </r>
  <r>
    <n v="2416"/>
    <s v="19-10-2024"/>
    <x v="0"/>
    <x v="10"/>
    <x v="1"/>
    <x v="5"/>
    <x v="1"/>
    <x v="5"/>
    <x v="2"/>
    <n v="2"/>
    <n v="22"/>
    <n v="6"/>
    <n v="1163858"/>
    <n v="6983148"/>
    <n v="5562121"/>
    <n v="1421027"/>
  </r>
  <r>
    <n v="2417"/>
    <s v="07-06-2023"/>
    <x v="1"/>
    <x v="3"/>
    <x v="0"/>
    <x v="14"/>
    <x v="0"/>
    <x v="7"/>
    <x v="0"/>
    <n v="1"/>
    <n v="20"/>
    <n v="2"/>
    <n v="1334572"/>
    <n v="2669144"/>
    <n v="2107477"/>
    <n v="561667"/>
  </r>
  <r>
    <n v="2418"/>
    <s v="27-11-2024"/>
    <x v="0"/>
    <x v="1"/>
    <x v="1"/>
    <x v="1"/>
    <x v="6"/>
    <x v="2"/>
    <x v="1"/>
    <n v="1.2"/>
    <n v="16"/>
    <n v="3"/>
    <n v="1432999"/>
    <n v="4298997"/>
    <n v="3235471"/>
    <n v="1063526"/>
  </r>
  <r>
    <n v="2419"/>
    <s v="13-05-2023"/>
    <x v="1"/>
    <x v="8"/>
    <x v="2"/>
    <x v="15"/>
    <x v="5"/>
    <x v="0"/>
    <x v="0"/>
    <n v="2"/>
    <n v="23"/>
    <n v="1"/>
    <n v="1434367"/>
    <n v="1434367"/>
    <n v="1178237"/>
    <n v="256130"/>
  </r>
  <r>
    <n v="2420"/>
    <s v="14-11-2024"/>
    <x v="0"/>
    <x v="1"/>
    <x v="2"/>
    <x v="3"/>
    <x v="1"/>
    <x v="1"/>
    <x v="1"/>
    <n v="1.2"/>
    <n v="20"/>
    <n v="2"/>
    <n v="759988"/>
    <n v="1519976"/>
    <n v="1229445"/>
    <n v="290531"/>
  </r>
  <r>
    <n v="2421"/>
    <s v="25-10-2024"/>
    <x v="0"/>
    <x v="10"/>
    <x v="1"/>
    <x v="5"/>
    <x v="2"/>
    <x v="8"/>
    <x v="2"/>
    <n v="1.2"/>
    <n v="16"/>
    <n v="1"/>
    <n v="1367467"/>
    <n v="1367467"/>
    <n v="1145477"/>
    <n v="221990"/>
  </r>
  <r>
    <n v="2422"/>
    <s v="25-03-2023"/>
    <x v="1"/>
    <x v="2"/>
    <x v="2"/>
    <x v="13"/>
    <x v="2"/>
    <x v="8"/>
    <x v="2"/>
    <n v="1.5"/>
    <n v="21"/>
    <n v="2"/>
    <n v="1134212"/>
    <n v="2268424"/>
    <n v="1718747"/>
    <n v="549677"/>
  </r>
  <r>
    <n v="2423"/>
    <s v="16-09-2023"/>
    <x v="1"/>
    <x v="7"/>
    <x v="3"/>
    <x v="12"/>
    <x v="5"/>
    <x v="9"/>
    <x v="0"/>
    <n v="1.2"/>
    <n v="22"/>
    <n v="8"/>
    <n v="1105478"/>
    <n v="8843824"/>
    <n v="6791627"/>
    <n v="2052197"/>
  </r>
  <r>
    <n v="2424"/>
    <s v="12-03-2023"/>
    <x v="1"/>
    <x v="2"/>
    <x v="1"/>
    <x v="10"/>
    <x v="7"/>
    <x v="8"/>
    <x v="2"/>
    <n v="1.2"/>
    <n v="22"/>
    <n v="8"/>
    <n v="1147082"/>
    <n v="9176656"/>
    <n v="7725439"/>
    <n v="1451217"/>
  </r>
  <r>
    <n v="2425"/>
    <s v="11-02-2024"/>
    <x v="0"/>
    <x v="0"/>
    <x v="1"/>
    <x v="10"/>
    <x v="3"/>
    <x v="6"/>
    <x v="2"/>
    <n v="1.2"/>
    <n v="18"/>
    <n v="3"/>
    <n v="818319"/>
    <n v="2454957"/>
    <n v="2003222"/>
    <n v="451735"/>
  </r>
  <r>
    <n v="2426"/>
    <s v="16-08-2023"/>
    <x v="1"/>
    <x v="4"/>
    <x v="2"/>
    <x v="13"/>
    <x v="6"/>
    <x v="0"/>
    <x v="0"/>
    <n v="1"/>
    <n v="18"/>
    <n v="3"/>
    <n v="1045185"/>
    <n v="3135555"/>
    <n v="2517743"/>
    <n v="617812"/>
  </r>
  <r>
    <n v="2427"/>
    <s v="15-06-2024"/>
    <x v="0"/>
    <x v="3"/>
    <x v="3"/>
    <x v="4"/>
    <x v="1"/>
    <x v="7"/>
    <x v="0"/>
    <n v="1.2"/>
    <n v="16"/>
    <n v="8"/>
    <n v="667651"/>
    <n v="5341208"/>
    <n v="4489930"/>
    <n v="851278"/>
  </r>
  <r>
    <n v="2428"/>
    <s v="26-06-2023"/>
    <x v="1"/>
    <x v="3"/>
    <x v="1"/>
    <x v="1"/>
    <x v="0"/>
    <x v="4"/>
    <x v="0"/>
    <n v="2"/>
    <n v="21"/>
    <n v="6"/>
    <n v="976089"/>
    <n v="5856534"/>
    <n v="4454179"/>
    <n v="1402355"/>
  </r>
  <r>
    <n v="2429"/>
    <s v="04-01-2024"/>
    <x v="0"/>
    <x v="6"/>
    <x v="1"/>
    <x v="5"/>
    <x v="6"/>
    <x v="8"/>
    <x v="2"/>
    <n v="1.5"/>
    <n v="22"/>
    <n v="3"/>
    <n v="1474279"/>
    <n v="4422837"/>
    <n v="3805948"/>
    <n v="616889"/>
  </r>
  <r>
    <n v="2430"/>
    <s v="19-02-2024"/>
    <x v="0"/>
    <x v="0"/>
    <x v="0"/>
    <x v="9"/>
    <x v="7"/>
    <x v="5"/>
    <x v="2"/>
    <n v="1.5"/>
    <n v="16"/>
    <n v="2"/>
    <n v="666319"/>
    <n v="1332638"/>
    <n v="1113629"/>
    <n v="219009"/>
  </r>
  <r>
    <n v="2431"/>
    <s v="19-12-2023"/>
    <x v="1"/>
    <x v="5"/>
    <x v="3"/>
    <x v="12"/>
    <x v="6"/>
    <x v="6"/>
    <x v="2"/>
    <n v="1.5"/>
    <n v="18"/>
    <n v="2"/>
    <n v="1244088"/>
    <n v="2488176"/>
    <n v="2109613"/>
    <n v="378563"/>
  </r>
  <r>
    <n v="2432"/>
    <s v="01-11-2024"/>
    <x v="0"/>
    <x v="1"/>
    <x v="3"/>
    <x v="12"/>
    <x v="0"/>
    <x v="3"/>
    <x v="2"/>
    <n v="1.5"/>
    <n v="20"/>
    <n v="4"/>
    <n v="1225633"/>
    <n v="4902532"/>
    <n v="4124556"/>
    <n v="777976"/>
  </r>
  <r>
    <n v="2433"/>
    <s v="31-01-2024"/>
    <x v="0"/>
    <x v="6"/>
    <x v="1"/>
    <x v="1"/>
    <x v="5"/>
    <x v="5"/>
    <x v="2"/>
    <n v="1.2"/>
    <n v="21"/>
    <n v="8"/>
    <n v="940220"/>
    <n v="7521760"/>
    <n v="6428447"/>
    <n v="1093313"/>
  </r>
  <r>
    <n v="2434"/>
    <s v="29-01-2023"/>
    <x v="1"/>
    <x v="6"/>
    <x v="3"/>
    <x v="12"/>
    <x v="1"/>
    <x v="2"/>
    <x v="1"/>
    <n v="1"/>
    <n v="23"/>
    <n v="7"/>
    <n v="1222666"/>
    <n v="8558662"/>
    <n v="7522465"/>
    <n v="1036197"/>
  </r>
  <r>
    <n v="2435"/>
    <s v="27-05-2023"/>
    <x v="1"/>
    <x v="8"/>
    <x v="1"/>
    <x v="1"/>
    <x v="4"/>
    <x v="1"/>
    <x v="1"/>
    <n v="1.5"/>
    <n v="18"/>
    <n v="5"/>
    <n v="1193414"/>
    <n v="5967070"/>
    <n v="5199921"/>
    <n v="767149"/>
  </r>
  <r>
    <n v="2436"/>
    <s v="31-12-2024"/>
    <x v="0"/>
    <x v="5"/>
    <x v="3"/>
    <x v="4"/>
    <x v="1"/>
    <x v="5"/>
    <x v="2"/>
    <n v="2"/>
    <n v="19"/>
    <n v="4"/>
    <n v="1022675"/>
    <n v="4090700"/>
    <n v="3381114"/>
    <n v="709586"/>
  </r>
  <r>
    <n v="2437"/>
    <s v="30-12-2023"/>
    <x v="1"/>
    <x v="5"/>
    <x v="2"/>
    <x v="13"/>
    <x v="7"/>
    <x v="4"/>
    <x v="0"/>
    <n v="2"/>
    <n v="18"/>
    <n v="1"/>
    <n v="654395"/>
    <n v="654395"/>
    <n v="528278"/>
    <n v="126117"/>
  </r>
  <r>
    <n v="2438"/>
    <s v="16-05-2024"/>
    <x v="0"/>
    <x v="8"/>
    <x v="3"/>
    <x v="8"/>
    <x v="6"/>
    <x v="3"/>
    <x v="2"/>
    <n v="1"/>
    <n v="16"/>
    <n v="3"/>
    <n v="742785"/>
    <n v="2228355"/>
    <n v="1948497"/>
    <n v="279858"/>
  </r>
  <r>
    <n v="2439"/>
    <s v="08-01-2024"/>
    <x v="0"/>
    <x v="6"/>
    <x v="0"/>
    <x v="14"/>
    <x v="3"/>
    <x v="6"/>
    <x v="2"/>
    <n v="1.2"/>
    <n v="16"/>
    <n v="1"/>
    <n v="966529"/>
    <n v="966529"/>
    <n v="841765"/>
    <n v="124764"/>
  </r>
  <r>
    <n v="2440"/>
    <s v="17-03-2023"/>
    <x v="1"/>
    <x v="2"/>
    <x v="0"/>
    <x v="14"/>
    <x v="7"/>
    <x v="8"/>
    <x v="2"/>
    <n v="1"/>
    <n v="22"/>
    <n v="6"/>
    <n v="1027370"/>
    <n v="6164220"/>
    <n v="5001680"/>
    <n v="1162540"/>
  </r>
  <r>
    <n v="2441"/>
    <s v="01-05-2024"/>
    <x v="0"/>
    <x v="8"/>
    <x v="2"/>
    <x v="15"/>
    <x v="3"/>
    <x v="6"/>
    <x v="2"/>
    <n v="1.5"/>
    <n v="22"/>
    <n v="7"/>
    <n v="751814"/>
    <n v="5262698"/>
    <n v="4385754"/>
    <n v="876944"/>
  </r>
  <r>
    <n v="2442"/>
    <s v="31-03-2023"/>
    <x v="1"/>
    <x v="2"/>
    <x v="0"/>
    <x v="2"/>
    <x v="1"/>
    <x v="5"/>
    <x v="2"/>
    <n v="1.5"/>
    <n v="23"/>
    <n v="4"/>
    <n v="1328327"/>
    <n v="5313308"/>
    <n v="4483935"/>
    <n v="829373"/>
  </r>
  <r>
    <n v="2443"/>
    <s v="07-10-2024"/>
    <x v="0"/>
    <x v="10"/>
    <x v="1"/>
    <x v="5"/>
    <x v="0"/>
    <x v="5"/>
    <x v="2"/>
    <n v="1"/>
    <n v="19"/>
    <n v="7"/>
    <n v="777047"/>
    <n v="5439329"/>
    <n v="4298487"/>
    <n v="1140842"/>
  </r>
  <r>
    <n v="2444"/>
    <s v="03-03-2024"/>
    <x v="0"/>
    <x v="2"/>
    <x v="2"/>
    <x v="3"/>
    <x v="7"/>
    <x v="8"/>
    <x v="2"/>
    <n v="1.2"/>
    <n v="19"/>
    <n v="6"/>
    <n v="898612"/>
    <n v="5391672"/>
    <n v="4627121"/>
    <n v="764551"/>
  </r>
  <r>
    <n v="2445"/>
    <s v="16-11-2024"/>
    <x v="0"/>
    <x v="1"/>
    <x v="3"/>
    <x v="12"/>
    <x v="4"/>
    <x v="1"/>
    <x v="1"/>
    <n v="2"/>
    <n v="23"/>
    <n v="4"/>
    <n v="1254459"/>
    <n v="5017836"/>
    <n v="4396381"/>
    <n v="621455"/>
  </r>
  <r>
    <n v="2446"/>
    <s v="24-06-2023"/>
    <x v="1"/>
    <x v="3"/>
    <x v="2"/>
    <x v="13"/>
    <x v="4"/>
    <x v="9"/>
    <x v="0"/>
    <n v="1"/>
    <n v="20"/>
    <n v="2"/>
    <n v="690292"/>
    <n v="1380584"/>
    <n v="1092439"/>
    <n v="288145"/>
  </r>
  <r>
    <n v="2447"/>
    <s v="17-06-2023"/>
    <x v="1"/>
    <x v="3"/>
    <x v="1"/>
    <x v="1"/>
    <x v="7"/>
    <x v="9"/>
    <x v="0"/>
    <n v="1.2"/>
    <n v="16"/>
    <n v="5"/>
    <n v="1297954"/>
    <n v="6489770"/>
    <n v="5822024"/>
    <n v="667746"/>
  </r>
  <r>
    <n v="2448"/>
    <s v="22-03-2024"/>
    <x v="0"/>
    <x v="2"/>
    <x v="0"/>
    <x v="2"/>
    <x v="2"/>
    <x v="9"/>
    <x v="0"/>
    <n v="1.5"/>
    <n v="21"/>
    <n v="1"/>
    <n v="835751"/>
    <n v="835751"/>
    <n v="629869"/>
    <n v="205882"/>
  </r>
  <r>
    <n v="2449"/>
    <s v="21-08-2023"/>
    <x v="1"/>
    <x v="4"/>
    <x v="2"/>
    <x v="3"/>
    <x v="5"/>
    <x v="0"/>
    <x v="0"/>
    <n v="2"/>
    <n v="22"/>
    <n v="3"/>
    <n v="1278440"/>
    <n v="3835320"/>
    <n v="2998297"/>
    <n v="837023"/>
  </r>
  <r>
    <n v="2450"/>
    <s v="24-06-2023"/>
    <x v="1"/>
    <x v="3"/>
    <x v="3"/>
    <x v="4"/>
    <x v="7"/>
    <x v="8"/>
    <x v="2"/>
    <n v="1.2"/>
    <n v="20"/>
    <n v="6"/>
    <n v="763646"/>
    <n v="4581876"/>
    <n v="4080452"/>
    <n v="501424"/>
  </r>
  <r>
    <n v="2451"/>
    <s v="02-02-2023"/>
    <x v="1"/>
    <x v="0"/>
    <x v="1"/>
    <x v="10"/>
    <x v="6"/>
    <x v="1"/>
    <x v="1"/>
    <n v="2"/>
    <n v="21"/>
    <n v="8"/>
    <n v="678365"/>
    <n v="5426920"/>
    <n v="4469224"/>
    <n v="957696"/>
  </r>
  <r>
    <n v="2452"/>
    <s v="31-01-2024"/>
    <x v="0"/>
    <x v="6"/>
    <x v="0"/>
    <x v="9"/>
    <x v="0"/>
    <x v="6"/>
    <x v="2"/>
    <n v="1.5"/>
    <n v="16"/>
    <n v="4"/>
    <n v="953359"/>
    <n v="3813436"/>
    <n v="3092579"/>
    <n v="720857"/>
  </r>
  <r>
    <n v="2453"/>
    <s v="29-07-2024"/>
    <x v="0"/>
    <x v="11"/>
    <x v="3"/>
    <x v="6"/>
    <x v="0"/>
    <x v="5"/>
    <x v="2"/>
    <n v="1"/>
    <n v="22"/>
    <n v="1"/>
    <n v="930333"/>
    <n v="930333"/>
    <n v="812406"/>
    <n v="117927"/>
  </r>
  <r>
    <n v="2454"/>
    <s v="13-12-2023"/>
    <x v="1"/>
    <x v="5"/>
    <x v="2"/>
    <x v="3"/>
    <x v="1"/>
    <x v="8"/>
    <x v="2"/>
    <n v="1.5"/>
    <n v="20"/>
    <n v="5"/>
    <n v="938984"/>
    <n v="4694920"/>
    <n v="3941585"/>
    <n v="753335"/>
  </r>
  <r>
    <n v="2455"/>
    <s v="21-11-2024"/>
    <x v="0"/>
    <x v="1"/>
    <x v="0"/>
    <x v="0"/>
    <x v="1"/>
    <x v="7"/>
    <x v="0"/>
    <n v="1.2"/>
    <n v="16"/>
    <n v="6"/>
    <n v="923836"/>
    <n v="5543016"/>
    <n v="4938506"/>
    <n v="604510"/>
  </r>
  <r>
    <n v="2456"/>
    <s v="20-02-2023"/>
    <x v="1"/>
    <x v="0"/>
    <x v="2"/>
    <x v="3"/>
    <x v="7"/>
    <x v="6"/>
    <x v="2"/>
    <n v="1.5"/>
    <n v="16"/>
    <n v="4"/>
    <n v="1291902"/>
    <n v="5167608"/>
    <n v="4541091"/>
    <n v="626517"/>
  </r>
  <r>
    <n v="2457"/>
    <s v="13-09-2023"/>
    <x v="1"/>
    <x v="7"/>
    <x v="2"/>
    <x v="3"/>
    <x v="0"/>
    <x v="2"/>
    <x v="1"/>
    <n v="1.2"/>
    <n v="19"/>
    <n v="8"/>
    <n v="1124775"/>
    <n v="8998200"/>
    <n v="7484448"/>
    <n v="1513752"/>
  </r>
  <r>
    <n v="2458"/>
    <s v="21-12-2023"/>
    <x v="1"/>
    <x v="5"/>
    <x v="0"/>
    <x v="0"/>
    <x v="0"/>
    <x v="1"/>
    <x v="1"/>
    <n v="1.5"/>
    <n v="21"/>
    <n v="5"/>
    <n v="811822"/>
    <n v="4059110"/>
    <n v="3440905"/>
    <n v="618205"/>
  </r>
  <r>
    <n v="2459"/>
    <s v="03-04-2023"/>
    <x v="1"/>
    <x v="9"/>
    <x v="2"/>
    <x v="13"/>
    <x v="7"/>
    <x v="0"/>
    <x v="0"/>
    <n v="2"/>
    <n v="19"/>
    <n v="1"/>
    <n v="949510"/>
    <n v="949510"/>
    <n v="817057"/>
    <n v="132453"/>
  </r>
  <r>
    <n v="2460"/>
    <s v="03-07-2023"/>
    <x v="1"/>
    <x v="11"/>
    <x v="3"/>
    <x v="6"/>
    <x v="3"/>
    <x v="5"/>
    <x v="2"/>
    <n v="1"/>
    <n v="22"/>
    <n v="7"/>
    <n v="688576"/>
    <n v="4820032"/>
    <n v="4133097"/>
    <n v="686935"/>
  </r>
  <r>
    <n v="2461"/>
    <s v="18-04-2024"/>
    <x v="0"/>
    <x v="9"/>
    <x v="2"/>
    <x v="15"/>
    <x v="2"/>
    <x v="7"/>
    <x v="0"/>
    <n v="1.2"/>
    <n v="18"/>
    <n v="2"/>
    <n v="1345337"/>
    <n v="2690674"/>
    <n v="2028492"/>
    <n v="662182"/>
  </r>
  <r>
    <n v="2462"/>
    <s v="01-02-2023"/>
    <x v="1"/>
    <x v="0"/>
    <x v="2"/>
    <x v="13"/>
    <x v="4"/>
    <x v="4"/>
    <x v="0"/>
    <n v="1.5"/>
    <n v="20"/>
    <n v="2"/>
    <n v="961605"/>
    <n v="1923210"/>
    <n v="1447445"/>
    <n v="475765"/>
  </r>
  <r>
    <n v="2463"/>
    <s v="14-07-2023"/>
    <x v="1"/>
    <x v="11"/>
    <x v="1"/>
    <x v="5"/>
    <x v="0"/>
    <x v="3"/>
    <x v="2"/>
    <n v="1"/>
    <n v="20"/>
    <n v="8"/>
    <n v="1410839"/>
    <n v="11286712"/>
    <n v="9323455"/>
    <n v="1963257"/>
  </r>
  <r>
    <n v="2464"/>
    <s v="24-02-2024"/>
    <x v="0"/>
    <x v="0"/>
    <x v="3"/>
    <x v="12"/>
    <x v="4"/>
    <x v="7"/>
    <x v="0"/>
    <n v="1.2"/>
    <n v="23"/>
    <n v="4"/>
    <n v="720718"/>
    <n v="2882872"/>
    <n v="2446441"/>
    <n v="436431"/>
  </r>
  <r>
    <n v="2465"/>
    <s v="20-11-2024"/>
    <x v="0"/>
    <x v="1"/>
    <x v="3"/>
    <x v="4"/>
    <x v="4"/>
    <x v="5"/>
    <x v="2"/>
    <n v="2"/>
    <n v="23"/>
    <n v="7"/>
    <n v="978296"/>
    <n v="6848072"/>
    <n v="6091091"/>
    <n v="756981"/>
  </r>
  <r>
    <n v="2466"/>
    <s v="30-04-2024"/>
    <x v="0"/>
    <x v="9"/>
    <x v="1"/>
    <x v="5"/>
    <x v="4"/>
    <x v="4"/>
    <x v="0"/>
    <n v="1.5"/>
    <n v="22"/>
    <n v="3"/>
    <n v="1201321"/>
    <n v="3603963"/>
    <n v="3067137"/>
    <n v="536826"/>
  </r>
  <r>
    <n v="2467"/>
    <s v="24-04-2024"/>
    <x v="0"/>
    <x v="9"/>
    <x v="2"/>
    <x v="13"/>
    <x v="5"/>
    <x v="1"/>
    <x v="1"/>
    <n v="1"/>
    <n v="19"/>
    <n v="6"/>
    <n v="684779"/>
    <n v="4108674"/>
    <n v="3340957"/>
    <n v="767717"/>
  </r>
  <r>
    <n v="2468"/>
    <s v="11-03-2024"/>
    <x v="0"/>
    <x v="2"/>
    <x v="3"/>
    <x v="12"/>
    <x v="7"/>
    <x v="3"/>
    <x v="2"/>
    <n v="1.2"/>
    <n v="19"/>
    <n v="8"/>
    <n v="749538"/>
    <n v="5996304"/>
    <n v="5003725"/>
    <n v="992579"/>
  </r>
  <r>
    <n v="2469"/>
    <s v="05-01-2023"/>
    <x v="1"/>
    <x v="6"/>
    <x v="2"/>
    <x v="13"/>
    <x v="3"/>
    <x v="7"/>
    <x v="0"/>
    <n v="1"/>
    <n v="18"/>
    <n v="8"/>
    <n v="1244783"/>
    <n v="9958264"/>
    <n v="7751731"/>
    <n v="2206533"/>
  </r>
  <r>
    <n v="2470"/>
    <s v="30-07-2023"/>
    <x v="1"/>
    <x v="11"/>
    <x v="0"/>
    <x v="14"/>
    <x v="7"/>
    <x v="7"/>
    <x v="0"/>
    <n v="1.5"/>
    <n v="16"/>
    <n v="7"/>
    <n v="1411964"/>
    <n v="9883748"/>
    <n v="8395630"/>
    <n v="1488118"/>
  </r>
  <r>
    <n v="2471"/>
    <s v="09-01-2023"/>
    <x v="1"/>
    <x v="6"/>
    <x v="1"/>
    <x v="11"/>
    <x v="6"/>
    <x v="4"/>
    <x v="0"/>
    <n v="1.5"/>
    <n v="18"/>
    <n v="4"/>
    <n v="949371"/>
    <n v="3797484"/>
    <n v="2988994"/>
    <n v="808490"/>
  </r>
  <r>
    <n v="2472"/>
    <s v="08-12-2024"/>
    <x v="0"/>
    <x v="5"/>
    <x v="1"/>
    <x v="10"/>
    <x v="1"/>
    <x v="9"/>
    <x v="0"/>
    <n v="1.2"/>
    <n v="18"/>
    <n v="2"/>
    <n v="760384"/>
    <n v="1520768"/>
    <n v="1271963"/>
    <n v="248805"/>
  </r>
  <r>
    <n v="2473"/>
    <s v="07-12-2023"/>
    <x v="1"/>
    <x v="5"/>
    <x v="1"/>
    <x v="10"/>
    <x v="3"/>
    <x v="5"/>
    <x v="2"/>
    <n v="2"/>
    <n v="23"/>
    <n v="7"/>
    <n v="1494606"/>
    <n v="10462242"/>
    <n v="8524515"/>
    <n v="1937727"/>
  </r>
  <r>
    <n v="2474"/>
    <s v="24-09-2023"/>
    <x v="1"/>
    <x v="7"/>
    <x v="1"/>
    <x v="10"/>
    <x v="3"/>
    <x v="0"/>
    <x v="0"/>
    <n v="2"/>
    <n v="18"/>
    <n v="4"/>
    <n v="612041"/>
    <n v="2448164"/>
    <n v="2136188"/>
    <n v="311976"/>
  </r>
  <r>
    <n v="2475"/>
    <s v="29-10-2024"/>
    <x v="0"/>
    <x v="10"/>
    <x v="2"/>
    <x v="3"/>
    <x v="6"/>
    <x v="8"/>
    <x v="2"/>
    <n v="1"/>
    <n v="18"/>
    <n v="2"/>
    <n v="767209"/>
    <n v="1534418"/>
    <n v="1369946"/>
    <n v="164472"/>
  </r>
  <r>
    <n v="2476"/>
    <s v="09-07-2023"/>
    <x v="1"/>
    <x v="11"/>
    <x v="2"/>
    <x v="3"/>
    <x v="2"/>
    <x v="3"/>
    <x v="2"/>
    <n v="1.2"/>
    <n v="21"/>
    <n v="1"/>
    <n v="785861"/>
    <n v="785861"/>
    <n v="688825"/>
    <n v="97036"/>
  </r>
  <r>
    <n v="2477"/>
    <s v="08-06-2024"/>
    <x v="0"/>
    <x v="3"/>
    <x v="1"/>
    <x v="11"/>
    <x v="7"/>
    <x v="9"/>
    <x v="0"/>
    <n v="1.2"/>
    <n v="19"/>
    <n v="3"/>
    <n v="1376889"/>
    <n v="4130667"/>
    <n v="3594561"/>
    <n v="536106"/>
  </r>
  <r>
    <n v="2478"/>
    <s v="11-05-2023"/>
    <x v="1"/>
    <x v="8"/>
    <x v="2"/>
    <x v="13"/>
    <x v="2"/>
    <x v="4"/>
    <x v="0"/>
    <n v="1.2"/>
    <n v="21"/>
    <n v="8"/>
    <n v="670617"/>
    <n v="5364936"/>
    <n v="4326124"/>
    <n v="1038812"/>
  </r>
  <r>
    <n v="2479"/>
    <s v="27-04-2023"/>
    <x v="1"/>
    <x v="9"/>
    <x v="2"/>
    <x v="15"/>
    <x v="2"/>
    <x v="1"/>
    <x v="1"/>
    <n v="1"/>
    <n v="20"/>
    <n v="3"/>
    <n v="934506"/>
    <n v="2803518"/>
    <n v="2181257"/>
    <n v="622261"/>
  </r>
  <r>
    <n v="2480"/>
    <s v="08-10-2024"/>
    <x v="0"/>
    <x v="10"/>
    <x v="2"/>
    <x v="13"/>
    <x v="5"/>
    <x v="7"/>
    <x v="0"/>
    <n v="1"/>
    <n v="21"/>
    <n v="6"/>
    <n v="650473"/>
    <n v="3902838"/>
    <n v="3482736"/>
    <n v="420102"/>
  </r>
  <r>
    <n v="2481"/>
    <s v="13-11-2023"/>
    <x v="1"/>
    <x v="1"/>
    <x v="2"/>
    <x v="13"/>
    <x v="2"/>
    <x v="9"/>
    <x v="0"/>
    <n v="1.5"/>
    <n v="21"/>
    <n v="6"/>
    <n v="1312613"/>
    <n v="7875678"/>
    <n v="6841956"/>
    <n v="1033722"/>
  </r>
  <r>
    <n v="2482"/>
    <s v="04-08-2023"/>
    <x v="1"/>
    <x v="4"/>
    <x v="3"/>
    <x v="6"/>
    <x v="5"/>
    <x v="0"/>
    <x v="0"/>
    <n v="1"/>
    <n v="23"/>
    <n v="3"/>
    <n v="1104710"/>
    <n v="3314130"/>
    <n v="2926365"/>
    <n v="387765"/>
  </r>
  <r>
    <n v="2483"/>
    <s v="17-03-2024"/>
    <x v="0"/>
    <x v="2"/>
    <x v="3"/>
    <x v="8"/>
    <x v="2"/>
    <x v="6"/>
    <x v="2"/>
    <n v="2"/>
    <n v="23"/>
    <n v="4"/>
    <n v="798812"/>
    <n v="3195248"/>
    <n v="2632988"/>
    <n v="562260"/>
  </r>
  <r>
    <n v="2484"/>
    <s v="03-08-2024"/>
    <x v="0"/>
    <x v="4"/>
    <x v="0"/>
    <x v="2"/>
    <x v="6"/>
    <x v="2"/>
    <x v="1"/>
    <n v="1"/>
    <n v="23"/>
    <n v="2"/>
    <n v="980114"/>
    <n v="1960228"/>
    <n v="1537738"/>
    <n v="422490"/>
  </r>
  <r>
    <n v="2485"/>
    <s v="02-07-2024"/>
    <x v="0"/>
    <x v="11"/>
    <x v="0"/>
    <x v="14"/>
    <x v="3"/>
    <x v="4"/>
    <x v="0"/>
    <n v="1.5"/>
    <n v="22"/>
    <n v="5"/>
    <n v="1227646"/>
    <n v="6138230"/>
    <n v="4745891"/>
    <n v="1392339"/>
  </r>
  <r>
    <n v="2486"/>
    <s v="10-06-2024"/>
    <x v="0"/>
    <x v="3"/>
    <x v="0"/>
    <x v="14"/>
    <x v="4"/>
    <x v="7"/>
    <x v="0"/>
    <n v="2"/>
    <n v="22"/>
    <n v="7"/>
    <n v="1489387"/>
    <n v="10425709"/>
    <n v="8394193"/>
    <n v="2031516"/>
  </r>
  <r>
    <n v="2487"/>
    <s v="06-10-2024"/>
    <x v="0"/>
    <x v="10"/>
    <x v="1"/>
    <x v="11"/>
    <x v="6"/>
    <x v="7"/>
    <x v="0"/>
    <n v="1.2"/>
    <n v="22"/>
    <n v="4"/>
    <n v="641939"/>
    <n v="2567756"/>
    <n v="2037787"/>
    <n v="529969"/>
  </r>
  <r>
    <n v="2488"/>
    <s v="20-06-2024"/>
    <x v="0"/>
    <x v="3"/>
    <x v="0"/>
    <x v="0"/>
    <x v="1"/>
    <x v="5"/>
    <x v="2"/>
    <n v="1"/>
    <n v="18"/>
    <n v="1"/>
    <n v="1304282"/>
    <n v="1304282"/>
    <n v="988001"/>
    <n v="316281"/>
  </r>
  <r>
    <n v="2489"/>
    <s v="27-07-2024"/>
    <x v="0"/>
    <x v="11"/>
    <x v="0"/>
    <x v="2"/>
    <x v="0"/>
    <x v="1"/>
    <x v="1"/>
    <n v="1"/>
    <n v="19"/>
    <n v="5"/>
    <n v="780453"/>
    <n v="3902265"/>
    <n v="3178818"/>
    <n v="723447"/>
  </r>
  <r>
    <n v="2490"/>
    <s v="26-11-2024"/>
    <x v="0"/>
    <x v="1"/>
    <x v="2"/>
    <x v="15"/>
    <x v="0"/>
    <x v="7"/>
    <x v="0"/>
    <n v="1.5"/>
    <n v="18"/>
    <n v="8"/>
    <n v="1302475"/>
    <n v="10419800"/>
    <n v="9286216"/>
    <n v="1133584"/>
  </r>
  <r>
    <n v="2491"/>
    <s v="24-04-2023"/>
    <x v="1"/>
    <x v="9"/>
    <x v="3"/>
    <x v="8"/>
    <x v="1"/>
    <x v="4"/>
    <x v="0"/>
    <n v="1"/>
    <n v="19"/>
    <n v="6"/>
    <n v="1008128"/>
    <n v="6048768"/>
    <n v="4966332"/>
    <n v="1082436"/>
  </r>
  <r>
    <n v="2492"/>
    <s v="22-07-2024"/>
    <x v="0"/>
    <x v="11"/>
    <x v="0"/>
    <x v="9"/>
    <x v="7"/>
    <x v="0"/>
    <x v="0"/>
    <n v="1"/>
    <n v="18"/>
    <n v="7"/>
    <n v="1142497"/>
    <n v="7997479"/>
    <n v="6446355"/>
    <n v="1551124"/>
  </r>
  <r>
    <n v="2493"/>
    <s v="16-04-2024"/>
    <x v="0"/>
    <x v="9"/>
    <x v="2"/>
    <x v="3"/>
    <x v="7"/>
    <x v="1"/>
    <x v="1"/>
    <n v="1.2"/>
    <n v="21"/>
    <n v="7"/>
    <n v="1307291"/>
    <n v="9151037"/>
    <n v="7628360"/>
    <n v="1522677"/>
  </r>
  <r>
    <n v="2494"/>
    <s v="12-04-2023"/>
    <x v="1"/>
    <x v="9"/>
    <x v="0"/>
    <x v="9"/>
    <x v="7"/>
    <x v="5"/>
    <x v="2"/>
    <n v="1.2"/>
    <n v="20"/>
    <n v="8"/>
    <n v="1185851"/>
    <n v="9486808"/>
    <n v="7372101"/>
    <n v="2114707"/>
  </r>
  <r>
    <n v="2495"/>
    <s v="18-11-2023"/>
    <x v="1"/>
    <x v="1"/>
    <x v="1"/>
    <x v="10"/>
    <x v="4"/>
    <x v="4"/>
    <x v="0"/>
    <n v="2"/>
    <n v="20"/>
    <n v="2"/>
    <n v="1430479"/>
    <n v="2860958"/>
    <n v="2325317"/>
    <n v="535641"/>
  </r>
  <r>
    <n v="2496"/>
    <s v="22-05-2024"/>
    <x v="0"/>
    <x v="8"/>
    <x v="0"/>
    <x v="0"/>
    <x v="1"/>
    <x v="3"/>
    <x v="2"/>
    <n v="2"/>
    <n v="16"/>
    <n v="1"/>
    <n v="1099971"/>
    <n v="1099971"/>
    <n v="865175"/>
    <n v="234796"/>
  </r>
  <r>
    <n v="2497"/>
    <s v="27-12-2023"/>
    <x v="1"/>
    <x v="5"/>
    <x v="2"/>
    <x v="13"/>
    <x v="3"/>
    <x v="8"/>
    <x v="2"/>
    <n v="1.5"/>
    <n v="20"/>
    <n v="1"/>
    <n v="1459697"/>
    <n v="1459697"/>
    <n v="1251648"/>
    <n v="208049"/>
  </r>
  <r>
    <n v="2498"/>
    <s v="07-07-2024"/>
    <x v="0"/>
    <x v="11"/>
    <x v="2"/>
    <x v="13"/>
    <x v="2"/>
    <x v="6"/>
    <x v="2"/>
    <n v="2"/>
    <n v="19"/>
    <n v="5"/>
    <n v="1109550"/>
    <n v="5547750"/>
    <n v="4367060"/>
    <n v="1180690"/>
  </r>
  <r>
    <n v="2499"/>
    <s v="26-06-2024"/>
    <x v="0"/>
    <x v="3"/>
    <x v="0"/>
    <x v="9"/>
    <x v="7"/>
    <x v="4"/>
    <x v="0"/>
    <n v="1.2"/>
    <n v="20"/>
    <n v="4"/>
    <n v="949253"/>
    <n v="3797012"/>
    <n v="3415403"/>
    <n v="381609"/>
  </r>
  <r>
    <n v="2500"/>
    <s v="24-08-2023"/>
    <x v="1"/>
    <x v="4"/>
    <x v="3"/>
    <x v="4"/>
    <x v="2"/>
    <x v="5"/>
    <x v="2"/>
    <n v="1.5"/>
    <n v="20"/>
    <n v="7"/>
    <n v="965586"/>
    <n v="6759102"/>
    <n v="5305656"/>
    <n v="1453446"/>
  </r>
  <r>
    <n v="2501"/>
    <s v="22-07-2023"/>
    <x v="1"/>
    <x v="11"/>
    <x v="0"/>
    <x v="2"/>
    <x v="0"/>
    <x v="8"/>
    <x v="2"/>
    <n v="1.5"/>
    <n v="22"/>
    <n v="2"/>
    <n v="855013"/>
    <n v="1710026"/>
    <n v="1378595"/>
    <n v="331431"/>
  </r>
  <r>
    <n v="2502"/>
    <s v="15-01-2023"/>
    <x v="1"/>
    <x v="6"/>
    <x v="2"/>
    <x v="7"/>
    <x v="4"/>
    <x v="4"/>
    <x v="0"/>
    <n v="2"/>
    <n v="18"/>
    <n v="4"/>
    <n v="824548"/>
    <n v="3298192"/>
    <n v="2487558"/>
    <n v="810634"/>
  </r>
  <r>
    <n v="2503"/>
    <s v="14-12-2023"/>
    <x v="1"/>
    <x v="5"/>
    <x v="3"/>
    <x v="4"/>
    <x v="7"/>
    <x v="3"/>
    <x v="2"/>
    <n v="1.2"/>
    <n v="23"/>
    <n v="1"/>
    <n v="1440356"/>
    <n v="1440356"/>
    <n v="1097398"/>
    <n v="342958"/>
  </r>
  <r>
    <n v="2504"/>
    <s v="22-08-2024"/>
    <x v="0"/>
    <x v="4"/>
    <x v="2"/>
    <x v="15"/>
    <x v="5"/>
    <x v="4"/>
    <x v="0"/>
    <n v="1.5"/>
    <n v="23"/>
    <n v="8"/>
    <n v="1048624"/>
    <n v="8388992"/>
    <n v="7477269"/>
    <n v="911723"/>
  </r>
  <r>
    <n v="2505"/>
    <s v="03-10-2023"/>
    <x v="1"/>
    <x v="10"/>
    <x v="3"/>
    <x v="4"/>
    <x v="5"/>
    <x v="6"/>
    <x v="2"/>
    <n v="1"/>
    <n v="21"/>
    <n v="4"/>
    <n v="969582"/>
    <n v="3878328"/>
    <n v="3001358"/>
    <n v="876970"/>
  </r>
  <r>
    <n v="2506"/>
    <s v="18-09-2023"/>
    <x v="1"/>
    <x v="7"/>
    <x v="3"/>
    <x v="6"/>
    <x v="7"/>
    <x v="9"/>
    <x v="0"/>
    <n v="1.5"/>
    <n v="21"/>
    <n v="2"/>
    <n v="1129512"/>
    <n v="2259024"/>
    <n v="1910152"/>
    <n v="348872"/>
  </r>
  <r>
    <n v="2507"/>
    <s v="05-10-2023"/>
    <x v="1"/>
    <x v="10"/>
    <x v="1"/>
    <x v="11"/>
    <x v="6"/>
    <x v="1"/>
    <x v="1"/>
    <n v="1.2"/>
    <n v="18"/>
    <n v="6"/>
    <n v="1230906"/>
    <n v="7385436"/>
    <n v="6122656"/>
    <n v="1262780"/>
  </r>
  <r>
    <n v="2508"/>
    <s v="03-02-2024"/>
    <x v="0"/>
    <x v="0"/>
    <x v="0"/>
    <x v="0"/>
    <x v="4"/>
    <x v="7"/>
    <x v="0"/>
    <n v="1.5"/>
    <n v="20"/>
    <n v="1"/>
    <n v="1426445"/>
    <n v="1426445"/>
    <n v="1100561"/>
    <n v="325884"/>
  </r>
  <r>
    <n v="2509"/>
    <s v="15-04-2024"/>
    <x v="0"/>
    <x v="9"/>
    <x v="0"/>
    <x v="0"/>
    <x v="7"/>
    <x v="4"/>
    <x v="0"/>
    <n v="2"/>
    <n v="22"/>
    <n v="5"/>
    <n v="1356308"/>
    <n v="6781540"/>
    <n v="5943935"/>
    <n v="837605"/>
  </r>
  <r>
    <n v="2510"/>
    <s v="31-01-2024"/>
    <x v="0"/>
    <x v="6"/>
    <x v="3"/>
    <x v="8"/>
    <x v="5"/>
    <x v="2"/>
    <x v="1"/>
    <n v="2"/>
    <n v="20"/>
    <n v="5"/>
    <n v="1380918"/>
    <n v="6904590"/>
    <n v="5919369"/>
    <n v="985221"/>
  </r>
  <r>
    <n v="2511"/>
    <s v="08-06-2023"/>
    <x v="1"/>
    <x v="3"/>
    <x v="2"/>
    <x v="3"/>
    <x v="3"/>
    <x v="9"/>
    <x v="0"/>
    <n v="2"/>
    <n v="20"/>
    <n v="8"/>
    <n v="1173823"/>
    <n v="9390584"/>
    <n v="7948543"/>
    <n v="1442041"/>
  </r>
  <r>
    <n v="2512"/>
    <s v="21-10-2024"/>
    <x v="0"/>
    <x v="10"/>
    <x v="2"/>
    <x v="13"/>
    <x v="3"/>
    <x v="2"/>
    <x v="1"/>
    <n v="1.2"/>
    <n v="20"/>
    <n v="3"/>
    <n v="914216"/>
    <n v="2742648"/>
    <n v="2401016"/>
    <n v="341632"/>
  </r>
  <r>
    <n v="2513"/>
    <s v="06-10-2023"/>
    <x v="1"/>
    <x v="10"/>
    <x v="2"/>
    <x v="13"/>
    <x v="6"/>
    <x v="8"/>
    <x v="2"/>
    <n v="1.2"/>
    <n v="20"/>
    <n v="3"/>
    <n v="692717"/>
    <n v="2078151"/>
    <n v="1705554"/>
    <n v="372597"/>
  </r>
  <r>
    <n v="2514"/>
    <s v="14-10-2023"/>
    <x v="1"/>
    <x v="10"/>
    <x v="2"/>
    <x v="15"/>
    <x v="5"/>
    <x v="1"/>
    <x v="1"/>
    <n v="1.5"/>
    <n v="18"/>
    <n v="6"/>
    <n v="1035798"/>
    <n v="6214788"/>
    <n v="5461810"/>
    <n v="752978"/>
  </r>
  <r>
    <n v="2515"/>
    <s v="23-04-2023"/>
    <x v="1"/>
    <x v="9"/>
    <x v="0"/>
    <x v="0"/>
    <x v="3"/>
    <x v="0"/>
    <x v="0"/>
    <n v="2"/>
    <n v="23"/>
    <n v="1"/>
    <n v="1493442"/>
    <n v="1493442"/>
    <n v="1316671"/>
    <n v="176771"/>
  </r>
  <r>
    <n v="2516"/>
    <s v="11-04-2024"/>
    <x v="0"/>
    <x v="9"/>
    <x v="3"/>
    <x v="12"/>
    <x v="2"/>
    <x v="3"/>
    <x v="2"/>
    <n v="1"/>
    <n v="16"/>
    <n v="7"/>
    <n v="1350433"/>
    <n v="9453031"/>
    <n v="8486797"/>
    <n v="966234"/>
  </r>
  <r>
    <n v="2517"/>
    <s v="26-12-2024"/>
    <x v="0"/>
    <x v="5"/>
    <x v="2"/>
    <x v="3"/>
    <x v="5"/>
    <x v="6"/>
    <x v="2"/>
    <n v="1.5"/>
    <n v="21"/>
    <n v="2"/>
    <n v="975811"/>
    <n v="1951622"/>
    <n v="1591037"/>
    <n v="360585"/>
  </r>
  <r>
    <n v="2518"/>
    <s v="18-07-2023"/>
    <x v="1"/>
    <x v="11"/>
    <x v="0"/>
    <x v="2"/>
    <x v="1"/>
    <x v="5"/>
    <x v="2"/>
    <n v="1"/>
    <n v="20"/>
    <n v="3"/>
    <n v="894155"/>
    <n v="2682465"/>
    <n v="2290117"/>
    <n v="392348"/>
  </r>
  <r>
    <n v="2519"/>
    <s v="08-04-2024"/>
    <x v="0"/>
    <x v="9"/>
    <x v="0"/>
    <x v="9"/>
    <x v="5"/>
    <x v="3"/>
    <x v="2"/>
    <n v="2"/>
    <n v="18"/>
    <n v="8"/>
    <n v="853043"/>
    <n v="6824344"/>
    <n v="5864642"/>
    <n v="959702"/>
  </r>
  <r>
    <n v="2520"/>
    <s v="18-03-2024"/>
    <x v="0"/>
    <x v="2"/>
    <x v="0"/>
    <x v="14"/>
    <x v="2"/>
    <x v="3"/>
    <x v="2"/>
    <n v="1.5"/>
    <n v="16"/>
    <n v="5"/>
    <n v="628104"/>
    <n v="3140520"/>
    <n v="2770221"/>
    <n v="370299"/>
  </r>
  <r>
    <n v="2521"/>
    <s v="23-01-2023"/>
    <x v="1"/>
    <x v="6"/>
    <x v="2"/>
    <x v="13"/>
    <x v="3"/>
    <x v="0"/>
    <x v="0"/>
    <n v="1.2"/>
    <n v="22"/>
    <n v="2"/>
    <n v="1002643"/>
    <n v="2005286"/>
    <n v="1664391"/>
    <n v="340895"/>
  </r>
  <r>
    <n v="2522"/>
    <s v="01-06-2023"/>
    <x v="1"/>
    <x v="3"/>
    <x v="1"/>
    <x v="5"/>
    <x v="5"/>
    <x v="0"/>
    <x v="0"/>
    <n v="1.5"/>
    <n v="19"/>
    <n v="3"/>
    <n v="1191309"/>
    <n v="3573927"/>
    <n v="3053945"/>
    <n v="519982"/>
  </r>
  <r>
    <n v="2523"/>
    <s v="23-11-2024"/>
    <x v="0"/>
    <x v="1"/>
    <x v="1"/>
    <x v="1"/>
    <x v="5"/>
    <x v="7"/>
    <x v="0"/>
    <n v="1.2"/>
    <n v="22"/>
    <n v="1"/>
    <n v="679724"/>
    <n v="679724"/>
    <n v="538698"/>
    <n v="141026"/>
  </r>
  <r>
    <n v="2524"/>
    <s v="05-09-2023"/>
    <x v="1"/>
    <x v="7"/>
    <x v="3"/>
    <x v="8"/>
    <x v="6"/>
    <x v="7"/>
    <x v="0"/>
    <n v="1.2"/>
    <n v="18"/>
    <n v="6"/>
    <n v="1037957"/>
    <n v="6227742"/>
    <n v="5604715"/>
    <n v="623027"/>
  </r>
  <r>
    <n v="2525"/>
    <s v="08-07-2023"/>
    <x v="1"/>
    <x v="11"/>
    <x v="3"/>
    <x v="12"/>
    <x v="4"/>
    <x v="0"/>
    <x v="0"/>
    <n v="1.2"/>
    <n v="18"/>
    <n v="3"/>
    <n v="976653"/>
    <n v="2929959"/>
    <n v="2384658"/>
    <n v="545301"/>
  </r>
  <r>
    <n v="2526"/>
    <s v="09-03-2024"/>
    <x v="0"/>
    <x v="2"/>
    <x v="1"/>
    <x v="5"/>
    <x v="6"/>
    <x v="6"/>
    <x v="2"/>
    <n v="1.2"/>
    <n v="18"/>
    <n v="6"/>
    <n v="1163832"/>
    <n v="6982992"/>
    <n v="5320482"/>
    <n v="1662510"/>
  </r>
  <r>
    <n v="2527"/>
    <s v="07-07-2023"/>
    <x v="1"/>
    <x v="11"/>
    <x v="0"/>
    <x v="2"/>
    <x v="6"/>
    <x v="7"/>
    <x v="0"/>
    <n v="1"/>
    <n v="16"/>
    <n v="5"/>
    <n v="1097183"/>
    <n v="5485915"/>
    <n v="4649918"/>
    <n v="835997"/>
  </r>
  <r>
    <n v="2528"/>
    <s v="02-11-2024"/>
    <x v="0"/>
    <x v="1"/>
    <x v="2"/>
    <x v="3"/>
    <x v="3"/>
    <x v="6"/>
    <x v="2"/>
    <n v="1"/>
    <n v="23"/>
    <n v="1"/>
    <n v="1019819"/>
    <n v="1019819"/>
    <n v="910746"/>
    <n v="109073"/>
  </r>
  <r>
    <n v="2529"/>
    <s v="10-09-2024"/>
    <x v="0"/>
    <x v="7"/>
    <x v="2"/>
    <x v="13"/>
    <x v="3"/>
    <x v="3"/>
    <x v="2"/>
    <n v="1.5"/>
    <n v="23"/>
    <n v="7"/>
    <n v="1001032"/>
    <n v="7007224"/>
    <n v="5733292"/>
    <n v="1273932"/>
  </r>
  <r>
    <n v="2530"/>
    <s v="01-06-2023"/>
    <x v="1"/>
    <x v="3"/>
    <x v="2"/>
    <x v="15"/>
    <x v="6"/>
    <x v="6"/>
    <x v="2"/>
    <n v="2"/>
    <n v="19"/>
    <n v="6"/>
    <n v="757070"/>
    <n v="4542420"/>
    <n v="3481219"/>
    <n v="1061201"/>
  </r>
  <r>
    <n v="2531"/>
    <s v="25-08-2024"/>
    <x v="0"/>
    <x v="4"/>
    <x v="3"/>
    <x v="6"/>
    <x v="7"/>
    <x v="3"/>
    <x v="2"/>
    <n v="1.5"/>
    <n v="22"/>
    <n v="4"/>
    <n v="687007"/>
    <n v="2748028"/>
    <n v="2339422"/>
    <n v="408606"/>
  </r>
  <r>
    <n v="2532"/>
    <s v="12-11-2024"/>
    <x v="0"/>
    <x v="1"/>
    <x v="0"/>
    <x v="9"/>
    <x v="5"/>
    <x v="6"/>
    <x v="2"/>
    <n v="1.2"/>
    <n v="23"/>
    <n v="6"/>
    <n v="1242420"/>
    <n v="7454520"/>
    <n v="6311244"/>
    <n v="1143276"/>
  </r>
  <r>
    <n v="2533"/>
    <s v="26-02-2023"/>
    <x v="1"/>
    <x v="0"/>
    <x v="1"/>
    <x v="1"/>
    <x v="2"/>
    <x v="3"/>
    <x v="2"/>
    <n v="2"/>
    <n v="19"/>
    <n v="3"/>
    <n v="627461"/>
    <n v="1882383"/>
    <n v="1636823"/>
    <n v="245560"/>
  </r>
  <r>
    <n v="2534"/>
    <s v="20-02-2023"/>
    <x v="1"/>
    <x v="0"/>
    <x v="1"/>
    <x v="1"/>
    <x v="7"/>
    <x v="6"/>
    <x v="2"/>
    <n v="1"/>
    <n v="16"/>
    <n v="7"/>
    <n v="1459030"/>
    <n v="10213210"/>
    <n v="8926384"/>
    <n v="1286826"/>
  </r>
  <r>
    <n v="2535"/>
    <s v="22-11-2023"/>
    <x v="1"/>
    <x v="1"/>
    <x v="2"/>
    <x v="3"/>
    <x v="4"/>
    <x v="8"/>
    <x v="2"/>
    <n v="1.5"/>
    <n v="16"/>
    <n v="2"/>
    <n v="888911"/>
    <n v="1777822"/>
    <n v="1355572"/>
    <n v="422250"/>
  </r>
  <r>
    <n v="2536"/>
    <s v="16-11-2023"/>
    <x v="1"/>
    <x v="1"/>
    <x v="0"/>
    <x v="14"/>
    <x v="0"/>
    <x v="1"/>
    <x v="1"/>
    <n v="1.2"/>
    <n v="23"/>
    <n v="7"/>
    <n v="605591"/>
    <n v="4239137"/>
    <n v="3612176"/>
    <n v="626961"/>
  </r>
  <r>
    <n v="2537"/>
    <s v="21-06-2024"/>
    <x v="0"/>
    <x v="3"/>
    <x v="1"/>
    <x v="1"/>
    <x v="7"/>
    <x v="6"/>
    <x v="2"/>
    <n v="1.2"/>
    <n v="19"/>
    <n v="1"/>
    <n v="734358"/>
    <n v="734358"/>
    <n v="593530"/>
    <n v="140828"/>
  </r>
  <r>
    <n v="2538"/>
    <s v="25-10-2024"/>
    <x v="0"/>
    <x v="10"/>
    <x v="3"/>
    <x v="12"/>
    <x v="3"/>
    <x v="0"/>
    <x v="0"/>
    <n v="1"/>
    <n v="20"/>
    <n v="6"/>
    <n v="1423115"/>
    <n v="8538690"/>
    <n v="7088342"/>
    <n v="1450348"/>
  </r>
  <r>
    <n v="2539"/>
    <s v="05-04-2023"/>
    <x v="1"/>
    <x v="9"/>
    <x v="2"/>
    <x v="7"/>
    <x v="2"/>
    <x v="9"/>
    <x v="0"/>
    <n v="2"/>
    <n v="20"/>
    <n v="7"/>
    <n v="1270383"/>
    <n v="8892681"/>
    <n v="6717135"/>
    <n v="2175546"/>
  </r>
  <r>
    <n v="2540"/>
    <s v="23-11-2023"/>
    <x v="1"/>
    <x v="1"/>
    <x v="2"/>
    <x v="15"/>
    <x v="5"/>
    <x v="9"/>
    <x v="0"/>
    <n v="2"/>
    <n v="22"/>
    <n v="2"/>
    <n v="1054005"/>
    <n v="2108010"/>
    <n v="1625386"/>
    <n v="482624"/>
  </r>
  <r>
    <n v="2541"/>
    <s v="12-01-2023"/>
    <x v="1"/>
    <x v="6"/>
    <x v="2"/>
    <x v="13"/>
    <x v="1"/>
    <x v="7"/>
    <x v="0"/>
    <n v="1.2"/>
    <n v="21"/>
    <n v="7"/>
    <n v="1425732"/>
    <n v="9980124"/>
    <n v="8343631"/>
    <n v="1636493"/>
  </r>
  <r>
    <n v="2542"/>
    <s v="07-10-2023"/>
    <x v="1"/>
    <x v="10"/>
    <x v="1"/>
    <x v="11"/>
    <x v="2"/>
    <x v="2"/>
    <x v="1"/>
    <n v="2"/>
    <n v="19"/>
    <n v="6"/>
    <n v="1115556"/>
    <n v="6693336"/>
    <n v="5667116"/>
    <n v="1026220"/>
  </r>
  <r>
    <n v="2543"/>
    <s v="08-06-2023"/>
    <x v="1"/>
    <x v="3"/>
    <x v="1"/>
    <x v="1"/>
    <x v="5"/>
    <x v="4"/>
    <x v="0"/>
    <n v="1.5"/>
    <n v="21"/>
    <n v="6"/>
    <n v="1450985"/>
    <n v="8705910"/>
    <n v="7279525"/>
    <n v="1426385"/>
  </r>
  <r>
    <n v="2544"/>
    <s v="20-04-2023"/>
    <x v="1"/>
    <x v="9"/>
    <x v="3"/>
    <x v="4"/>
    <x v="4"/>
    <x v="6"/>
    <x v="2"/>
    <n v="2"/>
    <n v="21"/>
    <n v="8"/>
    <n v="1426029"/>
    <n v="11408232"/>
    <n v="9119294"/>
    <n v="2288938"/>
  </r>
  <r>
    <n v="2545"/>
    <s v="19-07-2024"/>
    <x v="0"/>
    <x v="11"/>
    <x v="3"/>
    <x v="12"/>
    <x v="1"/>
    <x v="4"/>
    <x v="0"/>
    <n v="1.2"/>
    <n v="23"/>
    <n v="2"/>
    <n v="902777"/>
    <n v="1805554"/>
    <n v="1465002"/>
    <n v="340552"/>
  </r>
  <r>
    <n v="2546"/>
    <s v="14-11-2024"/>
    <x v="0"/>
    <x v="1"/>
    <x v="3"/>
    <x v="8"/>
    <x v="0"/>
    <x v="5"/>
    <x v="2"/>
    <n v="1"/>
    <n v="21"/>
    <n v="6"/>
    <n v="909376"/>
    <n v="5456256"/>
    <n v="4228119"/>
    <n v="1228137"/>
  </r>
  <r>
    <n v="2547"/>
    <s v="21-11-2023"/>
    <x v="1"/>
    <x v="1"/>
    <x v="3"/>
    <x v="12"/>
    <x v="1"/>
    <x v="1"/>
    <x v="1"/>
    <n v="1"/>
    <n v="16"/>
    <n v="3"/>
    <n v="602384"/>
    <n v="1807152"/>
    <n v="1439364"/>
    <n v="367788"/>
  </r>
  <r>
    <n v="2548"/>
    <s v="09-01-2024"/>
    <x v="0"/>
    <x v="6"/>
    <x v="3"/>
    <x v="6"/>
    <x v="0"/>
    <x v="9"/>
    <x v="0"/>
    <n v="2"/>
    <n v="20"/>
    <n v="2"/>
    <n v="1243403"/>
    <n v="2486806"/>
    <n v="2227784"/>
    <n v="259022"/>
  </r>
  <r>
    <n v="2549"/>
    <s v="24-01-2023"/>
    <x v="1"/>
    <x v="6"/>
    <x v="3"/>
    <x v="12"/>
    <x v="0"/>
    <x v="2"/>
    <x v="1"/>
    <n v="2"/>
    <n v="19"/>
    <n v="2"/>
    <n v="1328562"/>
    <n v="2657124"/>
    <n v="2228884"/>
    <n v="428240"/>
  </r>
  <r>
    <n v="2550"/>
    <s v="23-10-2024"/>
    <x v="0"/>
    <x v="10"/>
    <x v="3"/>
    <x v="12"/>
    <x v="1"/>
    <x v="9"/>
    <x v="0"/>
    <n v="1.2"/>
    <n v="19"/>
    <n v="3"/>
    <n v="1420229"/>
    <n v="4260687"/>
    <n v="3204674"/>
    <n v="1056013"/>
  </r>
  <r>
    <n v="2551"/>
    <s v="21-07-2023"/>
    <x v="1"/>
    <x v="11"/>
    <x v="3"/>
    <x v="8"/>
    <x v="2"/>
    <x v="1"/>
    <x v="1"/>
    <n v="1.2"/>
    <n v="19"/>
    <n v="1"/>
    <n v="603975"/>
    <n v="603975"/>
    <n v="510630"/>
    <n v="93345"/>
  </r>
  <r>
    <n v="2552"/>
    <s v="31-12-2023"/>
    <x v="1"/>
    <x v="5"/>
    <x v="0"/>
    <x v="14"/>
    <x v="3"/>
    <x v="0"/>
    <x v="0"/>
    <n v="2"/>
    <n v="18"/>
    <n v="7"/>
    <n v="838224"/>
    <n v="5867568"/>
    <n v="4718788"/>
    <n v="1148780"/>
  </r>
  <r>
    <n v="2553"/>
    <s v="19-11-2024"/>
    <x v="0"/>
    <x v="1"/>
    <x v="0"/>
    <x v="14"/>
    <x v="4"/>
    <x v="9"/>
    <x v="0"/>
    <n v="1"/>
    <n v="16"/>
    <n v="7"/>
    <n v="632063"/>
    <n v="4424441"/>
    <n v="3753266"/>
    <n v="671175"/>
  </r>
  <r>
    <n v="2554"/>
    <s v="07-03-2023"/>
    <x v="1"/>
    <x v="2"/>
    <x v="3"/>
    <x v="8"/>
    <x v="5"/>
    <x v="5"/>
    <x v="2"/>
    <n v="2"/>
    <n v="19"/>
    <n v="2"/>
    <n v="1297257"/>
    <n v="2594514"/>
    <n v="2241188"/>
    <n v="353326"/>
  </r>
  <r>
    <n v="2555"/>
    <s v="27-05-2024"/>
    <x v="0"/>
    <x v="8"/>
    <x v="1"/>
    <x v="1"/>
    <x v="3"/>
    <x v="2"/>
    <x v="1"/>
    <n v="2"/>
    <n v="18"/>
    <n v="2"/>
    <n v="814284"/>
    <n v="1628568"/>
    <n v="1309823"/>
    <n v="318745"/>
  </r>
  <r>
    <n v="2556"/>
    <s v="15-01-2023"/>
    <x v="1"/>
    <x v="6"/>
    <x v="1"/>
    <x v="11"/>
    <x v="1"/>
    <x v="0"/>
    <x v="0"/>
    <n v="2"/>
    <n v="23"/>
    <n v="3"/>
    <n v="1126990"/>
    <n v="3380970"/>
    <n v="2548976"/>
    <n v="831994"/>
  </r>
  <r>
    <n v="2557"/>
    <s v="17-02-2024"/>
    <x v="0"/>
    <x v="0"/>
    <x v="0"/>
    <x v="9"/>
    <x v="7"/>
    <x v="0"/>
    <x v="0"/>
    <n v="1"/>
    <n v="22"/>
    <n v="7"/>
    <n v="659119"/>
    <n v="4613833"/>
    <n v="3549733"/>
    <n v="1064100"/>
  </r>
  <r>
    <n v="2558"/>
    <s v="18-09-2024"/>
    <x v="0"/>
    <x v="7"/>
    <x v="3"/>
    <x v="8"/>
    <x v="5"/>
    <x v="5"/>
    <x v="2"/>
    <n v="1.2"/>
    <n v="20"/>
    <n v="8"/>
    <n v="698346"/>
    <n v="5586768"/>
    <n v="4796548"/>
    <n v="790220"/>
  </r>
  <r>
    <n v="2559"/>
    <s v="30-12-2023"/>
    <x v="1"/>
    <x v="5"/>
    <x v="3"/>
    <x v="12"/>
    <x v="5"/>
    <x v="4"/>
    <x v="0"/>
    <n v="1.5"/>
    <n v="21"/>
    <n v="2"/>
    <n v="1247961"/>
    <n v="2495922"/>
    <n v="2078635"/>
    <n v="417287"/>
  </r>
  <r>
    <n v="2560"/>
    <s v="27-03-2024"/>
    <x v="0"/>
    <x v="2"/>
    <x v="0"/>
    <x v="2"/>
    <x v="6"/>
    <x v="1"/>
    <x v="1"/>
    <n v="1.2"/>
    <n v="22"/>
    <n v="5"/>
    <n v="663254"/>
    <n v="3316270"/>
    <n v="2957337"/>
    <n v="358933"/>
  </r>
  <r>
    <n v="2561"/>
    <s v="19-06-2023"/>
    <x v="1"/>
    <x v="3"/>
    <x v="3"/>
    <x v="6"/>
    <x v="6"/>
    <x v="2"/>
    <x v="1"/>
    <n v="1.5"/>
    <n v="20"/>
    <n v="6"/>
    <n v="657592"/>
    <n v="3945552"/>
    <n v="3333848"/>
    <n v="611704"/>
  </r>
  <r>
    <n v="2562"/>
    <s v="02-02-2024"/>
    <x v="0"/>
    <x v="0"/>
    <x v="1"/>
    <x v="5"/>
    <x v="6"/>
    <x v="1"/>
    <x v="1"/>
    <n v="1.5"/>
    <n v="21"/>
    <n v="2"/>
    <n v="765614"/>
    <n v="1531228"/>
    <n v="1279727"/>
    <n v="251501"/>
  </r>
  <r>
    <n v="2563"/>
    <s v="24-09-2023"/>
    <x v="1"/>
    <x v="7"/>
    <x v="2"/>
    <x v="3"/>
    <x v="5"/>
    <x v="6"/>
    <x v="2"/>
    <n v="2"/>
    <n v="16"/>
    <n v="2"/>
    <n v="670692"/>
    <n v="1341384"/>
    <n v="1041082"/>
    <n v="300302"/>
  </r>
  <r>
    <n v="2564"/>
    <s v="10-06-2023"/>
    <x v="1"/>
    <x v="3"/>
    <x v="3"/>
    <x v="6"/>
    <x v="4"/>
    <x v="3"/>
    <x v="2"/>
    <n v="1.2"/>
    <n v="21"/>
    <n v="1"/>
    <n v="1389705"/>
    <n v="1389705"/>
    <n v="1150667"/>
    <n v="239038"/>
  </r>
  <r>
    <n v="2565"/>
    <s v="17-11-2023"/>
    <x v="1"/>
    <x v="1"/>
    <x v="0"/>
    <x v="14"/>
    <x v="7"/>
    <x v="5"/>
    <x v="2"/>
    <n v="1"/>
    <n v="19"/>
    <n v="6"/>
    <n v="1268726"/>
    <n v="7612356"/>
    <n v="6377726"/>
    <n v="1234630"/>
  </r>
  <r>
    <n v="2566"/>
    <s v="22-08-2024"/>
    <x v="0"/>
    <x v="4"/>
    <x v="3"/>
    <x v="6"/>
    <x v="4"/>
    <x v="1"/>
    <x v="1"/>
    <n v="1.2"/>
    <n v="16"/>
    <n v="1"/>
    <n v="1265096"/>
    <n v="1265096"/>
    <n v="985788"/>
    <n v="279308"/>
  </r>
  <r>
    <n v="2567"/>
    <s v="12-03-2024"/>
    <x v="0"/>
    <x v="2"/>
    <x v="0"/>
    <x v="9"/>
    <x v="1"/>
    <x v="0"/>
    <x v="0"/>
    <n v="1"/>
    <n v="18"/>
    <n v="3"/>
    <n v="802065"/>
    <n v="2406195"/>
    <n v="1953110"/>
    <n v="453085"/>
  </r>
  <r>
    <n v="2568"/>
    <s v="17-04-2023"/>
    <x v="1"/>
    <x v="9"/>
    <x v="0"/>
    <x v="0"/>
    <x v="3"/>
    <x v="5"/>
    <x v="2"/>
    <n v="1.2"/>
    <n v="22"/>
    <n v="7"/>
    <n v="656910"/>
    <n v="4598370"/>
    <n v="3624683"/>
    <n v="973687"/>
  </r>
  <r>
    <n v="2569"/>
    <s v="03-12-2023"/>
    <x v="1"/>
    <x v="5"/>
    <x v="1"/>
    <x v="1"/>
    <x v="6"/>
    <x v="1"/>
    <x v="1"/>
    <n v="1.5"/>
    <n v="22"/>
    <n v="7"/>
    <n v="1435748"/>
    <n v="10050236"/>
    <n v="8418666"/>
    <n v="1631570"/>
  </r>
  <r>
    <n v="2570"/>
    <s v="17-06-2024"/>
    <x v="0"/>
    <x v="3"/>
    <x v="2"/>
    <x v="13"/>
    <x v="5"/>
    <x v="4"/>
    <x v="0"/>
    <n v="1.5"/>
    <n v="21"/>
    <n v="3"/>
    <n v="1052213"/>
    <n v="3156639"/>
    <n v="2832216"/>
    <n v="324423"/>
  </r>
  <r>
    <n v="2571"/>
    <s v="13-01-2024"/>
    <x v="0"/>
    <x v="6"/>
    <x v="1"/>
    <x v="5"/>
    <x v="2"/>
    <x v="1"/>
    <x v="1"/>
    <n v="1.2"/>
    <n v="18"/>
    <n v="6"/>
    <n v="1443190"/>
    <n v="8659140"/>
    <n v="7113323"/>
    <n v="1545817"/>
  </r>
  <r>
    <n v="2572"/>
    <s v="26-08-2024"/>
    <x v="0"/>
    <x v="4"/>
    <x v="1"/>
    <x v="10"/>
    <x v="5"/>
    <x v="7"/>
    <x v="0"/>
    <n v="2"/>
    <n v="18"/>
    <n v="7"/>
    <n v="866732"/>
    <n v="6067124"/>
    <n v="4878921"/>
    <n v="1188203"/>
  </r>
  <r>
    <n v="2573"/>
    <s v="05-01-2023"/>
    <x v="1"/>
    <x v="6"/>
    <x v="0"/>
    <x v="0"/>
    <x v="0"/>
    <x v="1"/>
    <x v="1"/>
    <n v="2"/>
    <n v="21"/>
    <n v="1"/>
    <n v="1317925"/>
    <n v="1317925"/>
    <n v="1077327"/>
    <n v="240598"/>
  </r>
  <r>
    <n v="2574"/>
    <s v="05-09-2024"/>
    <x v="0"/>
    <x v="7"/>
    <x v="2"/>
    <x v="13"/>
    <x v="5"/>
    <x v="9"/>
    <x v="0"/>
    <n v="1"/>
    <n v="19"/>
    <n v="2"/>
    <n v="645246"/>
    <n v="1290492"/>
    <n v="1100794"/>
    <n v="189698"/>
  </r>
  <r>
    <n v="2575"/>
    <s v="24-09-2024"/>
    <x v="0"/>
    <x v="7"/>
    <x v="1"/>
    <x v="5"/>
    <x v="7"/>
    <x v="3"/>
    <x v="2"/>
    <n v="1.2"/>
    <n v="20"/>
    <n v="5"/>
    <n v="749586"/>
    <n v="3747930"/>
    <n v="3070913"/>
    <n v="677017"/>
  </r>
  <r>
    <n v="2576"/>
    <s v="17-11-2024"/>
    <x v="0"/>
    <x v="1"/>
    <x v="3"/>
    <x v="12"/>
    <x v="2"/>
    <x v="2"/>
    <x v="1"/>
    <n v="1.5"/>
    <n v="23"/>
    <n v="2"/>
    <n v="791069"/>
    <n v="1582138"/>
    <n v="1333790"/>
    <n v="248348"/>
  </r>
  <r>
    <n v="2577"/>
    <s v="11-05-2024"/>
    <x v="0"/>
    <x v="8"/>
    <x v="1"/>
    <x v="5"/>
    <x v="5"/>
    <x v="9"/>
    <x v="0"/>
    <n v="2"/>
    <n v="19"/>
    <n v="7"/>
    <n v="1461474"/>
    <n v="10230318"/>
    <n v="9008658"/>
    <n v="1221660"/>
  </r>
  <r>
    <n v="2578"/>
    <s v="27-07-2024"/>
    <x v="0"/>
    <x v="11"/>
    <x v="2"/>
    <x v="13"/>
    <x v="2"/>
    <x v="6"/>
    <x v="2"/>
    <n v="1.2"/>
    <n v="22"/>
    <n v="5"/>
    <n v="965892"/>
    <n v="4829460"/>
    <n v="4232832"/>
    <n v="596628"/>
  </r>
  <r>
    <n v="2579"/>
    <s v="23-09-2024"/>
    <x v="0"/>
    <x v="7"/>
    <x v="0"/>
    <x v="9"/>
    <x v="3"/>
    <x v="3"/>
    <x v="2"/>
    <n v="1"/>
    <n v="20"/>
    <n v="7"/>
    <n v="1472700"/>
    <n v="10308900"/>
    <n v="8304125"/>
    <n v="2004775"/>
  </r>
  <r>
    <n v="2580"/>
    <s v="03-08-2023"/>
    <x v="1"/>
    <x v="4"/>
    <x v="3"/>
    <x v="8"/>
    <x v="6"/>
    <x v="9"/>
    <x v="0"/>
    <n v="1"/>
    <n v="21"/>
    <n v="7"/>
    <n v="883865"/>
    <n v="6187055"/>
    <n v="5292090"/>
    <n v="894965"/>
  </r>
  <r>
    <n v="2581"/>
    <s v="01-11-2024"/>
    <x v="0"/>
    <x v="1"/>
    <x v="2"/>
    <x v="15"/>
    <x v="5"/>
    <x v="5"/>
    <x v="2"/>
    <n v="1.5"/>
    <n v="19"/>
    <n v="5"/>
    <n v="1083325"/>
    <n v="5416625"/>
    <n v="4133014"/>
    <n v="1283611"/>
  </r>
  <r>
    <n v="2582"/>
    <s v="28-05-2024"/>
    <x v="0"/>
    <x v="8"/>
    <x v="2"/>
    <x v="13"/>
    <x v="5"/>
    <x v="8"/>
    <x v="2"/>
    <n v="2"/>
    <n v="19"/>
    <n v="1"/>
    <n v="1272686"/>
    <n v="1272686"/>
    <n v="1016309"/>
    <n v="256377"/>
  </r>
  <r>
    <n v="2583"/>
    <s v="02-02-2023"/>
    <x v="1"/>
    <x v="0"/>
    <x v="2"/>
    <x v="3"/>
    <x v="5"/>
    <x v="9"/>
    <x v="0"/>
    <n v="2"/>
    <n v="23"/>
    <n v="5"/>
    <n v="951509"/>
    <n v="4757545"/>
    <n v="3694272"/>
    <n v="1063273"/>
  </r>
  <r>
    <n v="2584"/>
    <s v="24-01-2023"/>
    <x v="1"/>
    <x v="6"/>
    <x v="3"/>
    <x v="6"/>
    <x v="4"/>
    <x v="1"/>
    <x v="1"/>
    <n v="1.2"/>
    <n v="19"/>
    <n v="8"/>
    <n v="1395202"/>
    <n v="11161616"/>
    <n v="8706929"/>
    <n v="2454687"/>
  </r>
  <r>
    <n v="2585"/>
    <s v="13-02-2024"/>
    <x v="0"/>
    <x v="0"/>
    <x v="1"/>
    <x v="10"/>
    <x v="3"/>
    <x v="6"/>
    <x v="2"/>
    <n v="1.5"/>
    <n v="22"/>
    <n v="4"/>
    <n v="772811"/>
    <n v="3091244"/>
    <n v="2505165"/>
    <n v="586079"/>
  </r>
  <r>
    <n v="2586"/>
    <s v="13-06-2023"/>
    <x v="1"/>
    <x v="3"/>
    <x v="3"/>
    <x v="12"/>
    <x v="3"/>
    <x v="3"/>
    <x v="2"/>
    <n v="1.2"/>
    <n v="23"/>
    <n v="4"/>
    <n v="1239372"/>
    <n v="4957488"/>
    <n v="4116293"/>
    <n v="841195"/>
  </r>
  <r>
    <n v="2587"/>
    <s v="20-01-2023"/>
    <x v="1"/>
    <x v="6"/>
    <x v="1"/>
    <x v="11"/>
    <x v="4"/>
    <x v="6"/>
    <x v="2"/>
    <n v="1"/>
    <n v="23"/>
    <n v="8"/>
    <n v="1164056"/>
    <n v="9312448"/>
    <n v="7713557"/>
    <n v="1598891"/>
  </r>
  <r>
    <n v="2588"/>
    <s v="01-08-2023"/>
    <x v="1"/>
    <x v="4"/>
    <x v="0"/>
    <x v="14"/>
    <x v="7"/>
    <x v="4"/>
    <x v="0"/>
    <n v="1.2"/>
    <n v="21"/>
    <n v="2"/>
    <n v="1413875"/>
    <n v="2827750"/>
    <n v="2187219"/>
    <n v="640531"/>
  </r>
  <r>
    <n v="2589"/>
    <s v="21-02-2024"/>
    <x v="0"/>
    <x v="0"/>
    <x v="0"/>
    <x v="2"/>
    <x v="1"/>
    <x v="8"/>
    <x v="2"/>
    <n v="1.5"/>
    <n v="16"/>
    <n v="5"/>
    <n v="1108081"/>
    <n v="5540405"/>
    <n v="4193049"/>
    <n v="1347356"/>
  </r>
  <r>
    <n v="2590"/>
    <s v="23-11-2024"/>
    <x v="0"/>
    <x v="1"/>
    <x v="1"/>
    <x v="1"/>
    <x v="2"/>
    <x v="2"/>
    <x v="1"/>
    <n v="1.5"/>
    <n v="21"/>
    <n v="5"/>
    <n v="1456594"/>
    <n v="7282970"/>
    <n v="6022308"/>
    <n v="1260662"/>
  </r>
  <r>
    <n v="2591"/>
    <s v="09-07-2023"/>
    <x v="1"/>
    <x v="11"/>
    <x v="1"/>
    <x v="5"/>
    <x v="4"/>
    <x v="7"/>
    <x v="0"/>
    <n v="1.5"/>
    <n v="19"/>
    <n v="1"/>
    <n v="1353396"/>
    <n v="1353396"/>
    <n v="1184370"/>
    <n v="169026"/>
  </r>
  <r>
    <n v="2592"/>
    <s v="15-02-2023"/>
    <x v="1"/>
    <x v="0"/>
    <x v="2"/>
    <x v="15"/>
    <x v="6"/>
    <x v="2"/>
    <x v="1"/>
    <n v="1.2"/>
    <n v="18"/>
    <n v="3"/>
    <n v="977114"/>
    <n v="2931342"/>
    <n v="2257557"/>
    <n v="673785"/>
  </r>
  <r>
    <n v="2593"/>
    <s v="29-08-2023"/>
    <x v="1"/>
    <x v="4"/>
    <x v="3"/>
    <x v="4"/>
    <x v="2"/>
    <x v="5"/>
    <x v="2"/>
    <n v="1.5"/>
    <n v="16"/>
    <n v="4"/>
    <n v="1122851"/>
    <n v="4491404"/>
    <n v="3369833"/>
    <n v="1121571"/>
  </r>
  <r>
    <n v="2594"/>
    <s v="23-05-2023"/>
    <x v="1"/>
    <x v="8"/>
    <x v="0"/>
    <x v="9"/>
    <x v="7"/>
    <x v="7"/>
    <x v="0"/>
    <n v="1"/>
    <n v="18"/>
    <n v="1"/>
    <n v="1301976"/>
    <n v="1301976"/>
    <n v="1105175"/>
    <n v="196801"/>
  </r>
  <r>
    <n v="2595"/>
    <s v="26-08-2024"/>
    <x v="0"/>
    <x v="4"/>
    <x v="2"/>
    <x v="13"/>
    <x v="2"/>
    <x v="6"/>
    <x v="2"/>
    <n v="1"/>
    <n v="20"/>
    <n v="8"/>
    <n v="751450"/>
    <n v="6011600"/>
    <n v="4624348"/>
    <n v="1387252"/>
  </r>
  <r>
    <n v="2596"/>
    <s v="03-11-2023"/>
    <x v="1"/>
    <x v="1"/>
    <x v="0"/>
    <x v="2"/>
    <x v="4"/>
    <x v="5"/>
    <x v="2"/>
    <n v="1.2"/>
    <n v="16"/>
    <n v="6"/>
    <n v="1448568"/>
    <n v="8691408"/>
    <n v="6645257"/>
    <n v="2046151"/>
  </r>
  <r>
    <n v="2597"/>
    <s v="27-08-2024"/>
    <x v="0"/>
    <x v="4"/>
    <x v="3"/>
    <x v="12"/>
    <x v="1"/>
    <x v="8"/>
    <x v="2"/>
    <n v="1"/>
    <n v="19"/>
    <n v="6"/>
    <n v="1475618"/>
    <n v="8853708"/>
    <n v="7319124"/>
    <n v="1534584"/>
  </r>
  <r>
    <n v="2598"/>
    <s v="31-10-2023"/>
    <x v="1"/>
    <x v="10"/>
    <x v="2"/>
    <x v="13"/>
    <x v="3"/>
    <x v="2"/>
    <x v="1"/>
    <n v="1"/>
    <n v="22"/>
    <n v="5"/>
    <n v="806209"/>
    <n v="4031045"/>
    <n v="3460249"/>
    <n v="570796"/>
  </r>
  <r>
    <n v="2599"/>
    <s v="17-11-2024"/>
    <x v="0"/>
    <x v="1"/>
    <x v="0"/>
    <x v="2"/>
    <x v="6"/>
    <x v="8"/>
    <x v="2"/>
    <n v="2"/>
    <n v="16"/>
    <n v="8"/>
    <n v="1014419"/>
    <n v="8115352"/>
    <n v="7145280"/>
    <n v="970072"/>
  </r>
  <r>
    <n v="2600"/>
    <s v="08-12-2024"/>
    <x v="0"/>
    <x v="5"/>
    <x v="0"/>
    <x v="14"/>
    <x v="3"/>
    <x v="8"/>
    <x v="2"/>
    <n v="1"/>
    <n v="22"/>
    <n v="8"/>
    <n v="1237941"/>
    <n v="9903528"/>
    <n v="8525086"/>
    <n v="13784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7EBF8B-B456-4EC0-A7FB-0C184D3188B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4:AG21" firstHeaderRow="1" firstDataRow="1" firstDataCol="1"/>
  <pivotFields count="16">
    <pivotField showAll="0"/>
    <pivotField showAll="0"/>
    <pivotField showAll="0">
      <items count="3">
        <item x="1"/>
        <item x="0"/>
        <item t="default"/>
      </items>
    </pivotField>
    <pivotField showAll="0"/>
    <pivotField showAll="0"/>
    <pivotField axis="axisRow" showAll="0">
      <items count="17">
        <item x="9"/>
        <item x="6"/>
        <item x="4"/>
        <item x="7"/>
        <item x="3"/>
        <item x="0"/>
        <item x="5"/>
        <item x="11"/>
        <item x="15"/>
        <item x="2"/>
        <item x="12"/>
        <item x="13"/>
        <item x="1"/>
        <item x="10"/>
        <item x="8"/>
        <item x="14"/>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Total_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C73333-BDB2-4FF7-BD1D-EB1F6D00B2E4}" name="MODAL SE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4:U10" firstHeaderRow="1" firstDataRow="1" firstDataCol="1"/>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axis="axisRow" dataField="1" showAll="0" measureFilter="1">
      <items count="11">
        <item x="3"/>
        <item x="9"/>
        <item x="2"/>
        <item x="0"/>
        <item x="6"/>
        <item x="4"/>
        <item x="8"/>
        <item x="7"/>
        <item x="5"/>
        <item x="1"/>
        <item t="default"/>
      </items>
    </pivotField>
    <pivotField showAll="0">
      <items count="4">
        <item x="2"/>
        <item x="1"/>
        <item x="0"/>
        <item t="default"/>
      </items>
    </pivotField>
    <pivotField showAll="0"/>
    <pivotField showAll="0"/>
    <pivotField showAll="0"/>
    <pivotField showAll="0"/>
    <pivotField showAll="0"/>
    <pivotField showAll="0"/>
    <pivotField showAll="0"/>
  </pivotFields>
  <rowFields count="1">
    <field x="7"/>
  </rowFields>
  <rowItems count="6">
    <i>
      <x/>
    </i>
    <i>
      <x v="3"/>
    </i>
    <i>
      <x v="4"/>
    </i>
    <i>
      <x v="5"/>
    </i>
    <i>
      <x v="7"/>
    </i>
    <i t="grand">
      <x/>
    </i>
  </rowItems>
  <colItems count="1">
    <i/>
  </colItems>
  <dataFields count="1">
    <dataField name="Count of Car_Model" fld="7"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78CE4E-A285-4688-BB35-9A968AC90C8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O9" firstHeaderRow="0" firstDataRow="1" firstDataCol="1"/>
  <pivotFields count="16">
    <pivotField showAll="0"/>
    <pivotField showAll="0"/>
    <pivotField showAll="0">
      <items count="3">
        <item x="1"/>
        <item x="0"/>
        <item t="default"/>
      </items>
    </pivotField>
    <pivotField showAll="0">
      <items count="13">
        <item x="6"/>
        <item x="0"/>
        <item x="2"/>
        <item x="9"/>
        <item x="8"/>
        <item x="3"/>
        <item x="11"/>
        <item x="4"/>
        <item x="7"/>
        <item x="10"/>
        <item x="1"/>
        <item x="5"/>
        <item t="default"/>
      </items>
    </pivotField>
    <pivotField showAll="0">
      <items count="5">
        <item x="0"/>
        <item x="3"/>
        <item x="1"/>
        <item x="2"/>
        <item t="default"/>
      </items>
    </pivotField>
    <pivotField showAll="0">
      <items count="17">
        <item x="9"/>
        <item x="6"/>
        <item x="4"/>
        <item x="7"/>
        <item x="3"/>
        <item x="0"/>
        <item x="5"/>
        <item x="11"/>
        <item x="15"/>
        <item x="2"/>
        <item x="12"/>
        <item x="13"/>
        <item x="1"/>
        <item x="10"/>
        <item x="8"/>
        <item x="14"/>
        <item t="default"/>
      </items>
    </pivotField>
    <pivotField axis="axisRow" showAll="0" measureFilter="1">
      <items count="9">
        <item x="5"/>
        <item x="1"/>
        <item x="4"/>
        <item x="3"/>
        <item x="6"/>
        <item x="7"/>
        <item x="0"/>
        <item x="2"/>
        <item t="default"/>
      </items>
    </pivotField>
    <pivotField showAll="0"/>
    <pivotField showAll="0">
      <items count="4">
        <item x="2"/>
        <item x="1"/>
        <item x="0"/>
        <item t="default"/>
      </items>
    </pivotField>
    <pivotField showAll="0"/>
    <pivotField showAll="0"/>
    <pivotField dataField="1" showAll="0"/>
    <pivotField showAll="0"/>
    <pivotField dataField="1" showAll="0"/>
    <pivotField showAll="0"/>
    <pivotField showAll="0"/>
  </pivotFields>
  <rowFields count="1">
    <field x="6"/>
  </rowFields>
  <rowItems count="6">
    <i>
      <x/>
    </i>
    <i>
      <x v="2"/>
    </i>
    <i>
      <x v="3"/>
    </i>
    <i>
      <x v="4"/>
    </i>
    <i>
      <x v="5"/>
    </i>
    <i t="grand">
      <x/>
    </i>
  </rowItems>
  <colFields count="1">
    <field x="-2"/>
  </colFields>
  <colItems count="2">
    <i>
      <x/>
    </i>
    <i i="1">
      <x v="1"/>
    </i>
  </colItems>
  <dataFields count="2">
    <dataField name="Sum of Units_Sold" fld="11" baseField="0" baseItem="0"/>
    <dataField name="Sum of Total_Sales"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E5A294-3E3A-464F-9CF3-732089B765E4}" name="MONTH 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6">
    <pivotField showAll="0"/>
    <pivotField showAll="0"/>
    <pivotField showAll="0">
      <items count="3">
        <item x="1"/>
        <item x="0"/>
        <item t="default"/>
      </items>
    </pivotField>
    <pivotField axis="axisRow" showAll="0">
      <items count="13">
        <item x="6"/>
        <item x="0"/>
        <item x="2"/>
        <item x="9"/>
        <item x="8"/>
        <item x="3"/>
        <item x="11"/>
        <item x="4"/>
        <item x="7"/>
        <item x="10"/>
        <item x="1"/>
        <item x="5"/>
        <item t="default"/>
      </items>
    </pivotField>
    <pivotField showAll="0"/>
    <pivotField showAll="0">
      <items count="17">
        <item x="9"/>
        <item x="6"/>
        <item x="4"/>
        <item x="7"/>
        <item x="3"/>
        <item x="0"/>
        <item x="5"/>
        <item x="11"/>
        <item x="15"/>
        <item x="2"/>
        <item x="12"/>
        <item x="13"/>
        <item x="1"/>
        <item x="10"/>
        <item x="8"/>
        <item x="14"/>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Total_Sales" fld="13" baseField="0" baseItem="0"/>
  </dataFields>
  <formats count="1">
    <format dxfId="15">
      <pivotArea collapsedLevelsAreSubtotals="1" fieldPosition="0">
        <references count="1">
          <reference field="3"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BED122-9497-4DBA-B972-76242F6A2C01}" name="KM"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66:AE77" firstHeaderRow="1" firstDataRow="1" firstDataCol="1"/>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axis="axisRow" showAll="0">
      <items count="11">
        <item x="3"/>
        <item x="9"/>
        <item x="2"/>
        <item x="0"/>
        <item x="6"/>
        <item x="4"/>
        <item x="8"/>
        <item x="7"/>
        <item x="5"/>
        <item x="1"/>
        <item t="default"/>
      </items>
    </pivotField>
    <pivotField showAll="0">
      <items count="4">
        <item x="2"/>
        <item x="1"/>
        <item x="0"/>
        <item t="default"/>
      </items>
    </pivotField>
    <pivotField showAll="0"/>
    <pivotField dataField="1"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Average of Mileage_KM" fld="10" subtotal="average" baseField="0" baseItem="0" numFmtId="2"/>
  </dataFields>
  <formats count="2">
    <format dxfId="17">
      <pivotArea collapsedLevelsAreSubtotals="1" fieldPosition="0">
        <references count="1">
          <reference field="7" count="1">
            <x v="1"/>
          </reference>
        </references>
      </pivotArea>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CDDAAB-B5DE-4A3E-9612-D90445D14FCB}" name="ENGIAN SIZ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36:AF42" firstHeaderRow="1" firstDataRow="1" firstDataCol="1"/>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axis="axisRow" showAll="0" measureFilter="1">
      <items count="11">
        <item x="3"/>
        <item x="9"/>
        <item x="2"/>
        <item x="0"/>
        <item x="6"/>
        <item x="4"/>
        <item x="8"/>
        <item x="7"/>
        <item x="5"/>
        <item x="1"/>
        <item t="default"/>
      </items>
    </pivotField>
    <pivotField showAll="0">
      <items count="4">
        <item x="2"/>
        <item x="1"/>
        <item x="0"/>
        <item t="default"/>
      </items>
    </pivotField>
    <pivotField dataField="1" showAll="0"/>
    <pivotField showAll="0"/>
    <pivotField showAll="0"/>
    <pivotField showAll="0"/>
    <pivotField showAll="0"/>
    <pivotField showAll="0"/>
    <pivotField showAll="0"/>
  </pivotFields>
  <rowFields count="1">
    <field x="7"/>
  </rowFields>
  <rowItems count="6">
    <i>
      <x/>
    </i>
    <i>
      <x v="1"/>
    </i>
    <i>
      <x v="2"/>
    </i>
    <i>
      <x v="5"/>
    </i>
    <i>
      <x v="8"/>
    </i>
    <i t="grand">
      <x/>
    </i>
  </rowItems>
  <colItems count="1">
    <i/>
  </colItems>
  <dataFields count="1">
    <dataField name="Average of Engine_Size" fld="9" subtotal="average" baseField="0" baseItem="0" numFmtId="2"/>
  </dataFields>
  <formats count="2">
    <format dxfId="19">
      <pivotArea collapsedLevelsAreSubtotals="1" fieldPosition="0">
        <references count="1">
          <reference field="7" count="1">
            <x v="2"/>
          </reference>
        </references>
      </pivotArea>
    </format>
    <format dxfId="18">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 chart="3" format="18">
      <pivotArea type="data" outline="0" fieldPosition="0">
        <references count="2">
          <reference field="4294967294" count="1" selected="0">
            <x v="0"/>
          </reference>
          <reference field="7" count="1" selected="0">
            <x v="5"/>
          </reference>
        </references>
      </pivotArea>
    </chartFormat>
    <chartFormat chart="3" format="19">
      <pivotArea type="data" outline="0" fieldPosition="0">
        <references count="2">
          <reference field="4294967294" count="1" selected="0">
            <x v="0"/>
          </reference>
          <reference field="7" count="1" selected="0">
            <x v="6"/>
          </reference>
        </references>
      </pivotArea>
    </chartFormat>
    <chartFormat chart="3" format="20">
      <pivotArea type="data" outline="0" fieldPosition="0">
        <references count="2">
          <reference field="4294967294" count="1" selected="0">
            <x v="0"/>
          </reference>
          <reference field="7" count="1" selected="0">
            <x v="7"/>
          </reference>
        </references>
      </pivotArea>
    </chartFormat>
    <chartFormat chart="3" format="21">
      <pivotArea type="data" outline="0" fieldPosition="0">
        <references count="2">
          <reference field="4294967294" count="1" selected="0">
            <x v="0"/>
          </reference>
          <reference field="7" count="1" selected="0">
            <x v="8"/>
          </reference>
        </references>
      </pivotArea>
    </chartFormat>
    <chartFormat chart="3" format="22">
      <pivotArea type="data" outline="0" fieldPosition="0">
        <references count="2">
          <reference field="4294967294" count="1" selected="0">
            <x v="0"/>
          </reference>
          <reference field="7" count="1" selected="0">
            <x v="9"/>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5"/>
          </reference>
        </references>
      </pivotArea>
    </chartFormat>
    <chartFormat chart="0" format="5">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8774-3F4F-4384-88D2-A2AB3B8B1CF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Co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CE42D1-35B1-468F-BD1E-483BF205EFA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showAll="0"/>
    <pivotField showAll="0">
      <items count="4">
        <item x="2"/>
        <item x="1"/>
        <item x="0"/>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Units_Sol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9817A6-32DC-4DD8-93AA-93D865F95E1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1471CC-5237-4881-B344-223D12F1E81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Sum of Unit_Pric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EAA131-A993-4D35-BDC2-D0404F8A55F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items count="3">
        <item x="1"/>
        <item x="0"/>
        <item t="default"/>
      </items>
    </pivotField>
    <pivotField showAll="0"/>
    <pivotField showAll="0"/>
    <pivotField showAll="0">
      <items count="17">
        <item x="9"/>
        <item x="6"/>
        <item x="4"/>
        <item x="7"/>
        <item x="3"/>
        <item x="0"/>
        <item x="5"/>
        <item x="11"/>
        <item x="15"/>
        <item x="2"/>
        <item x="12"/>
        <item x="13"/>
        <item x="1"/>
        <item x="10"/>
        <item x="8"/>
        <item x="14"/>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Total_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07C6E4F-1AD5-4885-9EBE-30F54E13EFA6}" sourceName="State">
  <pivotTables>
    <pivotTable tabId="2" name="MONTH WISE"/>
    <pivotTable tabId="4" name="PivotTable12"/>
    <pivotTable tabId="4" name="PivotTable6"/>
    <pivotTable tabId="4" name="PivotTable7"/>
    <pivotTable tabId="4" name="PivotTable8"/>
    <pivotTable tabId="4" name="PivotTable9"/>
    <pivotTable tabId="2" name="ENGIAN SIZE"/>
    <pivotTable tabId="2" name="KM"/>
    <pivotTable tabId="2" name="MODAL SELES"/>
    <pivotTable tabId="2" name="PivotTable2"/>
    <pivotTable tabId="2" name="PivotTable5"/>
  </pivotTables>
  <data>
    <tabular pivotCacheId="201543845">
      <items count="16">
        <i x="9" s="1"/>
        <i x="6" s="1"/>
        <i x="4" s="1"/>
        <i x="7" s="1"/>
        <i x="3" s="1"/>
        <i x="0" s="1"/>
        <i x="5" s="1"/>
        <i x="11" s="1"/>
        <i x="15" s="1"/>
        <i x="2" s="1"/>
        <i x="12" s="1"/>
        <i x="13" s="1"/>
        <i x="1" s="1"/>
        <i x="10" s="1"/>
        <i x="8"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BB3C37-C386-4A90-84E4-0BA9E67E8A92}" sourceName="Category">
  <pivotTables>
    <pivotTable tabId="2" name="MONTH WISE"/>
    <pivotTable tabId="4" name="PivotTable12"/>
    <pivotTable tabId="4" name="PivotTable6"/>
    <pivotTable tabId="4" name="PivotTable7"/>
    <pivotTable tabId="4" name="PivotTable8"/>
    <pivotTable tabId="4" name="PivotTable9"/>
    <pivotTable tabId="2" name="ENGIAN SIZE"/>
    <pivotTable tabId="2" name="KM"/>
    <pivotTable tabId="2" name="MODAL SELES"/>
    <pivotTable tabId="2" name="PivotTable2"/>
    <pivotTable tabId="2" name="PivotTable5"/>
  </pivotTables>
  <data>
    <tabular pivotCacheId="2015438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718BF4F-5D69-4AC3-B819-B90434D27AC6}" sourceName="Year">
  <pivotTables>
    <pivotTable tabId="2" name="MODAL SELES"/>
    <pivotTable tabId="4" name="PivotTable12"/>
    <pivotTable tabId="4" name="PivotTable6"/>
    <pivotTable tabId="4" name="PivotTable7"/>
    <pivotTable tabId="4" name="PivotTable8"/>
    <pivotTable tabId="4" name="PivotTable9"/>
    <pivotTable tabId="2" name="ENGIAN SIZE"/>
    <pivotTable tabId="2" name="KM"/>
    <pivotTable tabId="2" name="MONTH WISE"/>
    <pivotTable tabId="2" name="PivotTable2"/>
    <pivotTable tabId="2" name="PivotTable5"/>
  </pivotTables>
  <data>
    <tabular pivotCacheId="2015438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E6B4457-BCD9-4FE6-97A5-991D30419C2B}"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58481E6-0D8A-4586-AAFC-22BC877E2840}" cache="Slicer_State" caption="State" startItem="6" style="NK" rowHeight="234950"/>
  <slicer name="Category" xr10:uid="{8F201418-D7FD-4376-877B-F64BE511EC0A}" cache="Slicer_Category" caption="Category" style="NK" rowHeight="234950"/>
  <slicer name="Year 1" xr10:uid="{88657E0C-E00B-4220-A629-B8096EC17FBA}" cache="Slicer_Year" caption="Year" style="N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9D463-4C32-4088-9DBF-0777E5FFBABE}" name="Table1" displayName="Table1" ref="A1:P1601" totalsRowShown="0">
  <autoFilter ref="A1:P1601" xr:uid="{00000000-0001-0000-0000-000000000000}"/>
  <tableColumns count="16">
    <tableColumn id="1" xr3:uid="{B3BD7A9E-EB5E-40EA-BC4A-88F5D580FFF8}" name="Order_ID"/>
    <tableColumn id="2" xr3:uid="{D2A34450-3E5B-4A16-B829-DE8020346F5C}" name="Date"/>
    <tableColumn id="3" xr3:uid="{8E120B80-972D-4159-B1B9-0996EB93FE29}" name="Year"/>
    <tableColumn id="4" xr3:uid="{A0EF99F3-4349-4F23-977E-D074730CB508}" name="Month"/>
    <tableColumn id="5" xr3:uid="{4D2C91A6-DE7D-42DA-9C28-46FE35247517}" name="Region"/>
    <tableColumn id="6" xr3:uid="{EDBF4726-CC01-499E-95D5-41161A207D60}" name="State"/>
    <tableColumn id="7" xr3:uid="{486F1C78-6ACA-4DBD-9354-17BD9DBE5124}" name="Salesperson"/>
    <tableColumn id="8" xr3:uid="{35FA6626-B7DD-4571-9D36-02622E61C908}" name="Car_Model"/>
    <tableColumn id="9" xr3:uid="{8C140CC3-C58C-41AF-A550-46DC7308AD92}" name="Category"/>
    <tableColumn id="10" xr3:uid="{2974CF1C-7915-40A7-9D53-DF243C76F213}" name="Engine_Size"/>
    <tableColumn id="11" xr3:uid="{03D62B8A-AFFF-448E-968B-D8B9D7C62404}" name="Mileage_KM"/>
    <tableColumn id="12" xr3:uid="{615ECC64-E29C-4D33-9016-B42EDE640633}" name="Units_Sold"/>
    <tableColumn id="13" xr3:uid="{4756ED1F-05F1-432F-9742-5A07A2866F92}" name="Unit_Price"/>
    <tableColumn id="14" xr3:uid="{D3C40A19-B4D2-478C-9364-2896A2BE87FE}" name="Total_Sales"/>
    <tableColumn id="15" xr3:uid="{1BEA5CEE-C3F3-43AA-AFB3-51FCD91692F4}" name="Cost"/>
    <tableColumn id="16" xr3:uid="{BDD5B39A-DD2C-4874-92FC-AE52C065DF10}"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A776-0004-4AF7-A0C9-52CE75B8BA76}">
  <sheetPr>
    <tabColor theme="5"/>
  </sheetPr>
  <dimension ref="A3:AJ77"/>
  <sheetViews>
    <sheetView topLeftCell="O1" workbookViewId="0">
      <selection activeCell="T8" sqref="T8"/>
    </sheetView>
  </sheetViews>
  <sheetFormatPr defaultRowHeight="14.4" x14ac:dyDescent="0.3"/>
  <cols>
    <col min="1" max="1" width="12.5546875" bestFit="1" customWidth="1"/>
    <col min="2" max="2" width="17" bestFit="1" customWidth="1"/>
    <col min="13" max="13" width="12.5546875" bestFit="1" customWidth="1"/>
    <col min="14" max="14" width="16.5546875" bestFit="1" customWidth="1"/>
    <col min="15" max="15" width="17" bestFit="1" customWidth="1"/>
    <col min="20" max="20" width="12.5546875" bestFit="1" customWidth="1"/>
    <col min="21" max="21" width="18.21875" bestFit="1" customWidth="1"/>
    <col min="30" max="30" width="12.5546875" bestFit="1" customWidth="1"/>
    <col min="31" max="31" width="21.44140625" bestFit="1" customWidth="1"/>
    <col min="32" max="32" width="12.5546875" bestFit="1" customWidth="1"/>
    <col min="33" max="33" width="17" bestFit="1" customWidth="1"/>
    <col min="35" max="35" width="11.44140625" bestFit="1" customWidth="1"/>
    <col min="36" max="36" width="10" bestFit="1" customWidth="1"/>
  </cols>
  <sheetData>
    <row r="3" spans="1:36" x14ac:dyDescent="0.3">
      <c r="A3" s="1" t="s">
        <v>724</v>
      </c>
      <c r="B3" t="s">
        <v>727</v>
      </c>
      <c r="M3" s="1" t="s">
        <v>724</v>
      </c>
      <c r="N3" t="s">
        <v>726</v>
      </c>
      <c r="O3" t="s">
        <v>727</v>
      </c>
    </row>
    <row r="4" spans="1:36" x14ac:dyDescent="0.3">
      <c r="A4" s="2" t="s">
        <v>50</v>
      </c>
      <c r="B4" s="3">
        <v>804291063</v>
      </c>
      <c r="M4" s="2" t="s">
        <v>51</v>
      </c>
      <c r="N4" s="6">
        <v>914</v>
      </c>
      <c r="O4" s="6">
        <v>957523912</v>
      </c>
      <c r="T4" s="1" t="s">
        <v>724</v>
      </c>
      <c r="U4" t="s">
        <v>729</v>
      </c>
      <c r="AF4" s="1" t="s">
        <v>724</v>
      </c>
      <c r="AG4" t="s">
        <v>727</v>
      </c>
      <c r="AI4" t="s">
        <v>730</v>
      </c>
      <c r="AJ4" t="s">
        <v>731</v>
      </c>
    </row>
    <row r="5" spans="1:36" x14ac:dyDescent="0.3">
      <c r="A5" s="2" t="s">
        <v>17</v>
      </c>
      <c r="B5" s="3">
        <v>613809624</v>
      </c>
      <c r="M5" s="2" t="s">
        <v>46</v>
      </c>
      <c r="N5" s="6">
        <v>948</v>
      </c>
      <c r="O5" s="6">
        <v>1013027492</v>
      </c>
      <c r="T5" s="2" t="s">
        <v>47</v>
      </c>
      <c r="U5" s="6">
        <v>170</v>
      </c>
      <c r="AF5" s="2" t="s">
        <v>72</v>
      </c>
      <c r="AG5" s="6">
        <v>423200232</v>
      </c>
      <c r="AI5" t="str">
        <f>AF5</f>
        <v>Assam</v>
      </c>
      <c r="AJ5" s="3">
        <f>GETPIVOTDATA("Total_Sales",$AF$4,"State",AF5)</f>
        <v>423200232</v>
      </c>
    </row>
    <row r="6" spans="1:36" x14ac:dyDescent="0.3">
      <c r="A6" s="2" t="s">
        <v>29</v>
      </c>
      <c r="B6" s="3">
        <v>520905969</v>
      </c>
      <c r="M6" s="2" t="s">
        <v>36</v>
      </c>
      <c r="N6" s="6">
        <v>896</v>
      </c>
      <c r="O6" s="6">
        <v>935293054</v>
      </c>
      <c r="T6" s="2" t="s">
        <v>21</v>
      </c>
      <c r="U6" s="6">
        <v>167</v>
      </c>
      <c r="AF6" s="2" t="s">
        <v>62</v>
      </c>
      <c r="AG6" s="6">
        <v>417632659</v>
      </c>
      <c r="AI6" t="str">
        <f t="shared" ref="AI6:AI20" si="0">AF6</f>
        <v>Bihar</v>
      </c>
      <c r="AJ6" s="3">
        <f t="shared" ref="AJ6:AJ20" si="1">GETPIVOTDATA("Total_Sales",$AF$4,"State",AF6)</f>
        <v>417632659</v>
      </c>
    </row>
    <row r="7" spans="1:36" x14ac:dyDescent="0.3">
      <c r="A7" s="2" t="s">
        <v>74</v>
      </c>
      <c r="B7" s="3">
        <v>656963434</v>
      </c>
      <c r="M7" s="2" t="s">
        <v>59</v>
      </c>
      <c r="N7" s="6">
        <v>943</v>
      </c>
      <c r="O7" s="6">
        <v>975561320</v>
      </c>
      <c r="T7" s="2" t="s">
        <v>56</v>
      </c>
      <c r="U7" s="6">
        <v>169</v>
      </c>
      <c r="AF7" s="2" t="s">
        <v>45</v>
      </c>
      <c r="AG7" s="6">
        <v>531333743</v>
      </c>
      <c r="AI7" t="str">
        <f t="shared" si="0"/>
        <v>Delhi</v>
      </c>
      <c r="AJ7" s="3">
        <f t="shared" si="1"/>
        <v>531333743</v>
      </c>
    </row>
    <row r="8" spans="1:36" x14ac:dyDescent="0.3">
      <c r="A8" s="2" t="s">
        <v>67</v>
      </c>
      <c r="B8" s="3">
        <v>632344627</v>
      </c>
      <c r="M8" s="2" t="s">
        <v>90</v>
      </c>
      <c r="N8" s="6">
        <v>939</v>
      </c>
      <c r="O8" s="6">
        <v>999302672</v>
      </c>
      <c r="T8" s="2" t="s">
        <v>52</v>
      </c>
      <c r="U8" s="6">
        <v>178</v>
      </c>
      <c r="AF8" s="2" t="s">
        <v>68</v>
      </c>
      <c r="AG8" s="6">
        <v>424669383</v>
      </c>
      <c r="AI8" t="str">
        <f t="shared" si="0"/>
        <v>Goa</v>
      </c>
      <c r="AJ8" s="3">
        <f t="shared" si="1"/>
        <v>424669383</v>
      </c>
    </row>
    <row r="9" spans="1:36" x14ac:dyDescent="0.3">
      <c r="A9" s="2" t="s">
        <v>34</v>
      </c>
      <c r="B9" s="3">
        <v>601656023</v>
      </c>
      <c r="M9" s="2" t="s">
        <v>725</v>
      </c>
      <c r="N9" s="6">
        <v>4640</v>
      </c>
      <c r="O9" s="6">
        <v>4880708450</v>
      </c>
      <c r="T9" s="2" t="s">
        <v>63</v>
      </c>
      <c r="U9" s="6">
        <v>159</v>
      </c>
      <c r="AF9" s="2" t="s">
        <v>41</v>
      </c>
      <c r="AG9" s="6">
        <v>538038041</v>
      </c>
      <c r="AI9" t="str">
        <f t="shared" si="0"/>
        <v>Gujarat</v>
      </c>
      <c r="AJ9" s="3">
        <f t="shared" si="1"/>
        <v>538038041</v>
      </c>
    </row>
    <row r="10" spans="1:36" x14ac:dyDescent="0.3">
      <c r="A10" s="2" t="s">
        <v>97</v>
      </c>
      <c r="B10" s="3">
        <v>615719541</v>
      </c>
      <c r="T10" s="2" t="s">
        <v>725</v>
      </c>
      <c r="U10" s="6">
        <v>843</v>
      </c>
      <c r="AF10" s="2" t="s">
        <v>19</v>
      </c>
      <c r="AG10" s="6">
        <v>438618707</v>
      </c>
      <c r="AI10" t="str">
        <f t="shared" si="0"/>
        <v>Jharkhand</v>
      </c>
      <c r="AJ10" s="3">
        <f t="shared" si="1"/>
        <v>438618707</v>
      </c>
    </row>
    <row r="11" spans="1:36" x14ac:dyDescent="0.3">
      <c r="A11" s="2" t="s">
        <v>39</v>
      </c>
      <c r="B11" s="3">
        <v>588762839</v>
      </c>
      <c r="AF11" s="2" t="s">
        <v>58</v>
      </c>
      <c r="AG11" s="6">
        <v>540766775</v>
      </c>
      <c r="AI11" t="str">
        <f t="shared" si="0"/>
        <v>Karnataka</v>
      </c>
      <c r="AJ11" s="3">
        <f t="shared" si="1"/>
        <v>540766775</v>
      </c>
    </row>
    <row r="12" spans="1:36" x14ac:dyDescent="0.3">
      <c r="A12" s="2" t="s">
        <v>61</v>
      </c>
      <c r="B12" s="3">
        <v>631845413</v>
      </c>
      <c r="AF12" s="2" t="s">
        <v>84</v>
      </c>
      <c r="AG12" s="6">
        <v>479234085</v>
      </c>
      <c r="AI12" t="str">
        <f t="shared" si="0"/>
        <v>Kerala</v>
      </c>
      <c r="AJ12" s="3">
        <f t="shared" si="1"/>
        <v>479234085</v>
      </c>
    </row>
    <row r="13" spans="1:36" x14ac:dyDescent="0.3">
      <c r="A13" s="2" t="s">
        <v>76</v>
      </c>
      <c r="B13" s="3">
        <v>704964233</v>
      </c>
      <c r="AF13" s="2" t="s">
        <v>120</v>
      </c>
      <c r="AG13" s="6">
        <v>494064714</v>
      </c>
      <c r="AI13" t="str">
        <f t="shared" si="0"/>
        <v>Maharashtra</v>
      </c>
      <c r="AJ13" s="3">
        <f t="shared" si="1"/>
        <v>494064714</v>
      </c>
    </row>
    <row r="14" spans="1:36" x14ac:dyDescent="0.3">
      <c r="A14" s="2" t="s">
        <v>24</v>
      </c>
      <c r="B14" s="3">
        <v>612292827</v>
      </c>
      <c r="AF14" s="2" t="s">
        <v>35</v>
      </c>
      <c r="AG14" s="6">
        <v>458642402</v>
      </c>
      <c r="AI14" t="str">
        <f t="shared" si="0"/>
        <v>Odisha</v>
      </c>
      <c r="AJ14" s="3">
        <f t="shared" si="1"/>
        <v>458642402</v>
      </c>
    </row>
    <row r="15" spans="1:36" x14ac:dyDescent="0.3">
      <c r="A15" s="2" t="s">
        <v>43</v>
      </c>
      <c r="B15" s="3">
        <v>604064531</v>
      </c>
      <c r="AF15" s="2" t="s">
        <v>92</v>
      </c>
      <c r="AG15" s="6">
        <v>494657773</v>
      </c>
      <c r="AI15" t="str">
        <f t="shared" si="0"/>
        <v>Punjab</v>
      </c>
      <c r="AJ15" s="3">
        <f t="shared" si="1"/>
        <v>494657773</v>
      </c>
    </row>
    <row r="16" spans="1:36" x14ac:dyDescent="0.3">
      <c r="A16" s="2" t="s">
        <v>725</v>
      </c>
      <c r="B16" s="6">
        <v>7587620124</v>
      </c>
      <c r="AF16" s="2" t="s">
        <v>104</v>
      </c>
      <c r="AG16" s="6">
        <v>482969822</v>
      </c>
      <c r="AI16" t="str">
        <f t="shared" si="0"/>
        <v>Rajasthan</v>
      </c>
      <c r="AJ16" s="3">
        <f t="shared" si="1"/>
        <v>482969822</v>
      </c>
    </row>
    <row r="17" spans="32:36" x14ac:dyDescent="0.3">
      <c r="AF17" s="2" t="s">
        <v>26</v>
      </c>
      <c r="AG17" s="6">
        <v>491095305</v>
      </c>
      <c r="AI17" t="str">
        <f t="shared" si="0"/>
        <v>Tamil Nadu</v>
      </c>
      <c r="AJ17" s="3">
        <f t="shared" si="1"/>
        <v>491095305</v>
      </c>
    </row>
    <row r="18" spans="32:36" x14ac:dyDescent="0.3">
      <c r="AF18" s="2" t="s">
        <v>77</v>
      </c>
      <c r="AG18" s="6">
        <v>469289168</v>
      </c>
      <c r="AI18" t="str">
        <f t="shared" si="0"/>
        <v>Telangana</v>
      </c>
      <c r="AJ18" s="3">
        <f t="shared" si="1"/>
        <v>469289168</v>
      </c>
    </row>
    <row r="19" spans="32:36" x14ac:dyDescent="0.3">
      <c r="AF19" s="2" t="s">
        <v>70</v>
      </c>
      <c r="AG19" s="6">
        <v>431904269</v>
      </c>
      <c r="AI19" t="str">
        <f t="shared" si="0"/>
        <v>UP</v>
      </c>
      <c r="AJ19" s="3">
        <f t="shared" si="1"/>
        <v>431904269</v>
      </c>
    </row>
    <row r="20" spans="32:36" x14ac:dyDescent="0.3">
      <c r="AF20" s="2" t="s">
        <v>107</v>
      </c>
      <c r="AG20" s="6">
        <v>471503046</v>
      </c>
      <c r="AI20" t="str">
        <f t="shared" si="0"/>
        <v>West Bengal</v>
      </c>
      <c r="AJ20" s="3">
        <f t="shared" si="1"/>
        <v>471503046</v>
      </c>
    </row>
    <row r="21" spans="32:36" x14ac:dyDescent="0.3">
      <c r="AF21" s="2" t="s">
        <v>725</v>
      </c>
      <c r="AG21" s="6">
        <v>7587620124</v>
      </c>
    </row>
    <row r="36" spans="31:32" x14ac:dyDescent="0.3">
      <c r="AE36" s="1" t="s">
        <v>724</v>
      </c>
      <c r="AF36" t="s">
        <v>733</v>
      </c>
    </row>
    <row r="37" spans="31:32" x14ac:dyDescent="0.3">
      <c r="AE37" s="2" t="s">
        <v>47</v>
      </c>
      <c r="AF37" s="4">
        <v>1.4464705882352924</v>
      </c>
    </row>
    <row r="38" spans="31:32" x14ac:dyDescent="0.3">
      <c r="AE38" s="2" t="s">
        <v>100</v>
      </c>
      <c r="AF38" s="4">
        <v>1.4436708860759484</v>
      </c>
    </row>
    <row r="39" spans="31:32" x14ac:dyDescent="0.3">
      <c r="AE39" s="2" t="s">
        <v>37</v>
      </c>
      <c r="AF39" s="4">
        <v>1.4718518518518511</v>
      </c>
    </row>
    <row r="40" spans="31:32" x14ac:dyDescent="0.3">
      <c r="AE40" s="2" t="s">
        <v>52</v>
      </c>
      <c r="AF40" s="4">
        <v>1.4370786516853917</v>
      </c>
    </row>
    <row r="41" spans="31:32" x14ac:dyDescent="0.3">
      <c r="AE41" s="2" t="s">
        <v>54</v>
      </c>
      <c r="AF41" s="4">
        <v>1.4381578947368414</v>
      </c>
    </row>
    <row r="42" spans="31:32" x14ac:dyDescent="0.3">
      <c r="AE42" s="2" t="s">
        <v>725</v>
      </c>
      <c r="AF42" s="4">
        <v>1.4465321563682272</v>
      </c>
    </row>
    <row r="66" spans="30:34" x14ac:dyDescent="0.3">
      <c r="AD66" s="1" t="s">
        <v>724</v>
      </c>
      <c r="AE66" t="s">
        <v>734</v>
      </c>
    </row>
    <row r="67" spans="30:34" x14ac:dyDescent="0.3">
      <c r="AD67" s="2" t="s">
        <v>47</v>
      </c>
      <c r="AE67" s="4">
        <v>20.070588235294117</v>
      </c>
      <c r="AG67" t="s">
        <v>735</v>
      </c>
      <c r="AH67" t="s">
        <v>736</v>
      </c>
    </row>
    <row r="68" spans="30:34" x14ac:dyDescent="0.3">
      <c r="AD68" s="2" t="s">
        <v>100</v>
      </c>
      <c r="AE68" s="4">
        <v>20.215189873417721</v>
      </c>
      <c r="AG68" t="str">
        <f>AD67</f>
        <v>Baleno</v>
      </c>
      <c r="AH68" s="4">
        <f>GETPIVOTDATA("Mileage_KM",$AD$66,"Car_Model",AD67)</f>
        <v>20.070588235294117</v>
      </c>
    </row>
    <row r="69" spans="30:34" x14ac:dyDescent="0.3">
      <c r="AD69" s="2" t="s">
        <v>37</v>
      </c>
      <c r="AE69" s="4">
        <v>19.777777777777779</v>
      </c>
      <c r="AG69" t="str">
        <f t="shared" ref="AG69:AG76" si="2">AD68</f>
        <v>Brezza</v>
      </c>
      <c r="AH69" s="4">
        <f t="shared" ref="AH69:AH77" si="3">GETPIVOTDATA("Mileage_KM",$AD$66,"Car_Model",AD68)</f>
        <v>20.215189873417721</v>
      </c>
    </row>
    <row r="70" spans="30:34" x14ac:dyDescent="0.3">
      <c r="AD70" s="2" t="s">
        <v>21</v>
      </c>
      <c r="AE70" s="4">
        <v>19.928143712574851</v>
      </c>
      <c r="AG70" t="str">
        <f t="shared" si="2"/>
        <v>City</v>
      </c>
      <c r="AH70" s="4">
        <f t="shared" si="3"/>
        <v>19.777777777777779</v>
      </c>
    </row>
    <row r="71" spans="30:34" x14ac:dyDescent="0.3">
      <c r="AD71" s="2" t="s">
        <v>56</v>
      </c>
      <c r="AE71" s="4">
        <v>20.094674556213018</v>
      </c>
      <c r="AG71" t="str">
        <f t="shared" si="2"/>
        <v>Creta</v>
      </c>
      <c r="AH71" s="4">
        <f t="shared" si="3"/>
        <v>19.928143712574851</v>
      </c>
    </row>
    <row r="72" spans="30:34" x14ac:dyDescent="0.3">
      <c r="AD72" s="2" t="s">
        <v>52</v>
      </c>
      <c r="AE72" s="4">
        <v>19.539325842696631</v>
      </c>
      <c r="AG72" t="str">
        <f t="shared" si="2"/>
        <v>i20</v>
      </c>
      <c r="AH72" s="4">
        <f t="shared" si="3"/>
        <v>20.094674556213018</v>
      </c>
    </row>
    <row r="73" spans="30:34" x14ac:dyDescent="0.3">
      <c r="AD73" s="2" t="s">
        <v>79</v>
      </c>
      <c r="AE73" s="4">
        <v>19.987012987012989</v>
      </c>
      <c r="AG73" t="str">
        <f t="shared" si="2"/>
        <v>Nexon</v>
      </c>
      <c r="AH73" s="4">
        <f t="shared" si="3"/>
        <v>19.539325842696631</v>
      </c>
    </row>
    <row r="74" spans="30:34" x14ac:dyDescent="0.3">
      <c r="AD74" s="2" t="s">
        <v>63</v>
      </c>
      <c r="AE74" s="4">
        <v>19.761006289308177</v>
      </c>
      <c r="AG74" t="str">
        <f t="shared" si="2"/>
        <v>Polo</v>
      </c>
      <c r="AH74" s="4">
        <f t="shared" si="3"/>
        <v>19.987012987012989</v>
      </c>
    </row>
    <row r="75" spans="30:34" x14ac:dyDescent="0.3">
      <c r="AD75" s="2" t="s">
        <v>54</v>
      </c>
      <c r="AE75" s="4">
        <v>19.94736842105263</v>
      </c>
      <c r="AG75" t="str">
        <f t="shared" si="2"/>
        <v>Scorpio</v>
      </c>
      <c r="AH75" s="4">
        <f t="shared" si="3"/>
        <v>19.761006289308177</v>
      </c>
    </row>
    <row r="76" spans="30:34" x14ac:dyDescent="0.3">
      <c r="AD76" s="2" t="s">
        <v>31</v>
      </c>
      <c r="AE76" s="4">
        <v>19.537974683544302</v>
      </c>
      <c r="AG76" t="str">
        <f t="shared" si="2"/>
        <v>Swift</v>
      </c>
      <c r="AH76" s="4">
        <f t="shared" si="3"/>
        <v>19.94736842105263</v>
      </c>
    </row>
    <row r="77" spans="30:34" x14ac:dyDescent="0.3">
      <c r="AD77" s="2" t="s">
        <v>725</v>
      </c>
      <c r="AE77" s="4">
        <v>19.885625000000001</v>
      </c>
      <c r="AG77" t="str">
        <f>AD76</f>
        <v>Verna</v>
      </c>
      <c r="AH77" s="4">
        <f t="shared" si="3"/>
        <v>19.537974683544302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DE54-BFE0-4F23-BDE3-F0DA55F3DBAD}">
  <sheetPr>
    <tabColor rgb="FFFF8585"/>
  </sheetPr>
  <dimension ref="A1:X28"/>
  <sheetViews>
    <sheetView tabSelected="1" workbookViewId="0">
      <selection activeCell="M33" sqref="M33"/>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sheetData>
  <mergeCells count="1">
    <mergeCell ref="A1:X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F237F-A818-4295-9C07-A5F967A5C431}">
  <sheetPr>
    <tabColor rgb="FF006666"/>
  </sheetPr>
  <dimension ref="A3:L10"/>
  <sheetViews>
    <sheetView workbookViewId="0">
      <selection activeCell="J7" sqref="J7"/>
    </sheetView>
  </sheetViews>
  <sheetFormatPr defaultRowHeight="14.4" x14ac:dyDescent="0.3"/>
  <cols>
    <col min="1" max="1" width="17" bestFit="1" customWidth="1"/>
    <col min="4" max="4" width="16.21875" bestFit="1" customWidth="1"/>
    <col min="7" max="7" width="12.109375" bestFit="1" customWidth="1"/>
    <col min="10" max="10" width="16.5546875" bestFit="1" customWidth="1"/>
    <col min="12" max="12" width="11.109375" bestFit="1" customWidth="1"/>
  </cols>
  <sheetData>
    <row r="3" spans="1:12" x14ac:dyDescent="0.3">
      <c r="A3" t="s">
        <v>727</v>
      </c>
      <c r="D3" t="s">
        <v>728</v>
      </c>
      <c r="G3" t="s">
        <v>732</v>
      </c>
      <c r="J3" t="s">
        <v>726</v>
      </c>
      <c r="L3" t="s">
        <v>737</v>
      </c>
    </row>
    <row r="4" spans="1:12" x14ac:dyDescent="0.3">
      <c r="A4" s="6">
        <v>7587620124</v>
      </c>
      <c r="D4" s="6">
        <v>1683763378</v>
      </c>
      <c r="G4" s="6">
        <v>1319045549</v>
      </c>
      <c r="J4" s="6">
        <v>7163</v>
      </c>
      <c r="L4" s="6">
        <v>6268574575</v>
      </c>
    </row>
    <row r="6" spans="1:12" x14ac:dyDescent="0.3">
      <c r="A6" s="3">
        <f>GETPIVOTDATA("Total_Sales",$A$3)</f>
        <v>7587620124</v>
      </c>
      <c r="D6" s="3">
        <f>GETPIVOTDATA("Unit_Price",$D$3)</f>
        <v>1683763378</v>
      </c>
      <c r="G6" s="3">
        <f>GETPIVOTDATA("Profit",$G$3)</f>
        <v>1319045549</v>
      </c>
      <c r="J6">
        <f>GETPIVOTDATA("Units_Sold",$J$3)</f>
        <v>7163</v>
      </c>
      <c r="L6" s="3">
        <f>GETPIVOTDATA("Cost",$L$3)</f>
        <v>6268574575</v>
      </c>
    </row>
    <row r="10" spans="1:12" x14ac:dyDescent="0.3">
      <c r="D1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P1601"/>
  <sheetViews>
    <sheetView zoomScale="121" workbookViewId="0">
      <selection activeCell="R7" sqref="R7"/>
    </sheetView>
  </sheetViews>
  <sheetFormatPr defaultRowHeight="14.4" x14ac:dyDescent="0.3"/>
  <cols>
    <col min="1" max="1" width="10.21875" customWidth="1"/>
    <col min="2" max="2" width="10.33203125" bestFit="1" customWidth="1"/>
    <col min="3" max="3" width="6.109375" customWidth="1"/>
    <col min="4" max="4" width="8.21875" customWidth="1"/>
    <col min="5" max="5" width="8.109375" customWidth="1"/>
    <col min="6" max="6" width="11.44140625" bestFit="1" customWidth="1"/>
    <col min="7" max="7" width="12.44140625" customWidth="1"/>
    <col min="8" max="8" width="11.6640625" customWidth="1"/>
    <col min="9" max="9" width="9.88671875" customWidth="1"/>
    <col min="10" max="10" width="12.21875" customWidth="1"/>
    <col min="11" max="11" width="12.88671875" customWidth="1"/>
    <col min="12" max="12" width="11.33203125" customWidth="1"/>
    <col min="13" max="13" width="11.109375" customWidth="1"/>
    <col min="14" max="14" width="11.88671875" customWidth="1"/>
    <col min="15" max="15" width="9" bestFit="1" customWidth="1"/>
    <col min="16" max="16" width="8"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1001</v>
      </c>
      <c r="B2" t="s">
        <v>16</v>
      </c>
      <c r="C2">
        <v>2024</v>
      </c>
      <c r="D2" t="s">
        <v>17</v>
      </c>
      <c r="E2" t="s">
        <v>18</v>
      </c>
      <c r="F2" t="s">
        <v>19</v>
      </c>
      <c r="G2" t="s">
        <v>20</v>
      </c>
      <c r="H2" t="s">
        <v>21</v>
      </c>
      <c r="I2" t="s">
        <v>22</v>
      </c>
      <c r="J2">
        <v>1</v>
      </c>
      <c r="K2">
        <v>18</v>
      </c>
      <c r="L2">
        <v>4</v>
      </c>
      <c r="M2">
        <v>1098213</v>
      </c>
      <c r="N2">
        <v>4392852</v>
      </c>
      <c r="O2">
        <v>3623062</v>
      </c>
      <c r="P2">
        <v>769790</v>
      </c>
    </row>
    <row r="3" spans="1:16" x14ac:dyDescent="0.3">
      <c r="A3">
        <v>1002</v>
      </c>
      <c r="B3" t="s">
        <v>23</v>
      </c>
      <c r="C3">
        <v>2023</v>
      </c>
      <c r="D3" t="s">
        <v>24</v>
      </c>
      <c r="E3" t="s">
        <v>25</v>
      </c>
      <c r="F3" t="s">
        <v>26</v>
      </c>
      <c r="G3" t="s">
        <v>27</v>
      </c>
      <c r="H3" t="s">
        <v>21</v>
      </c>
      <c r="I3" t="s">
        <v>22</v>
      </c>
      <c r="J3">
        <v>1.5</v>
      </c>
      <c r="K3">
        <v>20</v>
      </c>
      <c r="L3">
        <v>6</v>
      </c>
      <c r="M3">
        <v>898296</v>
      </c>
      <c r="N3">
        <v>5389776</v>
      </c>
      <c r="O3">
        <v>4102553</v>
      </c>
      <c r="P3">
        <v>1287223</v>
      </c>
    </row>
    <row r="4" spans="1:16" x14ac:dyDescent="0.3">
      <c r="A4">
        <v>1003</v>
      </c>
      <c r="B4" t="s">
        <v>28</v>
      </c>
      <c r="C4">
        <v>2024</v>
      </c>
      <c r="D4" t="s">
        <v>29</v>
      </c>
      <c r="E4" t="s">
        <v>18</v>
      </c>
      <c r="F4" t="s">
        <v>19</v>
      </c>
      <c r="G4" t="s">
        <v>30</v>
      </c>
      <c r="H4" t="s">
        <v>31</v>
      </c>
      <c r="I4" t="s">
        <v>32</v>
      </c>
      <c r="J4">
        <v>1</v>
      </c>
      <c r="K4">
        <v>20</v>
      </c>
      <c r="L4">
        <v>1</v>
      </c>
      <c r="M4">
        <v>1490635</v>
      </c>
      <c r="N4">
        <v>1490635</v>
      </c>
      <c r="O4">
        <v>1294563</v>
      </c>
      <c r="P4">
        <v>196072</v>
      </c>
    </row>
    <row r="5" spans="1:16" x14ac:dyDescent="0.3">
      <c r="A5">
        <v>1004</v>
      </c>
      <c r="B5" t="s">
        <v>33</v>
      </c>
      <c r="C5">
        <v>2024</v>
      </c>
      <c r="D5" t="s">
        <v>34</v>
      </c>
      <c r="E5" t="s">
        <v>18</v>
      </c>
      <c r="F5" t="s">
        <v>35</v>
      </c>
      <c r="G5" t="s">
        <v>36</v>
      </c>
      <c r="H5" t="s">
        <v>37</v>
      </c>
      <c r="I5" t="s">
        <v>32</v>
      </c>
      <c r="J5">
        <v>1.5</v>
      </c>
      <c r="K5">
        <v>18</v>
      </c>
      <c r="L5">
        <v>8</v>
      </c>
      <c r="M5">
        <v>692047</v>
      </c>
      <c r="N5">
        <v>5536376</v>
      </c>
      <c r="O5">
        <v>4346658</v>
      </c>
      <c r="P5">
        <v>1189718</v>
      </c>
    </row>
    <row r="6" spans="1:16" x14ac:dyDescent="0.3">
      <c r="A6">
        <v>1005</v>
      </c>
      <c r="B6" t="s">
        <v>38</v>
      </c>
      <c r="C6">
        <v>2024</v>
      </c>
      <c r="D6" t="s">
        <v>39</v>
      </c>
      <c r="E6" t="s">
        <v>40</v>
      </c>
      <c r="F6" t="s">
        <v>41</v>
      </c>
      <c r="G6" t="s">
        <v>30</v>
      </c>
      <c r="H6" t="s">
        <v>21</v>
      </c>
      <c r="I6" t="s">
        <v>22</v>
      </c>
      <c r="J6">
        <v>1.2</v>
      </c>
      <c r="K6">
        <v>23</v>
      </c>
      <c r="L6">
        <v>2</v>
      </c>
      <c r="M6">
        <v>808119</v>
      </c>
      <c r="N6">
        <v>1616238</v>
      </c>
      <c r="O6">
        <v>1316491</v>
      </c>
      <c r="P6">
        <v>299747</v>
      </c>
    </row>
    <row r="7" spans="1:16" x14ac:dyDescent="0.3">
      <c r="A7">
        <v>1006</v>
      </c>
      <c r="B7" t="s">
        <v>42</v>
      </c>
      <c r="C7">
        <v>2023</v>
      </c>
      <c r="D7" t="s">
        <v>43</v>
      </c>
      <c r="E7" t="s">
        <v>44</v>
      </c>
      <c r="F7" t="s">
        <v>45</v>
      </c>
      <c r="G7" t="s">
        <v>46</v>
      </c>
      <c r="H7" t="s">
        <v>47</v>
      </c>
      <c r="I7" t="s">
        <v>48</v>
      </c>
      <c r="J7">
        <v>1.2</v>
      </c>
      <c r="K7">
        <v>18</v>
      </c>
      <c r="L7">
        <v>7</v>
      </c>
      <c r="M7">
        <v>1302287</v>
      </c>
      <c r="N7">
        <v>9116009</v>
      </c>
      <c r="O7">
        <v>6954956</v>
      </c>
      <c r="P7">
        <v>2161053</v>
      </c>
    </row>
    <row r="8" spans="1:16" x14ac:dyDescent="0.3">
      <c r="A8">
        <v>1007</v>
      </c>
      <c r="B8" t="s">
        <v>49</v>
      </c>
      <c r="C8">
        <v>2023</v>
      </c>
      <c r="D8" t="s">
        <v>50</v>
      </c>
      <c r="E8" t="s">
        <v>40</v>
      </c>
      <c r="F8" t="s">
        <v>41</v>
      </c>
      <c r="G8" t="s">
        <v>51</v>
      </c>
      <c r="H8" t="s">
        <v>52</v>
      </c>
      <c r="I8" t="s">
        <v>22</v>
      </c>
      <c r="J8">
        <v>1.5</v>
      </c>
      <c r="K8">
        <v>22</v>
      </c>
      <c r="L8">
        <v>1</v>
      </c>
      <c r="M8">
        <v>877367</v>
      </c>
      <c r="N8">
        <v>877367</v>
      </c>
      <c r="O8">
        <v>702057</v>
      </c>
      <c r="P8">
        <v>175310</v>
      </c>
    </row>
    <row r="9" spans="1:16" x14ac:dyDescent="0.3">
      <c r="A9">
        <v>1008</v>
      </c>
      <c r="B9" t="s">
        <v>53</v>
      </c>
      <c r="C9">
        <v>2023</v>
      </c>
      <c r="D9" t="s">
        <v>50</v>
      </c>
      <c r="E9" t="s">
        <v>18</v>
      </c>
      <c r="F9" t="s">
        <v>35</v>
      </c>
      <c r="G9" t="s">
        <v>51</v>
      </c>
      <c r="H9" t="s">
        <v>54</v>
      </c>
      <c r="I9" t="s">
        <v>48</v>
      </c>
      <c r="J9">
        <v>2</v>
      </c>
      <c r="K9">
        <v>23</v>
      </c>
      <c r="L9">
        <v>5</v>
      </c>
      <c r="M9">
        <v>1179059</v>
      </c>
      <c r="N9">
        <v>5895295</v>
      </c>
      <c r="O9">
        <v>5030626</v>
      </c>
      <c r="P9">
        <v>864669</v>
      </c>
    </row>
    <row r="10" spans="1:16" x14ac:dyDescent="0.3">
      <c r="A10">
        <v>1009</v>
      </c>
      <c r="B10" t="s">
        <v>55</v>
      </c>
      <c r="C10">
        <v>2023</v>
      </c>
      <c r="D10" t="s">
        <v>50</v>
      </c>
      <c r="E10" t="s">
        <v>44</v>
      </c>
      <c r="F10" t="s">
        <v>45</v>
      </c>
      <c r="G10" t="s">
        <v>30</v>
      </c>
      <c r="H10" t="s">
        <v>56</v>
      </c>
      <c r="I10" t="s">
        <v>48</v>
      </c>
      <c r="J10">
        <v>1</v>
      </c>
      <c r="K10">
        <v>22</v>
      </c>
      <c r="L10">
        <v>8</v>
      </c>
      <c r="M10">
        <v>787411</v>
      </c>
      <c r="N10">
        <v>6299288</v>
      </c>
      <c r="O10">
        <v>5046212</v>
      </c>
      <c r="P10">
        <v>1253076</v>
      </c>
    </row>
    <row r="11" spans="1:16" x14ac:dyDescent="0.3">
      <c r="A11">
        <v>1010</v>
      </c>
      <c r="B11" t="s">
        <v>57</v>
      </c>
      <c r="C11">
        <v>2024</v>
      </c>
      <c r="D11" t="s">
        <v>34</v>
      </c>
      <c r="E11" t="s">
        <v>25</v>
      </c>
      <c r="F11" t="s">
        <v>58</v>
      </c>
      <c r="G11" t="s">
        <v>59</v>
      </c>
      <c r="H11" t="s">
        <v>21</v>
      </c>
      <c r="I11" t="s">
        <v>22</v>
      </c>
      <c r="J11">
        <v>1</v>
      </c>
      <c r="K11">
        <v>23</v>
      </c>
      <c r="L11">
        <v>8</v>
      </c>
      <c r="M11">
        <v>1053403</v>
      </c>
      <c r="N11">
        <v>8427224</v>
      </c>
      <c r="O11">
        <v>6392787</v>
      </c>
      <c r="P11">
        <v>2034437</v>
      </c>
    </row>
    <row r="12" spans="1:16" x14ac:dyDescent="0.3">
      <c r="A12">
        <v>1011</v>
      </c>
      <c r="B12" t="s">
        <v>60</v>
      </c>
      <c r="C12">
        <v>2024</v>
      </c>
      <c r="D12" t="s">
        <v>61</v>
      </c>
      <c r="E12" t="s">
        <v>44</v>
      </c>
      <c r="F12" t="s">
        <v>62</v>
      </c>
      <c r="G12" t="s">
        <v>36</v>
      </c>
      <c r="H12" t="s">
        <v>63</v>
      </c>
      <c r="I12" t="s">
        <v>22</v>
      </c>
      <c r="J12">
        <v>2</v>
      </c>
      <c r="K12">
        <v>22</v>
      </c>
      <c r="L12">
        <v>2</v>
      </c>
      <c r="M12">
        <v>814453</v>
      </c>
      <c r="N12">
        <v>1628906</v>
      </c>
      <c r="O12">
        <v>1381413</v>
      </c>
      <c r="P12">
        <v>247493</v>
      </c>
    </row>
    <row r="13" spans="1:16" x14ac:dyDescent="0.3">
      <c r="A13">
        <v>1012</v>
      </c>
      <c r="B13" t="s">
        <v>64</v>
      </c>
      <c r="C13">
        <v>2023</v>
      </c>
      <c r="D13" t="s">
        <v>61</v>
      </c>
      <c r="E13" t="s">
        <v>18</v>
      </c>
      <c r="F13" t="s">
        <v>35</v>
      </c>
      <c r="G13" t="s">
        <v>20</v>
      </c>
      <c r="H13" t="s">
        <v>63</v>
      </c>
      <c r="I13" t="s">
        <v>22</v>
      </c>
      <c r="J13">
        <v>1.2</v>
      </c>
      <c r="K13">
        <v>22</v>
      </c>
      <c r="L13">
        <v>1</v>
      </c>
      <c r="M13">
        <v>1240623</v>
      </c>
      <c r="N13">
        <v>1240623</v>
      </c>
      <c r="O13">
        <v>935504</v>
      </c>
      <c r="P13">
        <v>305119</v>
      </c>
    </row>
    <row r="14" spans="1:16" x14ac:dyDescent="0.3">
      <c r="A14">
        <v>1013</v>
      </c>
      <c r="B14" t="s">
        <v>65</v>
      </c>
      <c r="C14">
        <v>2023</v>
      </c>
      <c r="D14" t="s">
        <v>17</v>
      </c>
      <c r="E14" t="s">
        <v>44</v>
      </c>
      <c r="F14" t="s">
        <v>62</v>
      </c>
      <c r="G14" t="s">
        <v>30</v>
      </c>
      <c r="H14" t="s">
        <v>37</v>
      </c>
      <c r="I14" t="s">
        <v>32</v>
      </c>
      <c r="J14">
        <v>1.5</v>
      </c>
      <c r="K14">
        <v>18</v>
      </c>
      <c r="L14">
        <v>4</v>
      </c>
      <c r="M14">
        <v>1439368</v>
      </c>
      <c r="N14">
        <v>5757472</v>
      </c>
      <c r="O14">
        <v>4463339</v>
      </c>
      <c r="P14">
        <v>1294133</v>
      </c>
    </row>
    <row r="15" spans="1:16" x14ac:dyDescent="0.3">
      <c r="A15">
        <v>1014</v>
      </c>
      <c r="B15" t="s">
        <v>66</v>
      </c>
      <c r="C15">
        <v>2023</v>
      </c>
      <c r="D15" t="s">
        <v>67</v>
      </c>
      <c r="E15" t="s">
        <v>40</v>
      </c>
      <c r="F15" t="s">
        <v>68</v>
      </c>
      <c r="G15" t="s">
        <v>27</v>
      </c>
      <c r="H15" t="s">
        <v>37</v>
      </c>
      <c r="I15" t="s">
        <v>32</v>
      </c>
      <c r="J15">
        <v>1.5</v>
      </c>
      <c r="K15">
        <v>16</v>
      </c>
      <c r="L15">
        <v>3</v>
      </c>
      <c r="M15">
        <v>750542</v>
      </c>
      <c r="N15">
        <v>2251626</v>
      </c>
      <c r="O15">
        <v>1839422</v>
      </c>
      <c r="P15">
        <v>412204</v>
      </c>
    </row>
    <row r="16" spans="1:16" x14ac:dyDescent="0.3">
      <c r="A16">
        <v>1015</v>
      </c>
      <c r="B16" t="s">
        <v>69</v>
      </c>
      <c r="C16">
        <v>2023</v>
      </c>
      <c r="D16" t="s">
        <v>24</v>
      </c>
      <c r="E16" t="s">
        <v>44</v>
      </c>
      <c r="F16" t="s">
        <v>70</v>
      </c>
      <c r="G16" t="s">
        <v>30</v>
      </c>
      <c r="H16" t="s">
        <v>63</v>
      </c>
      <c r="I16" t="s">
        <v>22</v>
      </c>
      <c r="J16">
        <v>2</v>
      </c>
      <c r="K16">
        <v>23</v>
      </c>
      <c r="L16">
        <v>1</v>
      </c>
      <c r="M16">
        <v>1166521</v>
      </c>
      <c r="N16">
        <v>1166521</v>
      </c>
      <c r="O16">
        <v>918462</v>
      </c>
      <c r="P16">
        <v>248059</v>
      </c>
    </row>
    <row r="17" spans="1:16" x14ac:dyDescent="0.3">
      <c r="A17">
        <v>1016</v>
      </c>
      <c r="B17" t="s">
        <v>71</v>
      </c>
      <c r="C17">
        <v>2023</v>
      </c>
      <c r="D17" t="s">
        <v>24</v>
      </c>
      <c r="E17" t="s">
        <v>18</v>
      </c>
      <c r="F17" t="s">
        <v>72</v>
      </c>
      <c r="G17" t="s">
        <v>27</v>
      </c>
      <c r="H17" t="s">
        <v>54</v>
      </c>
      <c r="I17" t="s">
        <v>48</v>
      </c>
      <c r="J17">
        <v>1.5</v>
      </c>
      <c r="K17">
        <v>21</v>
      </c>
      <c r="L17">
        <v>6</v>
      </c>
      <c r="M17">
        <v>819304</v>
      </c>
      <c r="N17">
        <v>4915824</v>
      </c>
      <c r="O17">
        <v>4351343</v>
      </c>
      <c r="P17">
        <v>564481</v>
      </c>
    </row>
    <row r="18" spans="1:16" x14ac:dyDescent="0.3">
      <c r="A18">
        <v>1017</v>
      </c>
      <c r="B18" t="s">
        <v>73</v>
      </c>
      <c r="C18">
        <v>2024</v>
      </c>
      <c r="D18" t="s">
        <v>74</v>
      </c>
      <c r="E18" t="s">
        <v>40</v>
      </c>
      <c r="F18" t="s">
        <v>68</v>
      </c>
      <c r="G18" t="s">
        <v>20</v>
      </c>
      <c r="H18" t="s">
        <v>63</v>
      </c>
      <c r="I18" t="s">
        <v>22</v>
      </c>
      <c r="J18">
        <v>1</v>
      </c>
      <c r="K18">
        <v>23</v>
      </c>
      <c r="L18">
        <v>6</v>
      </c>
      <c r="M18">
        <v>1224598</v>
      </c>
      <c r="N18">
        <v>7347588</v>
      </c>
      <c r="O18">
        <v>6141642</v>
      </c>
      <c r="P18">
        <v>1205946</v>
      </c>
    </row>
    <row r="19" spans="1:16" x14ac:dyDescent="0.3">
      <c r="A19">
        <v>1018</v>
      </c>
      <c r="B19" t="s">
        <v>75</v>
      </c>
      <c r="C19">
        <v>2023</v>
      </c>
      <c r="D19" t="s">
        <v>76</v>
      </c>
      <c r="E19" t="s">
        <v>25</v>
      </c>
      <c r="F19" t="s">
        <v>77</v>
      </c>
      <c r="G19" t="s">
        <v>59</v>
      </c>
      <c r="H19" t="s">
        <v>63</v>
      </c>
      <c r="I19" t="s">
        <v>22</v>
      </c>
      <c r="J19">
        <v>1.5</v>
      </c>
      <c r="K19">
        <v>22</v>
      </c>
      <c r="L19">
        <v>8</v>
      </c>
      <c r="M19">
        <v>1215463</v>
      </c>
      <c r="N19">
        <v>9723704</v>
      </c>
      <c r="O19">
        <v>8357832</v>
      </c>
      <c r="P19">
        <v>1365872</v>
      </c>
    </row>
    <row r="20" spans="1:16" x14ac:dyDescent="0.3">
      <c r="A20">
        <v>1019</v>
      </c>
      <c r="B20" t="s">
        <v>78</v>
      </c>
      <c r="C20">
        <v>2024</v>
      </c>
      <c r="D20" t="s">
        <v>67</v>
      </c>
      <c r="E20" t="s">
        <v>25</v>
      </c>
      <c r="F20" t="s">
        <v>26</v>
      </c>
      <c r="G20" t="s">
        <v>51</v>
      </c>
      <c r="H20" t="s">
        <v>79</v>
      </c>
      <c r="I20" t="s">
        <v>48</v>
      </c>
      <c r="J20">
        <v>1</v>
      </c>
      <c r="K20">
        <v>19</v>
      </c>
      <c r="L20">
        <v>7</v>
      </c>
      <c r="M20">
        <v>706261</v>
      </c>
      <c r="N20">
        <v>4943827</v>
      </c>
      <c r="O20">
        <v>4003752</v>
      </c>
      <c r="P20">
        <v>940075</v>
      </c>
    </row>
    <row r="21" spans="1:16" x14ac:dyDescent="0.3">
      <c r="A21">
        <v>1020</v>
      </c>
      <c r="B21" t="s">
        <v>80</v>
      </c>
      <c r="C21">
        <v>2024</v>
      </c>
      <c r="D21" t="s">
        <v>39</v>
      </c>
      <c r="E21" t="s">
        <v>25</v>
      </c>
      <c r="F21" t="s">
        <v>58</v>
      </c>
      <c r="G21" t="s">
        <v>59</v>
      </c>
      <c r="H21" t="s">
        <v>47</v>
      </c>
      <c r="I21" t="s">
        <v>48</v>
      </c>
      <c r="J21">
        <v>1.5</v>
      </c>
      <c r="K21">
        <v>19</v>
      </c>
      <c r="L21">
        <v>6</v>
      </c>
      <c r="M21">
        <v>1052894</v>
      </c>
      <c r="N21">
        <v>6317364</v>
      </c>
      <c r="O21">
        <v>5270495</v>
      </c>
      <c r="P21">
        <v>1046869</v>
      </c>
    </row>
    <row r="22" spans="1:16" x14ac:dyDescent="0.3">
      <c r="A22">
        <v>1021</v>
      </c>
      <c r="B22" t="s">
        <v>81</v>
      </c>
      <c r="C22">
        <v>2023</v>
      </c>
      <c r="D22" t="s">
        <v>74</v>
      </c>
      <c r="E22" t="s">
        <v>44</v>
      </c>
      <c r="F22" t="s">
        <v>45</v>
      </c>
      <c r="G22" t="s">
        <v>59</v>
      </c>
      <c r="H22" t="s">
        <v>52</v>
      </c>
      <c r="I22" t="s">
        <v>22</v>
      </c>
      <c r="J22">
        <v>2</v>
      </c>
      <c r="K22">
        <v>23</v>
      </c>
      <c r="L22">
        <v>1</v>
      </c>
      <c r="M22">
        <v>881075</v>
      </c>
      <c r="N22">
        <v>881075</v>
      </c>
      <c r="O22">
        <v>770509</v>
      </c>
      <c r="P22">
        <v>110566</v>
      </c>
    </row>
    <row r="23" spans="1:16" x14ac:dyDescent="0.3">
      <c r="A23">
        <v>1022</v>
      </c>
      <c r="B23" t="s">
        <v>82</v>
      </c>
      <c r="C23">
        <v>2024</v>
      </c>
      <c r="D23" t="s">
        <v>39</v>
      </c>
      <c r="E23" t="s">
        <v>44</v>
      </c>
      <c r="F23" t="s">
        <v>45</v>
      </c>
      <c r="G23" t="s">
        <v>46</v>
      </c>
      <c r="H23" t="s">
        <v>52</v>
      </c>
      <c r="I23" t="s">
        <v>22</v>
      </c>
      <c r="J23">
        <v>1</v>
      </c>
      <c r="K23">
        <v>16</v>
      </c>
      <c r="L23">
        <v>7</v>
      </c>
      <c r="M23">
        <v>820995</v>
      </c>
      <c r="N23">
        <v>5746965</v>
      </c>
      <c r="O23">
        <v>4337073</v>
      </c>
      <c r="P23">
        <v>1409892</v>
      </c>
    </row>
    <row r="24" spans="1:16" x14ac:dyDescent="0.3">
      <c r="A24">
        <v>1023</v>
      </c>
      <c r="B24" t="s">
        <v>83</v>
      </c>
      <c r="C24">
        <v>2024</v>
      </c>
      <c r="D24" t="s">
        <v>39</v>
      </c>
      <c r="E24" t="s">
        <v>25</v>
      </c>
      <c r="F24" t="s">
        <v>84</v>
      </c>
      <c r="G24" t="s">
        <v>36</v>
      </c>
      <c r="H24" t="s">
        <v>31</v>
      </c>
      <c r="I24" t="s">
        <v>32</v>
      </c>
      <c r="J24">
        <v>1.2</v>
      </c>
      <c r="K24">
        <v>20</v>
      </c>
      <c r="L24">
        <v>3</v>
      </c>
      <c r="M24">
        <v>1271000</v>
      </c>
      <c r="N24">
        <v>3813000</v>
      </c>
      <c r="O24">
        <v>3153511</v>
      </c>
      <c r="P24">
        <v>659489</v>
      </c>
    </row>
    <row r="25" spans="1:16" x14ac:dyDescent="0.3">
      <c r="A25">
        <v>1024</v>
      </c>
      <c r="B25" t="s">
        <v>85</v>
      </c>
      <c r="C25">
        <v>2023</v>
      </c>
      <c r="D25" t="s">
        <v>29</v>
      </c>
      <c r="E25" t="s">
        <v>44</v>
      </c>
      <c r="F25" t="s">
        <v>70</v>
      </c>
      <c r="G25" t="s">
        <v>30</v>
      </c>
      <c r="H25" t="s">
        <v>31</v>
      </c>
      <c r="I25" t="s">
        <v>32</v>
      </c>
      <c r="J25">
        <v>1.5</v>
      </c>
      <c r="K25">
        <v>23</v>
      </c>
      <c r="L25">
        <v>3</v>
      </c>
      <c r="M25">
        <v>1468549</v>
      </c>
      <c r="N25">
        <v>4405647</v>
      </c>
      <c r="O25">
        <v>3409045</v>
      </c>
      <c r="P25">
        <v>996602</v>
      </c>
    </row>
    <row r="26" spans="1:16" x14ac:dyDescent="0.3">
      <c r="A26">
        <v>1025</v>
      </c>
      <c r="B26" t="s">
        <v>86</v>
      </c>
      <c r="C26">
        <v>2024</v>
      </c>
      <c r="D26" t="s">
        <v>39</v>
      </c>
      <c r="E26" t="s">
        <v>18</v>
      </c>
      <c r="F26" t="s">
        <v>35</v>
      </c>
      <c r="G26" t="s">
        <v>27</v>
      </c>
      <c r="H26" t="s">
        <v>79</v>
      </c>
      <c r="I26" t="s">
        <v>48</v>
      </c>
      <c r="J26">
        <v>1.5</v>
      </c>
      <c r="K26">
        <v>21</v>
      </c>
      <c r="L26">
        <v>2</v>
      </c>
      <c r="M26">
        <v>941107</v>
      </c>
      <c r="N26">
        <v>1882214</v>
      </c>
      <c r="O26">
        <v>1690400</v>
      </c>
      <c r="P26">
        <v>191814</v>
      </c>
    </row>
    <row r="27" spans="1:16" x14ac:dyDescent="0.3">
      <c r="A27">
        <v>1026</v>
      </c>
      <c r="B27" t="s">
        <v>87</v>
      </c>
      <c r="C27">
        <v>2024</v>
      </c>
      <c r="D27" t="s">
        <v>67</v>
      </c>
      <c r="E27" t="s">
        <v>44</v>
      </c>
      <c r="F27" t="s">
        <v>70</v>
      </c>
      <c r="G27" t="s">
        <v>27</v>
      </c>
      <c r="H27" t="s">
        <v>37</v>
      </c>
      <c r="I27" t="s">
        <v>32</v>
      </c>
      <c r="J27">
        <v>1.5</v>
      </c>
      <c r="K27">
        <v>22</v>
      </c>
      <c r="L27">
        <v>4</v>
      </c>
      <c r="M27">
        <v>1066568</v>
      </c>
      <c r="N27">
        <v>4266272</v>
      </c>
      <c r="O27">
        <v>3469798</v>
      </c>
      <c r="P27">
        <v>796474</v>
      </c>
    </row>
    <row r="28" spans="1:16" x14ac:dyDescent="0.3">
      <c r="A28">
        <v>1027</v>
      </c>
      <c r="B28" t="s">
        <v>88</v>
      </c>
      <c r="C28">
        <v>2023</v>
      </c>
      <c r="D28" t="s">
        <v>34</v>
      </c>
      <c r="E28" t="s">
        <v>18</v>
      </c>
      <c r="F28" t="s">
        <v>19</v>
      </c>
      <c r="G28" t="s">
        <v>27</v>
      </c>
      <c r="H28" t="s">
        <v>56</v>
      </c>
      <c r="I28" t="s">
        <v>48</v>
      </c>
      <c r="J28">
        <v>1.5</v>
      </c>
      <c r="K28">
        <v>22</v>
      </c>
      <c r="L28">
        <v>2</v>
      </c>
      <c r="M28">
        <v>1156664</v>
      </c>
      <c r="N28">
        <v>2313328</v>
      </c>
      <c r="O28">
        <v>1980545</v>
      </c>
      <c r="P28">
        <v>332783</v>
      </c>
    </row>
    <row r="29" spans="1:16" x14ac:dyDescent="0.3">
      <c r="A29">
        <v>1028</v>
      </c>
      <c r="B29" t="s">
        <v>89</v>
      </c>
      <c r="C29">
        <v>2024</v>
      </c>
      <c r="D29" t="s">
        <v>43</v>
      </c>
      <c r="E29" t="s">
        <v>18</v>
      </c>
      <c r="F29" t="s">
        <v>72</v>
      </c>
      <c r="G29" t="s">
        <v>90</v>
      </c>
      <c r="H29" t="s">
        <v>56</v>
      </c>
      <c r="I29" t="s">
        <v>48</v>
      </c>
      <c r="J29">
        <v>1.2</v>
      </c>
      <c r="K29">
        <v>22</v>
      </c>
      <c r="L29">
        <v>2</v>
      </c>
      <c r="M29">
        <v>725293</v>
      </c>
      <c r="N29">
        <v>1450586</v>
      </c>
      <c r="O29">
        <v>1185030</v>
      </c>
      <c r="P29">
        <v>265556</v>
      </c>
    </row>
    <row r="30" spans="1:16" x14ac:dyDescent="0.3">
      <c r="A30">
        <v>1029</v>
      </c>
      <c r="B30" t="s">
        <v>91</v>
      </c>
      <c r="C30">
        <v>2024</v>
      </c>
      <c r="D30" t="s">
        <v>39</v>
      </c>
      <c r="E30" t="s">
        <v>44</v>
      </c>
      <c r="F30" t="s">
        <v>92</v>
      </c>
      <c r="G30" t="s">
        <v>90</v>
      </c>
      <c r="H30" t="s">
        <v>37</v>
      </c>
      <c r="I30" t="s">
        <v>32</v>
      </c>
      <c r="J30">
        <v>2</v>
      </c>
      <c r="K30">
        <v>19</v>
      </c>
      <c r="L30">
        <v>7</v>
      </c>
      <c r="M30">
        <v>1133688</v>
      </c>
      <c r="N30">
        <v>7935816</v>
      </c>
      <c r="O30">
        <v>6245873</v>
      </c>
      <c r="P30">
        <v>1689943</v>
      </c>
    </row>
    <row r="31" spans="1:16" x14ac:dyDescent="0.3">
      <c r="A31">
        <v>1030</v>
      </c>
      <c r="B31" t="s">
        <v>93</v>
      </c>
      <c r="C31">
        <v>2023</v>
      </c>
      <c r="D31" t="s">
        <v>34</v>
      </c>
      <c r="E31" t="s">
        <v>18</v>
      </c>
      <c r="F31" t="s">
        <v>72</v>
      </c>
      <c r="G31" t="s">
        <v>59</v>
      </c>
      <c r="H31" t="s">
        <v>21</v>
      </c>
      <c r="I31" t="s">
        <v>22</v>
      </c>
      <c r="J31">
        <v>1.5</v>
      </c>
      <c r="K31">
        <v>16</v>
      </c>
      <c r="L31">
        <v>5</v>
      </c>
      <c r="M31">
        <v>682821</v>
      </c>
      <c r="N31">
        <v>3414105</v>
      </c>
      <c r="O31">
        <v>2939663</v>
      </c>
      <c r="P31">
        <v>474442</v>
      </c>
    </row>
    <row r="32" spans="1:16" x14ac:dyDescent="0.3">
      <c r="A32">
        <v>1031</v>
      </c>
      <c r="B32" t="s">
        <v>94</v>
      </c>
      <c r="C32">
        <v>2024</v>
      </c>
      <c r="D32" t="s">
        <v>43</v>
      </c>
      <c r="E32" t="s">
        <v>25</v>
      </c>
      <c r="F32" t="s">
        <v>26</v>
      </c>
      <c r="G32" t="s">
        <v>27</v>
      </c>
      <c r="H32" t="s">
        <v>47</v>
      </c>
      <c r="I32" t="s">
        <v>48</v>
      </c>
      <c r="J32">
        <v>1.5</v>
      </c>
      <c r="K32">
        <v>20</v>
      </c>
      <c r="L32">
        <v>5</v>
      </c>
      <c r="M32">
        <v>1457170</v>
      </c>
      <c r="N32">
        <v>7285850</v>
      </c>
      <c r="O32">
        <v>5838856</v>
      </c>
      <c r="P32">
        <v>1446994</v>
      </c>
    </row>
    <row r="33" spans="1:16" x14ac:dyDescent="0.3">
      <c r="A33">
        <v>1032</v>
      </c>
      <c r="B33" t="s">
        <v>95</v>
      </c>
      <c r="C33">
        <v>2023</v>
      </c>
      <c r="D33" t="s">
        <v>29</v>
      </c>
      <c r="E33" t="s">
        <v>44</v>
      </c>
      <c r="F33" t="s">
        <v>45</v>
      </c>
      <c r="G33" t="s">
        <v>30</v>
      </c>
      <c r="H33" t="s">
        <v>21</v>
      </c>
      <c r="I33" t="s">
        <v>22</v>
      </c>
      <c r="J33">
        <v>1</v>
      </c>
      <c r="K33">
        <v>22</v>
      </c>
      <c r="L33">
        <v>1</v>
      </c>
      <c r="M33">
        <v>1488140</v>
      </c>
      <c r="N33">
        <v>1488140</v>
      </c>
      <c r="O33">
        <v>1311702</v>
      </c>
      <c r="P33">
        <v>176438</v>
      </c>
    </row>
    <row r="34" spans="1:16" x14ac:dyDescent="0.3">
      <c r="A34">
        <v>1033</v>
      </c>
      <c r="B34" t="s">
        <v>96</v>
      </c>
      <c r="C34">
        <v>2024</v>
      </c>
      <c r="D34" t="s">
        <v>97</v>
      </c>
      <c r="E34" t="s">
        <v>44</v>
      </c>
      <c r="F34" t="s">
        <v>92</v>
      </c>
      <c r="G34" t="s">
        <v>90</v>
      </c>
      <c r="H34" t="s">
        <v>63</v>
      </c>
      <c r="I34" t="s">
        <v>22</v>
      </c>
      <c r="J34">
        <v>1.2</v>
      </c>
      <c r="K34">
        <v>22</v>
      </c>
      <c r="L34">
        <v>3</v>
      </c>
      <c r="M34">
        <v>801992</v>
      </c>
      <c r="N34">
        <v>2405976</v>
      </c>
      <c r="O34">
        <v>1960221</v>
      </c>
      <c r="P34">
        <v>445755</v>
      </c>
    </row>
    <row r="35" spans="1:16" x14ac:dyDescent="0.3">
      <c r="A35">
        <v>1034</v>
      </c>
      <c r="B35" t="s">
        <v>98</v>
      </c>
      <c r="C35">
        <v>2024</v>
      </c>
      <c r="D35" t="s">
        <v>74</v>
      </c>
      <c r="E35" t="s">
        <v>44</v>
      </c>
      <c r="F35" t="s">
        <v>45</v>
      </c>
      <c r="G35" t="s">
        <v>36</v>
      </c>
      <c r="H35" t="s">
        <v>47</v>
      </c>
      <c r="I35" t="s">
        <v>48</v>
      </c>
      <c r="J35">
        <v>1</v>
      </c>
      <c r="K35">
        <v>19</v>
      </c>
      <c r="L35">
        <v>4</v>
      </c>
      <c r="M35">
        <v>1041608</v>
      </c>
      <c r="N35">
        <v>4166432</v>
      </c>
      <c r="O35">
        <v>3717965</v>
      </c>
      <c r="P35">
        <v>448467</v>
      </c>
    </row>
    <row r="36" spans="1:16" x14ac:dyDescent="0.3">
      <c r="A36">
        <v>1035</v>
      </c>
      <c r="B36" t="s">
        <v>99</v>
      </c>
      <c r="C36">
        <v>2024</v>
      </c>
      <c r="D36" t="s">
        <v>74</v>
      </c>
      <c r="E36" t="s">
        <v>18</v>
      </c>
      <c r="F36" t="s">
        <v>72</v>
      </c>
      <c r="G36" t="s">
        <v>20</v>
      </c>
      <c r="H36" t="s">
        <v>100</v>
      </c>
      <c r="I36" t="s">
        <v>22</v>
      </c>
      <c r="J36">
        <v>1.5</v>
      </c>
      <c r="K36">
        <v>18</v>
      </c>
      <c r="L36">
        <v>7</v>
      </c>
      <c r="M36">
        <v>1272312</v>
      </c>
      <c r="N36">
        <v>8906184</v>
      </c>
      <c r="O36">
        <v>7235483</v>
      </c>
      <c r="P36">
        <v>1670701</v>
      </c>
    </row>
    <row r="37" spans="1:16" x14ac:dyDescent="0.3">
      <c r="A37">
        <v>1036</v>
      </c>
      <c r="B37" t="s">
        <v>101</v>
      </c>
      <c r="C37">
        <v>2024</v>
      </c>
      <c r="D37" t="s">
        <v>17</v>
      </c>
      <c r="E37" t="s">
        <v>18</v>
      </c>
      <c r="F37" t="s">
        <v>19</v>
      </c>
      <c r="G37" t="s">
        <v>46</v>
      </c>
      <c r="H37" t="s">
        <v>100</v>
      </c>
      <c r="I37" t="s">
        <v>22</v>
      </c>
      <c r="J37">
        <v>1.5</v>
      </c>
      <c r="K37">
        <v>16</v>
      </c>
      <c r="L37">
        <v>3</v>
      </c>
      <c r="M37">
        <v>1054995</v>
      </c>
      <c r="N37">
        <v>3164985</v>
      </c>
      <c r="O37">
        <v>2699192</v>
      </c>
      <c r="P37">
        <v>465793</v>
      </c>
    </row>
    <row r="38" spans="1:16" x14ac:dyDescent="0.3">
      <c r="A38">
        <v>1037</v>
      </c>
      <c r="B38" t="s">
        <v>102</v>
      </c>
      <c r="C38">
        <v>2023</v>
      </c>
      <c r="D38" t="s">
        <v>29</v>
      </c>
      <c r="E38" t="s">
        <v>40</v>
      </c>
      <c r="F38" t="s">
        <v>68</v>
      </c>
      <c r="G38" t="s">
        <v>59</v>
      </c>
      <c r="H38" t="s">
        <v>54</v>
      </c>
      <c r="I38" t="s">
        <v>48</v>
      </c>
      <c r="J38">
        <v>1</v>
      </c>
      <c r="K38">
        <v>23</v>
      </c>
      <c r="L38">
        <v>2</v>
      </c>
      <c r="M38">
        <v>756914</v>
      </c>
      <c r="N38">
        <v>1513828</v>
      </c>
      <c r="O38">
        <v>1301818</v>
      </c>
      <c r="P38">
        <v>212010</v>
      </c>
    </row>
    <row r="39" spans="1:16" x14ac:dyDescent="0.3">
      <c r="A39">
        <v>1038</v>
      </c>
      <c r="B39" t="s">
        <v>103</v>
      </c>
      <c r="C39">
        <v>2023</v>
      </c>
      <c r="D39" t="s">
        <v>17</v>
      </c>
      <c r="E39" t="s">
        <v>40</v>
      </c>
      <c r="F39" t="s">
        <v>104</v>
      </c>
      <c r="G39" t="s">
        <v>30</v>
      </c>
      <c r="H39" t="s">
        <v>37</v>
      </c>
      <c r="I39" t="s">
        <v>32</v>
      </c>
      <c r="J39">
        <v>1.2</v>
      </c>
      <c r="K39">
        <v>21</v>
      </c>
      <c r="L39">
        <v>2</v>
      </c>
      <c r="M39">
        <v>1481320</v>
      </c>
      <c r="N39">
        <v>2962640</v>
      </c>
      <c r="O39">
        <v>2652595</v>
      </c>
      <c r="P39">
        <v>310045</v>
      </c>
    </row>
    <row r="40" spans="1:16" x14ac:dyDescent="0.3">
      <c r="A40">
        <v>1039</v>
      </c>
      <c r="B40" t="s">
        <v>105</v>
      </c>
      <c r="C40">
        <v>2023</v>
      </c>
      <c r="D40" t="s">
        <v>67</v>
      </c>
      <c r="E40" t="s">
        <v>40</v>
      </c>
      <c r="F40" t="s">
        <v>104</v>
      </c>
      <c r="G40" t="s">
        <v>90</v>
      </c>
      <c r="H40" t="s">
        <v>79</v>
      </c>
      <c r="I40" t="s">
        <v>48</v>
      </c>
      <c r="J40">
        <v>1.5</v>
      </c>
      <c r="K40">
        <v>21</v>
      </c>
      <c r="L40">
        <v>1</v>
      </c>
      <c r="M40">
        <v>1270197</v>
      </c>
      <c r="N40">
        <v>1270197</v>
      </c>
      <c r="O40">
        <v>1117178</v>
      </c>
      <c r="P40">
        <v>153019</v>
      </c>
    </row>
    <row r="41" spans="1:16" x14ac:dyDescent="0.3">
      <c r="A41">
        <v>1040</v>
      </c>
      <c r="B41" t="s">
        <v>106</v>
      </c>
      <c r="C41">
        <v>2024</v>
      </c>
      <c r="D41" t="s">
        <v>74</v>
      </c>
      <c r="E41" t="s">
        <v>18</v>
      </c>
      <c r="F41" t="s">
        <v>107</v>
      </c>
      <c r="G41" t="s">
        <v>51</v>
      </c>
      <c r="H41" t="s">
        <v>21</v>
      </c>
      <c r="I41" t="s">
        <v>22</v>
      </c>
      <c r="J41">
        <v>2</v>
      </c>
      <c r="K41">
        <v>21</v>
      </c>
      <c r="L41">
        <v>4</v>
      </c>
      <c r="M41">
        <v>949902</v>
      </c>
      <c r="N41">
        <v>3799608</v>
      </c>
      <c r="O41">
        <v>3060890</v>
      </c>
      <c r="P41">
        <v>738718</v>
      </c>
    </row>
    <row r="42" spans="1:16" x14ac:dyDescent="0.3">
      <c r="A42">
        <v>1041</v>
      </c>
      <c r="B42" t="s">
        <v>108</v>
      </c>
      <c r="C42">
        <v>2024</v>
      </c>
      <c r="D42" t="s">
        <v>43</v>
      </c>
      <c r="E42" t="s">
        <v>25</v>
      </c>
      <c r="F42" t="s">
        <v>77</v>
      </c>
      <c r="G42" t="s">
        <v>46</v>
      </c>
      <c r="H42" t="s">
        <v>47</v>
      </c>
      <c r="I42" t="s">
        <v>48</v>
      </c>
      <c r="J42">
        <v>1.2</v>
      </c>
      <c r="K42">
        <v>20</v>
      </c>
      <c r="L42">
        <v>7</v>
      </c>
      <c r="M42">
        <v>1043117</v>
      </c>
      <c r="N42">
        <v>7301819</v>
      </c>
      <c r="O42">
        <v>6138056</v>
      </c>
      <c r="P42">
        <v>1163763</v>
      </c>
    </row>
    <row r="43" spans="1:16" x14ac:dyDescent="0.3">
      <c r="A43">
        <v>1042</v>
      </c>
      <c r="B43" t="s">
        <v>109</v>
      </c>
      <c r="C43">
        <v>2023</v>
      </c>
      <c r="D43" t="s">
        <v>74</v>
      </c>
      <c r="E43" t="s">
        <v>40</v>
      </c>
      <c r="F43" t="s">
        <v>68</v>
      </c>
      <c r="G43" t="s">
        <v>20</v>
      </c>
      <c r="H43" t="s">
        <v>63</v>
      </c>
      <c r="I43" t="s">
        <v>22</v>
      </c>
      <c r="J43">
        <v>1</v>
      </c>
      <c r="K43">
        <v>21</v>
      </c>
      <c r="L43">
        <v>4</v>
      </c>
      <c r="M43">
        <v>1381047</v>
      </c>
      <c r="N43">
        <v>5524188</v>
      </c>
      <c r="O43">
        <v>4158358</v>
      </c>
      <c r="P43">
        <v>1365830</v>
      </c>
    </row>
    <row r="44" spans="1:16" x14ac:dyDescent="0.3">
      <c r="A44">
        <v>1043</v>
      </c>
      <c r="B44" t="s">
        <v>110</v>
      </c>
      <c r="C44">
        <v>2023</v>
      </c>
      <c r="D44" t="s">
        <v>39</v>
      </c>
      <c r="E44" t="s">
        <v>40</v>
      </c>
      <c r="F44" t="s">
        <v>41</v>
      </c>
      <c r="G44" t="s">
        <v>20</v>
      </c>
      <c r="H44" t="s">
        <v>21</v>
      </c>
      <c r="I44" t="s">
        <v>22</v>
      </c>
      <c r="J44">
        <v>2</v>
      </c>
      <c r="K44">
        <v>23</v>
      </c>
      <c r="L44">
        <v>8</v>
      </c>
      <c r="M44">
        <v>976150</v>
      </c>
      <c r="N44">
        <v>7809200</v>
      </c>
      <c r="O44">
        <v>6990680</v>
      </c>
      <c r="P44">
        <v>818520</v>
      </c>
    </row>
    <row r="45" spans="1:16" x14ac:dyDescent="0.3">
      <c r="A45">
        <v>1044</v>
      </c>
      <c r="B45" t="s">
        <v>81</v>
      </c>
      <c r="C45">
        <v>2023</v>
      </c>
      <c r="D45" t="s">
        <v>74</v>
      </c>
      <c r="E45" t="s">
        <v>25</v>
      </c>
      <c r="F45" t="s">
        <v>58</v>
      </c>
      <c r="G45" t="s">
        <v>59</v>
      </c>
      <c r="H45" t="s">
        <v>63</v>
      </c>
      <c r="I45" t="s">
        <v>22</v>
      </c>
      <c r="J45">
        <v>1.5</v>
      </c>
      <c r="K45">
        <v>21</v>
      </c>
      <c r="L45">
        <v>2</v>
      </c>
      <c r="M45">
        <v>1296074</v>
      </c>
      <c r="N45">
        <v>2592148</v>
      </c>
      <c r="O45">
        <v>2171729</v>
      </c>
      <c r="P45">
        <v>420419</v>
      </c>
    </row>
    <row r="46" spans="1:16" x14ac:dyDescent="0.3">
      <c r="A46">
        <v>1045</v>
      </c>
      <c r="B46" t="s">
        <v>111</v>
      </c>
      <c r="C46">
        <v>2024</v>
      </c>
      <c r="D46" t="s">
        <v>39</v>
      </c>
      <c r="E46" t="s">
        <v>44</v>
      </c>
      <c r="F46" t="s">
        <v>92</v>
      </c>
      <c r="G46" t="s">
        <v>30</v>
      </c>
      <c r="H46" t="s">
        <v>100</v>
      </c>
      <c r="I46" t="s">
        <v>22</v>
      </c>
      <c r="J46">
        <v>1.5</v>
      </c>
      <c r="K46">
        <v>22</v>
      </c>
      <c r="L46">
        <v>1</v>
      </c>
      <c r="M46">
        <v>661760</v>
      </c>
      <c r="N46">
        <v>661760</v>
      </c>
      <c r="O46">
        <v>591234</v>
      </c>
      <c r="P46">
        <v>70526</v>
      </c>
    </row>
    <row r="47" spans="1:16" x14ac:dyDescent="0.3">
      <c r="A47">
        <v>1046</v>
      </c>
      <c r="B47" t="s">
        <v>112</v>
      </c>
      <c r="C47">
        <v>2024</v>
      </c>
      <c r="D47" t="s">
        <v>67</v>
      </c>
      <c r="E47" t="s">
        <v>25</v>
      </c>
      <c r="F47" t="s">
        <v>77</v>
      </c>
      <c r="G47" t="s">
        <v>27</v>
      </c>
      <c r="H47" t="s">
        <v>47</v>
      </c>
      <c r="I47" t="s">
        <v>48</v>
      </c>
      <c r="J47">
        <v>2</v>
      </c>
      <c r="K47">
        <v>18</v>
      </c>
      <c r="L47">
        <v>5</v>
      </c>
      <c r="M47">
        <v>1206496</v>
      </c>
      <c r="N47">
        <v>6032480</v>
      </c>
      <c r="O47">
        <v>4578744</v>
      </c>
      <c r="P47">
        <v>1453736</v>
      </c>
    </row>
    <row r="48" spans="1:16" x14ac:dyDescent="0.3">
      <c r="A48">
        <v>1047</v>
      </c>
      <c r="B48" t="s">
        <v>113</v>
      </c>
      <c r="C48">
        <v>2023</v>
      </c>
      <c r="D48" t="s">
        <v>29</v>
      </c>
      <c r="E48" t="s">
        <v>18</v>
      </c>
      <c r="F48" t="s">
        <v>19</v>
      </c>
      <c r="G48" t="s">
        <v>51</v>
      </c>
      <c r="H48" t="s">
        <v>21</v>
      </c>
      <c r="I48" t="s">
        <v>22</v>
      </c>
      <c r="J48">
        <v>1</v>
      </c>
      <c r="K48">
        <v>18</v>
      </c>
      <c r="L48">
        <v>2</v>
      </c>
      <c r="M48">
        <v>1028175</v>
      </c>
      <c r="N48">
        <v>2056350</v>
      </c>
      <c r="O48">
        <v>1579204</v>
      </c>
      <c r="P48">
        <v>477146</v>
      </c>
    </row>
    <row r="49" spans="1:16" x14ac:dyDescent="0.3">
      <c r="A49">
        <v>1048</v>
      </c>
      <c r="B49" t="s">
        <v>114</v>
      </c>
      <c r="C49">
        <v>2023</v>
      </c>
      <c r="D49" t="s">
        <v>39</v>
      </c>
      <c r="E49" t="s">
        <v>18</v>
      </c>
      <c r="F49" t="s">
        <v>35</v>
      </c>
      <c r="G49" t="s">
        <v>51</v>
      </c>
      <c r="H49" t="s">
        <v>52</v>
      </c>
      <c r="I49" t="s">
        <v>22</v>
      </c>
      <c r="J49">
        <v>1.5</v>
      </c>
      <c r="K49">
        <v>16</v>
      </c>
      <c r="L49">
        <v>5</v>
      </c>
      <c r="M49">
        <v>656281</v>
      </c>
      <c r="N49">
        <v>3281405</v>
      </c>
      <c r="O49">
        <v>2751313</v>
      </c>
      <c r="P49">
        <v>530092</v>
      </c>
    </row>
    <row r="50" spans="1:16" x14ac:dyDescent="0.3">
      <c r="A50">
        <v>1049</v>
      </c>
      <c r="B50" t="s">
        <v>115</v>
      </c>
      <c r="C50">
        <v>2024</v>
      </c>
      <c r="D50" t="s">
        <v>50</v>
      </c>
      <c r="E50" t="s">
        <v>44</v>
      </c>
      <c r="F50" t="s">
        <v>92</v>
      </c>
      <c r="G50" t="s">
        <v>59</v>
      </c>
      <c r="H50" t="s">
        <v>21</v>
      </c>
      <c r="I50" t="s">
        <v>22</v>
      </c>
      <c r="J50">
        <v>1.5</v>
      </c>
      <c r="K50">
        <v>18</v>
      </c>
      <c r="L50">
        <v>2</v>
      </c>
      <c r="M50">
        <v>1187500</v>
      </c>
      <c r="N50">
        <v>2375000</v>
      </c>
      <c r="O50">
        <v>2012844</v>
      </c>
      <c r="P50">
        <v>362156</v>
      </c>
    </row>
    <row r="51" spans="1:16" x14ac:dyDescent="0.3">
      <c r="A51">
        <v>1050</v>
      </c>
      <c r="B51" t="s">
        <v>116</v>
      </c>
      <c r="C51">
        <v>2024</v>
      </c>
      <c r="D51" t="s">
        <v>39</v>
      </c>
      <c r="E51" t="s">
        <v>25</v>
      </c>
      <c r="F51" t="s">
        <v>26</v>
      </c>
      <c r="G51" t="s">
        <v>90</v>
      </c>
      <c r="H51" t="s">
        <v>54</v>
      </c>
      <c r="I51" t="s">
        <v>48</v>
      </c>
      <c r="J51">
        <v>2</v>
      </c>
      <c r="K51">
        <v>22</v>
      </c>
      <c r="L51">
        <v>8</v>
      </c>
      <c r="M51">
        <v>1032254</v>
      </c>
      <c r="N51">
        <v>8258032</v>
      </c>
      <c r="O51">
        <v>6693630</v>
      </c>
      <c r="P51">
        <v>1564402</v>
      </c>
    </row>
    <row r="52" spans="1:16" x14ac:dyDescent="0.3">
      <c r="A52">
        <v>1051</v>
      </c>
      <c r="B52" t="s">
        <v>117</v>
      </c>
      <c r="C52">
        <v>2023</v>
      </c>
      <c r="D52" t="s">
        <v>43</v>
      </c>
      <c r="E52" t="s">
        <v>44</v>
      </c>
      <c r="F52" t="s">
        <v>62</v>
      </c>
      <c r="G52" t="s">
        <v>46</v>
      </c>
      <c r="H52" t="s">
        <v>52</v>
      </c>
      <c r="I52" t="s">
        <v>22</v>
      </c>
      <c r="J52">
        <v>1.5</v>
      </c>
      <c r="K52">
        <v>20</v>
      </c>
      <c r="L52">
        <v>1</v>
      </c>
      <c r="M52">
        <v>880474</v>
      </c>
      <c r="N52">
        <v>880474</v>
      </c>
      <c r="O52">
        <v>669419</v>
      </c>
      <c r="P52">
        <v>211055</v>
      </c>
    </row>
    <row r="53" spans="1:16" x14ac:dyDescent="0.3">
      <c r="A53">
        <v>1052</v>
      </c>
      <c r="B53" t="s">
        <v>118</v>
      </c>
      <c r="C53">
        <v>2024</v>
      </c>
      <c r="D53" t="s">
        <v>67</v>
      </c>
      <c r="E53" t="s">
        <v>25</v>
      </c>
      <c r="F53" t="s">
        <v>58</v>
      </c>
      <c r="G53" t="s">
        <v>36</v>
      </c>
      <c r="H53" t="s">
        <v>100</v>
      </c>
      <c r="I53" t="s">
        <v>22</v>
      </c>
      <c r="J53">
        <v>1</v>
      </c>
      <c r="K53">
        <v>16</v>
      </c>
      <c r="L53">
        <v>6</v>
      </c>
      <c r="M53">
        <v>856177</v>
      </c>
      <c r="N53">
        <v>5137062</v>
      </c>
      <c r="O53">
        <v>4099424</v>
      </c>
      <c r="P53">
        <v>1037638</v>
      </c>
    </row>
    <row r="54" spans="1:16" x14ac:dyDescent="0.3">
      <c r="A54">
        <v>1053</v>
      </c>
      <c r="B54" t="s">
        <v>119</v>
      </c>
      <c r="C54">
        <v>2024</v>
      </c>
      <c r="D54" t="s">
        <v>43</v>
      </c>
      <c r="E54" t="s">
        <v>40</v>
      </c>
      <c r="F54" t="s">
        <v>120</v>
      </c>
      <c r="G54" t="s">
        <v>59</v>
      </c>
      <c r="H54" t="s">
        <v>56</v>
      </c>
      <c r="I54" t="s">
        <v>48</v>
      </c>
      <c r="J54">
        <v>2</v>
      </c>
      <c r="K54">
        <v>19</v>
      </c>
      <c r="L54">
        <v>4</v>
      </c>
      <c r="M54">
        <v>1465838</v>
      </c>
      <c r="N54">
        <v>5863352</v>
      </c>
      <c r="O54">
        <v>4552539</v>
      </c>
      <c r="P54">
        <v>1310813</v>
      </c>
    </row>
    <row r="55" spans="1:16" x14ac:dyDescent="0.3">
      <c r="A55">
        <v>1054</v>
      </c>
      <c r="B55" t="s">
        <v>121</v>
      </c>
      <c r="C55">
        <v>2023</v>
      </c>
      <c r="D55" t="s">
        <v>67</v>
      </c>
      <c r="E55" t="s">
        <v>44</v>
      </c>
      <c r="F55" t="s">
        <v>62</v>
      </c>
      <c r="G55" t="s">
        <v>51</v>
      </c>
      <c r="H55" t="s">
        <v>79</v>
      </c>
      <c r="I55" t="s">
        <v>48</v>
      </c>
      <c r="J55">
        <v>2</v>
      </c>
      <c r="K55">
        <v>23</v>
      </c>
      <c r="L55">
        <v>7</v>
      </c>
      <c r="M55">
        <v>1221088</v>
      </c>
      <c r="N55">
        <v>8547616</v>
      </c>
      <c r="O55">
        <v>6913726</v>
      </c>
      <c r="P55">
        <v>1633890</v>
      </c>
    </row>
    <row r="56" spans="1:16" x14ac:dyDescent="0.3">
      <c r="A56">
        <v>1055</v>
      </c>
      <c r="B56" t="s">
        <v>122</v>
      </c>
      <c r="C56">
        <v>2024</v>
      </c>
      <c r="D56" t="s">
        <v>67</v>
      </c>
      <c r="E56" t="s">
        <v>25</v>
      </c>
      <c r="F56" t="s">
        <v>77</v>
      </c>
      <c r="G56" t="s">
        <v>46</v>
      </c>
      <c r="H56" t="s">
        <v>31</v>
      </c>
      <c r="I56" t="s">
        <v>32</v>
      </c>
      <c r="J56">
        <v>1.5</v>
      </c>
      <c r="K56">
        <v>19</v>
      </c>
      <c r="L56">
        <v>2</v>
      </c>
      <c r="M56">
        <v>931670</v>
      </c>
      <c r="N56">
        <v>1863340</v>
      </c>
      <c r="O56">
        <v>1473761</v>
      </c>
      <c r="P56">
        <v>389579</v>
      </c>
    </row>
    <row r="57" spans="1:16" x14ac:dyDescent="0.3">
      <c r="A57">
        <v>1056</v>
      </c>
      <c r="B57" t="s">
        <v>123</v>
      </c>
      <c r="C57">
        <v>2024</v>
      </c>
      <c r="D57" t="s">
        <v>24</v>
      </c>
      <c r="E57" t="s">
        <v>40</v>
      </c>
      <c r="F57" t="s">
        <v>104</v>
      </c>
      <c r="G57" t="s">
        <v>51</v>
      </c>
      <c r="H57" t="s">
        <v>31</v>
      </c>
      <c r="I57" t="s">
        <v>32</v>
      </c>
      <c r="J57">
        <v>2</v>
      </c>
      <c r="K57">
        <v>22</v>
      </c>
      <c r="L57">
        <v>5</v>
      </c>
      <c r="M57">
        <v>841983</v>
      </c>
      <c r="N57">
        <v>4209915</v>
      </c>
      <c r="O57">
        <v>3383745</v>
      </c>
      <c r="P57">
        <v>826170</v>
      </c>
    </row>
    <row r="58" spans="1:16" x14ac:dyDescent="0.3">
      <c r="A58">
        <v>1057</v>
      </c>
      <c r="B58" t="s">
        <v>124</v>
      </c>
      <c r="C58">
        <v>2024</v>
      </c>
      <c r="D58" t="s">
        <v>17</v>
      </c>
      <c r="E58" t="s">
        <v>44</v>
      </c>
      <c r="F58" t="s">
        <v>45</v>
      </c>
      <c r="G58" t="s">
        <v>30</v>
      </c>
      <c r="H58" t="s">
        <v>31</v>
      </c>
      <c r="I58" t="s">
        <v>32</v>
      </c>
      <c r="J58">
        <v>1</v>
      </c>
      <c r="K58">
        <v>18</v>
      </c>
      <c r="L58">
        <v>8</v>
      </c>
      <c r="M58">
        <v>638889</v>
      </c>
      <c r="N58">
        <v>5111112</v>
      </c>
      <c r="O58">
        <v>4474745</v>
      </c>
      <c r="P58">
        <v>636367</v>
      </c>
    </row>
    <row r="59" spans="1:16" x14ac:dyDescent="0.3">
      <c r="A59">
        <v>1058</v>
      </c>
      <c r="B59" t="s">
        <v>125</v>
      </c>
      <c r="C59">
        <v>2024</v>
      </c>
      <c r="D59" t="s">
        <v>43</v>
      </c>
      <c r="E59" t="s">
        <v>40</v>
      </c>
      <c r="F59" t="s">
        <v>68</v>
      </c>
      <c r="G59" t="s">
        <v>90</v>
      </c>
      <c r="H59" t="s">
        <v>79</v>
      </c>
      <c r="I59" t="s">
        <v>48</v>
      </c>
      <c r="J59">
        <v>1.2</v>
      </c>
      <c r="K59">
        <v>21</v>
      </c>
      <c r="L59">
        <v>3</v>
      </c>
      <c r="M59">
        <v>943417</v>
      </c>
      <c r="N59">
        <v>2830251</v>
      </c>
      <c r="O59">
        <v>2289328</v>
      </c>
      <c r="P59">
        <v>540923</v>
      </c>
    </row>
    <row r="60" spans="1:16" x14ac:dyDescent="0.3">
      <c r="A60">
        <v>1059</v>
      </c>
      <c r="B60" t="s">
        <v>126</v>
      </c>
      <c r="C60">
        <v>2023</v>
      </c>
      <c r="D60" t="s">
        <v>39</v>
      </c>
      <c r="E60" t="s">
        <v>18</v>
      </c>
      <c r="F60" t="s">
        <v>35</v>
      </c>
      <c r="G60" t="s">
        <v>46</v>
      </c>
      <c r="H60" t="s">
        <v>52</v>
      </c>
      <c r="I60" t="s">
        <v>22</v>
      </c>
      <c r="J60">
        <v>1</v>
      </c>
      <c r="K60">
        <v>18</v>
      </c>
      <c r="L60">
        <v>6</v>
      </c>
      <c r="M60">
        <v>955671</v>
      </c>
      <c r="N60">
        <v>5734026</v>
      </c>
      <c r="O60">
        <v>4559740</v>
      </c>
      <c r="P60">
        <v>1174286</v>
      </c>
    </row>
    <row r="61" spans="1:16" x14ac:dyDescent="0.3">
      <c r="A61">
        <v>1060</v>
      </c>
      <c r="B61" t="s">
        <v>127</v>
      </c>
      <c r="C61">
        <v>2024</v>
      </c>
      <c r="D61" t="s">
        <v>34</v>
      </c>
      <c r="E61" t="s">
        <v>18</v>
      </c>
      <c r="F61" t="s">
        <v>107</v>
      </c>
      <c r="G61" t="s">
        <v>51</v>
      </c>
      <c r="H61" t="s">
        <v>52</v>
      </c>
      <c r="I61" t="s">
        <v>22</v>
      </c>
      <c r="J61">
        <v>1.2</v>
      </c>
      <c r="K61">
        <v>16</v>
      </c>
      <c r="L61">
        <v>7</v>
      </c>
      <c r="M61">
        <v>945733</v>
      </c>
      <c r="N61">
        <v>6620131</v>
      </c>
      <c r="O61">
        <v>5547462</v>
      </c>
      <c r="P61">
        <v>1072669</v>
      </c>
    </row>
    <row r="62" spans="1:16" x14ac:dyDescent="0.3">
      <c r="A62">
        <v>1061</v>
      </c>
      <c r="B62" t="s">
        <v>128</v>
      </c>
      <c r="C62">
        <v>2023</v>
      </c>
      <c r="D62" t="s">
        <v>17</v>
      </c>
      <c r="E62" t="s">
        <v>25</v>
      </c>
      <c r="F62" t="s">
        <v>26</v>
      </c>
      <c r="G62" t="s">
        <v>30</v>
      </c>
      <c r="H62" t="s">
        <v>37</v>
      </c>
      <c r="I62" t="s">
        <v>32</v>
      </c>
      <c r="J62">
        <v>1</v>
      </c>
      <c r="K62">
        <v>20</v>
      </c>
      <c r="L62">
        <v>2</v>
      </c>
      <c r="M62">
        <v>1434309</v>
      </c>
      <c r="N62">
        <v>2868618</v>
      </c>
      <c r="O62">
        <v>2334258</v>
      </c>
      <c r="P62">
        <v>534360</v>
      </c>
    </row>
    <row r="63" spans="1:16" x14ac:dyDescent="0.3">
      <c r="A63">
        <v>1062</v>
      </c>
      <c r="B63" t="s">
        <v>129</v>
      </c>
      <c r="C63">
        <v>2023</v>
      </c>
      <c r="D63" t="s">
        <v>39</v>
      </c>
      <c r="E63" t="s">
        <v>25</v>
      </c>
      <c r="F63" t="s">
        <v>77</v>
      </c>
      <c r="G63" t="s">
        <v>59</v>
      </c>
      <c r="H63" t="s">
        <v>31</v>
      </c>
      <c r="I63" t="s">
        <v>32</v>
      </c>
      <c r="J63">
        <v>1.2</v>
      </c>
      <c r="K63">
        <v>19</v>
      </c>
      <c r="L63">
        <v>3</v>
      </c>
      <c r="M63">
        <v>726926</v>
      </c>
      <c r="N63">
        <v>2180778</v>
      </c>
      <c r="O63">
        <v>1855021</v>
      </c>
      <c r="P63">
        <v>325757</v>
      </c>
    </row>
    <row r="64" spans="1:16" x14ac:dyDescent="0.3">
      <c r="A64">
        <v>1063</v>
      </c>
      <c r="B64" t="s">
        <v>130</v>
      </c>
      <c r="C64">
        <v>2024</v>
      </c>
      <c r="D64" t="s">
        <v>61</v>
      </c>
      <c r="E64" t="s">
        <v>40</v>
      </c>
      <c r="F64" t="s">
        <v>120</v>
      </c>
      <c r="G64" t="s">
        <v>90</v>
      </c>
      <c r="H64" t="s">
        <v>37</v>
      </c>
      <c r="I64" t="s">
        <v>32</v>
      </c>
      <c r="J64">
        <v>1.2</v>
      </c>
      <c r="K64">
        <v>22</v>
      </c>
      <c r="L64">
        <v>4</v>
      </c>
      <c r="M64">
        <v>671300</v>
      </c>
      <c r="N64">
        <v>2685200</v>
      </c>
      <c r="O64">
        <v>2227057</v>
      </c>
      <c r="P64">
        <v>458143</v>
      </c>
    </row>
    <row r="65" spans="1:16" x14ac:dyDescent="0.3">
      <c r="A65">
        <v>1064</v>
      </c>
      <c r="B65" t="s">
        <v>131</v>
      </c>
      <c r="C65">
        <v>2023</v>
      </c>
      <c r="D65" t="s">
        <v>34</v>
      </c>
      <c r="E65" t="s">
        <v>25</v>
      </c>
      <c r="F65" t="s">
        <v>58</v>
      </c>
      <c r="G65" t="s">
        <v>30</v>
      </c>
      <c r="H65" t="s">
        <v>37</v>
      </c>
      <c r="I65" t="s">
        <v>32</v>
      </c>
      <c r="J65">
        <v>2</v>
      </c>
      <c r="K65">
        <v>19</v>
      </c>
      <c r="L65">
        <v>6</v>
      </c>
      <c r="M65">
        <v>1191851</v>
      </c>
      <c r="N65">
        <v>7151106</v>
      </c>
      <c r="O65">
        <v>5518618</v>
      </c>
      <c r="P65">
        <v>1632488</v>
      </c>
    </row>
    <row r="66" spans="1:16" x14ac:dyDescent="0.3">
      <c r="A66">
        <v>1065</v>
      </c>
      <c r="B66" t="s">
        <v>132</v>
      </c>
      <c r="C66">
        <v>2023</v>
      </c>
      <c r="D66" t="s">
        <v>24</v>
      </c>
      <c r="E66" t="s">
        <v>18</v>
      </c>
      <c r="F66" t="s">
        <v>19</v>
      </c>
      <c r="G66" t="s">
        <v>59</v>
      </c>
      <c r="H66" t="s">
        <v>63</v>
      </c>
      <c r="I66" t="s">
        <v>22</v>
      </c>
      <c r="J66">
        <v>1.2</v>
      </c>
      <c r="K66">
        <v>18</v>
      </c>
      <c r="L66">
        <v>3</v>
      </c>
      <c r="M66">
        <v>944043</v>
      </c>
      <c r="N66">
        <v>2832129</v>
      </c>
      <c r="O66">
        <v>2380545</v>
      </c>
      <c r="P66">
        <v>451584</v>
      </c>
    </row>
    <row r="67" spans="1:16" x14ac:dyDescent="0.3">
      <c r="A67">
        <v>1066</v>
      </c>
      <c r="B67" t="s">
        <v>133</v>
      </c>
      <c r="C67">
        <v>2024</v>
      </c>
      <c r="D67" t="s">
        <v>39</v>
      </c>
      <c r="E67" t="s">
        <v>25</v>
      </c>
      <c r="F67" t="s">
        <v>77</v>
      </c>
      <c r="G67" t="s">
        <v>20</v>
      </c>
      <c r="H67" t="s">
        <v>37</v>
      </c>
      <c r="I67" t="s">
        <v>32</v>
      </c>
      <c r="J67">
        <v>2</v>
      </c>
      <c r="K67">
        <v>16</v>
      </c>
      <c r="L67">
        <v>3</v>
      </c>
      <c r="M67">
        <v>929478</v>
      </c>
      <c r="N67">
        <v>2788434</v>
      </c>
      <c r="O67">
        <v>2450590</v>
      </c>
      <c r="P67">
        <v>337844</v>
      </c>
    </row>
    <row r="68" spans="1:16" x14ac:dyDescent="0.3">
      <c r="A68">
        <v>1067</v>
      </c>
      <c r="B68" t="s">
        <v>134</v>
      </c>
      <c r="C68">
        <v>2024</v>
      </c>
      <c r="D68" t="s">
        <v>39</v>
      </c>
      <c r="E68" t="s">
        <v>44</v>
      </c>
      <c r="F68" t="s">
        <v>70</v>
      </c>
      <c r="G68" t="s">
        <v>90</v>
      </c>
      <c r="H68" t="s">
        <v>100</v>
      </c>
      <c r="I68" t="s">
        <v>22</v>
      </c>
      <c r="J68">
        <v>1</v>
      </c>
      <c r="K68">
        <v>19</v>
      </c>
      <c r="L68">
        <v>1</v>
      </c>
      <c r="M68">
        <v>1129877</v>
      </c>
      <c r="N68">
        <v>1129877</v>
      </c>
      <c r="O68">
        <v>913011</v>
      </c>
      <c r="P68">
        <v>216866</v>
      </c>
    </row>
    <row r="69" spans="1:16" x14ac:dyDescent="0.3">
      <c r="A69">
        <v>1068</v>
      </c>
      <c r="B69" t="s">
        <v>135</v>
      </c>
      <c r="C69">
        <v>2024</v>
      </c>
      <c r="D69" t="s">
        <v>97</v>
      </c>
      <c r="E69" t="s">
        <v>25</v>
      </c>
      <c r="F69" t="s">
        <v>84</v>
      </c>
      <c r="G69" t="s">
        <v>36</v>
      </c>
      <c r="H69" t="s">
        <v>79</v>
      </c>
      <c r="I69" t="s">
        <v>48</v>
      </c>
      <c r="J69">
        <v>1</v>
      </c>
      <c r="K69">
        <v>23</v>
      </c>
      <c r="L69">
        <v>5</v>
      </c>
      <c r="M69">
        <v>1334897</v>
      </c>
      <c r="N69">
        <v>6674485</v>
      </c>
      <c r="O69">
        <v>5407478</v>
      </c>
      <c r="P69">
        <v>1267007</v>
      </c>
    </row>
    <row r="70" spans="1:16" x14ac:dyDescent="0.3">
      <c r="A70">
        <v>1069</v>
      </c>
      <c r="B70" t="s">
        <v>136</v>
      </c>
      <c r="C70">
        <v>2023</v>
      </c>
      <c r="D70" t="s">
        <v>67</v>
      </c>
      <c r="E70" t="s">
        <v>40</v>
      </c>
      <c r="F70" t="s">
        <v>120</v>
      </c>
      <c r="G70" t="s">
        <v>46</v>
      </c>
      <c r="H70" t="s">
        <v>37</v>
      </c>
      <c r="I70" t="s">
        <v>32</v>
      </c>
      <c r="J70">
        <v>1</v>
      </c>
      <c r="K70">
        <v>22</v>
      </c>
      <c r="L70">
        <v>6</v>
      </c>
      <c r="M70">
        <v>893364</v>
      </c>
      <c r="N70">
        <v>5360184</v>
      </c>
      <c r="O70">
        <v>4099763</v>
      </c>
      <c r="P70">
        <v>1260421</v>
      </c>
    </row>
    <row r="71" spans="1:16" x14ac:dyDescent="0.3">
      <c r="A71">
        <v>1070</v>
      </c>
      <c r="B71" t="s">
        <v>93</v>
      </c>
      <c r="C71">
        <v>2023</v>
      </c>
      <c r="D71" t="s">
        <v>34</v>
      </c>
      <c r="E71" t="s">
        <v>40</v>
      </c>
      <c r="F71" t="s">
        <v>104</v>
      </c>
      <c r="G71" t="s">
        <v>46</v>
      </c>
      <c r="H71" t="s">
        <v>100</v>
      </c>
      <c r="I71" t="s">
        <v>22</v>
      </c>
      <c r="J71">
        <v>2</v>
      </c>
      <c r="K71">
        <v>18</v>
      </c>
      <c r="L71">
        <v>4</v>
      </c>
      <c r="M71">
        <v>1453397</v>
      </c>
      <c r="N71">
        <v>5813588</v>
      </c>
      <c r="O71">
        <v>5174096</v>
      </c>
      <c r="P71">
        <v>639492</v>
      </c>
    </row>
    <row r="72" spans="1:16" x14ac:dyDescent="0.3">
      <c r="A72">
        <v>1071</v>
      </c>
      <c r="B72" t="s">
        <v>137</v>
      </c>
      <c r="C72">
        <v>2024</v>
      </c>
      <c r="D72" t="s">
        <v>39</v>
      </c>
      <c r="E72" t="s">
        <v>40</v>
      </c>
      <c r="F72" t="s">
        <v>41</v>
      </c>
      <c r="G72" t="s">
        <v>20</v>
      </c>
      <c r="H72" t="s">
        <v>52</v>
      </c>
      <c r="I72" t="s">
        <v>22</v>
      </c>
      <c r="J72">
        <v>1.2</v>
      </c>
      <c r="K72">
        <v>18</v>
      </c>
      <c r="L72">
        <v>7</v>
      </c>
      <c r="M72">
        <v>1017111</v>
      </c>
      <c r="N72">
        <v>7119777</v>
      </c>
      <c r="O72">
        <v>6077426</v>
      </c>
      <c r="P72">
        <v>1042351</v>
      </c>
    </row>
    <row r="73" spans="1:16" x14ac:dyDescent="0.3">
      <c r="A73">
        <v>1072</v>
      </c>
      <c r="B73" t="s">
        <v>138</v>
      </c>
      <c r="C73">
        <v>2023</v>
      </c>
      <c r="D73" t="s">
        <v>17</v>
      </c>
      <c r="E73" t="s">
        <v>40</v>
      </c>
      <c r="F73" t="s">
        <v>104</v>
      </c>
      <c r="G73" t="s">
        <v>20</v>
      </c>
      <c r="H73" t="s">
        <v>47</v>
      </c>
      <c r="I73" t="s">
        <v>48</v>
      </c>
      <c r="J73">
        <v>1.2</v>
      </c>
      <c r="K73">
        <v>20</v>
      </c>
      <c r="L73">
        <v>3</v>
      </c>
      <c r="M73">
        <v>889667</v>
      </c>
      <c r="N73">
        <v>2669001</v>
      </c>
      <c r="O73">
        <v>2059005</v>
      </c>
      <c r="P73">
        <v>609996</v>
      </c>
    </row>
    <row r="74" spans="1:16" x14ac:dyDescent="0.3">
      <c r="A74">
        <v>1073</v>
      </c>
      <c r="B74" t="s">
        <v>139</v>
      </c>
      <c r="C74">
        <v>2024</v>
      </c>
      <c r="D74" t="s">
        <v>61</v>
      </c>
      <c r="E74" t="s">
        <v>18</v>
      </c>
      <c r="F74" t="s">
        <v>107</v>
      </c>
      <c r="G74" t="s">
        <v>90</v>
      </c>
      <c r="H74" t="s">
        <v>21</v>
      </c>
      <c r="I74" t="s">
        <v>22</v>
      </c>
      <c r="J74">
        <v>1.5</v>
      </c>
      <c r="K74">
        <v>18</v>
      </c>
      <c r="L74">
        <v>1</v>
      </c>
      <c r="M74">
        <v>1338964</v>
      </c>
      <c r="N74">
        <v>1338964</v>
      </c>
      <c r="O74">
        <v>1054379</v>
      </c>
      <c r="P74">
        <v>284585</v>
      </c>
    </row>
    <row r="75" spans="1:16" x14ac:dyDescent="0.3">
      <c r="A75">
        <v>1074</v>
      </c>
      <c r="B75" t="s">
        <v>140</v>
      </c>
      <c r="C75">
        <v>2024</v>
      </c>
      <c r="D75" t="s">
        <v>39</v>
      </c>
      <c r="E75" t="s">
        <v>44</v>
      </c>
      <c r="F75" t="s">
        <v>45</v>
      </c>
      <c r="G75" t="s">
        <v>51</v>
      </c>
      <c r="H75" t="s">
        <v>21</v>
      </c>
      <c r="I75" t="s">
        <v>22</v>
      </c>
      <c r="J75">
        <v>2</v>
      </c>
      <c r="K75">
        <v>20</v>
      </c>
      <c r="L75">
        <v>3</v>
      </c>
      <c r="M75">
        <v>970288</v>
      </c>
      <c r="N75">
        <v>2910864</v>
      </c>
      <c r="O75">
        <v>2450959</v>
      </c>
      <c r="P75">
        <v>459905</v>
      </c>
    </row>
    <row r="76" spans="1:16" x14ac:dyDescent="0.3">
      <c r="A76">
        <v>1075</v>
      </c>
      <c r="B76" t="s">
        <v>141</v>
      </c>
      <c r="C76">
        <v>2023</v>
      </c>
      <c r="D76" t="s">
        <v>50</v>
      </c>
      <c r="E76" t="s">
        <v>25</v>
      </c>
      <c r="F76" t="s">
        <v>58</v>
      </c>
      <c r="G76" t="s">
        <v>30</v>
      </c>
      <c r="H76" t="s">
        <v>47</v>
      </c>
      <c r="I76" t="s">
        <v>48</v>
      </c>
      <c r="J76">
        <v>2</v>
      </c>
      <c r="K76">
        <v>19</v>
      </c>
      <c r="L76">
        <v>5</v>
      </c>
      <c r="M76">
        <v>769129</v>
      </c>
      <c r="N76">
        <v>3845645</v>
      </c>
      <c r="O76">
        <v>3305456</v>
      </c>
      <c r="P76">
        <v>540189</v>
      </c>
    </row>
    <row r="77" spans="1:16" x14ac:dyDescent="0.3">
      <c r="A77">
        <v>1076</v>
      </c>
      <c r="B77" t="s">
        <v>142</v>
      </c>
      <c r="C77">
        <v>2023</v>
      </c>
      <c r="D77" t="s">
        <v>97</v>
      </c>
      <c r="E77" t="s">
        <v>25</v>
      </c>
      <c r="F77" t="s">
        <v>26</v>
      </c>
      <c r="G77" t="s">
        <v>90</v>
      </c>
      <c r="H77" t="s">
        <v>56</v>
      </c>
      <c r="I77" t="s">
        <v>48</v>
      </c>
      <c r="J77">
        <v>2</v>
      </c>
      <c r="K77">
        <v>21</v>
      </c>
      <c r="L77">
        <v>3</v>
      </c>
      <c r="M77">
        <v>843788</v>
      </c>
      <c r="N77">
        <v>2531364</v>
      </c>
      <c r="O77">
        <v>1950482</v>
      </c>
      <c r="P77">
        <v>580882</v>
      </c>
    </row>
    <row r="78" spans="1:16" x14ac:dyDescent="0.3">
      <c r="A78">
        <v>1077</v>
      </c>
      <c r="B78" t="s">
        <v>80</v>
      </c>
      <c r="C78">
        <v>2024</v>
      </c>
      <c r="D78" t="s">
        <v>39</v>
      </c>
      <c r="E78" t="s">
        <v>25</v>
      </c>
      <c r="F78" t="s">
        <v>26</v>
      </c>
      <c r="G78" t="s">
        <v>46</v>
      </c>
      <c r="H78" t="s">
        <v>52</v>
      </c>
      <c r="I78" t="s">
        <v>22</v>
      </c>
      <c r="J78">
        <v>1.2</v>
      </c>
      <c r="K78">
        <v>22</v>
      </c>
      <c r="L78">
        <v>7</v>
      </c>
      <c r="M78">
        <v>1026213</v>
      </c>
      <c r="N78">
        <v>7183491</v>
      </c>
      <c r="O78">
        <v>5992484</v>
      </c>
      <c r="P78">
        <v>1191007</v>
      </c>
    </row>
    <row r="79" spans="1:16" x14ac:dyDescent="0.3">
      <c r="A79">
        <v>1078</v>
      </c>
      <c r="B79" t="s">
        <v>143</v>
      </c>
      <c r="C79">
        <v>2024</v>
      </c>
      <c r="D79" t="s">
        <v>43</v>
      </c>
      <c r="E79" t="s">
        <v>44</v>
      </c>
      <c r="F79" t="s">
        <v>62</v>
      </c>
      <c r="G79" t="s">
        <v>27</v>
      </c>
      <c r="H79" t="s">
        <v>47</v>
      </c>
      <c r="I79" t="s">
        <v>48</v>
      </c>
      <c r="J79">
        <v>1</v>
      </c>
      <c r="K79">
        <v>22</v>
      </c>
      <c r="L79">
        <v>3</v>
      </c>
      <c r="M79">
        <v>926856</v>
      </c>
      <c r="N79">
        <v>2780568</v>
      </c>
      <c r="O79">
        <v>2146639</v>
      </c>
      <c r="P79">
        <v>633929</v>
      </c>
    </row>
    <row r="80" spans="1:16" x14ac:dyDescent="0.3">
      <c r="A80">
        <v>1079</v>
      </c>
      <c r="B80" t="s">
        <v>144</v>
      </c>
      <c r="C80">
        <v>2024</v>
      </c>
      <c r="D80" t="s">
        <v>50</v>
      </c>
      <c r="E80" t="s">
        <v>40</v>
      </c>
      <c r="F80" t="s">
        <v>120</v>
      </c>
      <c r="G80" t="s">
        <v>46</v>
      </c>
      <c r="H80" t="s">
        <v>37</v>
      </c>
      <c r="I80" t="s">
        <v>32</v>
      </c>
      <c r="J80">
        <v>1</v>
      </c>
      <c r="K80">
        <v>19</v>
      </c>
      <c r="L80">
        <v>5</v>
      </c>
      <c r="M80">
        <v>1417917</v>
      </c>
      <c r="N80">
        <v>7089585</v>
      </c>
      <c r="O80">
        <v>6368101</v>
      </c>
      <c r="P80">
        <v>721484</v>
      </c>
    </row>
    <row r="81" spans="1:16" x14ac:dyDescent="0.3">
      <c r="A81">
        <v>1080</v>
      </c>
      <c r="B81" t="s">
        <v>145</v>
      </c>
      <c r="C81">
        <v>2023</v>
      </c>
      <c r="D81" t="s">
        <v>34</v>
      </c>
      <c r="E81" t="s">
        <v>40</v>
      </c>
      <c r="F81" t="s">
        <v>120</v>
      </c>
      <c r="G81" t="s">
        <v>59</v>
      </c>
      <c r="H81" t="s">
        <v>100</v>
      </c>
      <c r="I81" t="s">
        <v>22</v>
      </c>
      <c r="J81">
        <v>1</v>
      </c>
      <c r="K81">
        <v>21</v>
      </c>
      <c r="L81">
        <v>2</v>
      </c>
      <c r="M81">
        <v>1306421</v>
      </c>
      <c r="N81">
        <v>2612842</v>
      </c>
      <c r="O81">
        <v>2077001</v>
      </c>
      <c r="P81">
        <v>535841</v>
      </c>
    </row>
    <row r="82" spans="1:16" x14ac:dyDescent="0.3">
      <c r="A82">
        <v>1081</v>
      </c>
      <c r="B82" t="s">
        <v>144</v>
      </c>
      <c r="C82">
        <v>2024</v>
      </c>
      <c r="D82" t="s">
        <v>50</v>
      </c>
      <c r="E82" t="s">
        <v>44</v>
      </c>
      <c r="F82" t="s">
        <v>45</v>
      </c>
      <c r="G82" t="s">
        <v>51</v>
      </c>
      <c r="H82" t="s">
        <v>21</v>
      </c>
      <c r="I82" t="s">
        <v>22</v>
      </c>
      <c r="J82">
        <v>1.2</v>
      </c>
      <c r="K82">
        <v>20</v>
      </c>
      <c r="L82">
        <v>7</v>
      </c>
      <c r="M82">
        <v>1231891</v>
      </c>
      <c r="N82">
        <v>8623237</v>
      </c>
      <c r="O82">
        <v>7497283</v>
      </c>
      <c r="P82">
        <v>1125954</v>
      </c>
    </row>
    <row r="83" spans="1:16" x14ac:dyDescent="0.3">
      <c r="A83">
        <v>1082</v>
      </c>
      <c r="B83" t="s">
        <v>146</v>
      </c>
      <c r="C83">
        <v>2023</v>
      </c>
      <c r="D83" t="s">
        <v>29</v>
      </c>
      <c r="E83" t="s">
        <v>25</v>
      </c>
      <c r="F83" t="s">
        <v>77</v>
      </c>
      <c r="G83" t="s">
        <v>27</v>
      </c>
      <c r="H83" t="s">
        <v>47</v>
      </c>
      <c r="I83" t="s">
        <v>48</v>
      </c>
      <c r="J83">
        <v>1.2</v>
      </c>
      <c r="K83">
        <v>16</v>
      </c>
      <c r="L83">
        <v>7</v>
      </c>
      <c r="M83">
        <v>1163677</v>
      </c>
      <c r="N83">
        <v>8145739</v>
      </c>
      <c r="O83">
        <v>6882257</v>
      </c>
      <c r="P83">
        <v>1263482</v>
      </c>
    </row>
    <row r="84" spans="1:16" x14ac:dyDescent="0.3">
      <c r="A84">
        <v>1083</v>
      </c>
      <c r="B84" t="s">
        <v>147</v>
      </c>
      <c r="C84">
        <v>2024</v>
      </c>
      <c r="D84" t="s">
        <v>34</v>
      </c>
      <c r="E84" t="s">
        <v>44</v>
      </c>
      <c r="F84" t="s">
        <v>45</v>
      </c>
      <c r="G84" t="s">
        <v>51</v>
      </c>
      <c r="H84" t="s">
        <v>37</v>
      </c>
      <c r="I84" t="s">
        <v>32</v>
      </c>
      <c r="J84">
        <v>2</v>
      </c>
      <c r="K84">
        <v>19</v>
      </c>
      <c r="L84">
        <v>8</v>
      </c>
      <c r="M84">
        <v>1089596</v>
      </c>
      <c r="N84">
        <v>8716768</v>
      </c>
      <c r="O84">
        <v>7399511</v>
      </c>
      <c r="P84">
        <v>1317257</v>
      </c>
    </row>
    <row r="85" spans="1:16" x14ac:dyDescent="0.3">
      <c r="A85">
        <v>1084</v>
      </c>
      <c r="B85" t="s">
        <v>148</v>
      </c>
      <c r="C85">
        <v>2023</v>
      </c>
      <c r="D85" t="s">
        <v>97</v>
      </c>
      <c r="E85" t="s">
        <v>44</v>
      </c>
      <c r="F85" t="s">
        <v>92</v>
      </c>
      <c r="G85" t="s">
        <v>27</v>
      </c>
      <c r="H85" t="s">
        <v>54</v>
      </c>
      <c r="I85" t="s">
        <v>48</v>
      </c>
      <c r="J85">
        <v>1.2</v>
      </c>
      <c r="K85">
        <v>20</v>
      </c>
      <c r="L85">
        <v>4</v>
      </c>
      <c r="M85">
        <v>1369535</v>
      </c>
      <c r="N85">
        <v>5478140</v>
      </c>
      <c r="O85">
        <v>4891067</v>
      </c>
      <c r="P85">
        <v>587073</v>
      </c>
    </row>
    <row r="86" spans="1:16" x14ac:dyDescent="0.3">
      <c r="A86">
        <v>1085</v>
      </c>
      <c r="B86" t="s">
        <v>149</v>
      </c>
      <c r="C86">
        <v>2023</v>
      </c>
      <c r="D86" t="s">
        <v>24</v>
      </c>
      <c r="E86" t="s">
        <v>18</v>
      </c>
      <c r="F86" t="s">
        <v>72</v>
      </c>
      <c r="G86" t="s">
        <v>30</v>
      </c>
      <c r="H86" t="s">
        <v>21</v>
      </c>
      <c r="I86" t="s">
        <v>22</v>
      </c>
      <c r="J86">
        <v>1</v>
      </c>
      <c r="K86">
        <v>19</v>
      </c>
      <c r="L86">
        <v>7</v>
      </c>
      <c r="M86">
        <v>1426802</v>
      </c>
      <c r="N86">
        <v>9987614</v>
      </c>
      <c r="O86">
        <v>8347532</v>
      </c>
      <c r="P86">
        <v>1640082</v>
      </c>
    </row>
    <row r="87" spans="1:16" x14ac:dyDescent="0.3">
      <c r="A87">
        <v>1086</v>
      </c>
      <c r="B87" t="s">
        <v>150</v>
      </c>
      <c r="C87">
        <v>2023</v>
      </c>
      <c r="D87" t="s">
        <v>43</v>
      </c>
      <c r="E87" t="s">
        <v>44</v>
      </c>
      <c r="F87" t="s">
        <v>92</v>
      </c>
      <c r="G87" t="s">
        <v>27</v>
      </c>
      <c r="H87" t="s">
        <v>47</v>
      </c>
      <c r="I87" t="s">
        <v>48</v>
      </c>
      <c r="J87">
        <v>2</v>
      </c>
      <c r="K87">
        <v>16</v>
      </c>
      <c r="L87">
        <v>6</v>
      </c>
      <c r="M87">
        <v>1202484</v>
      </c>
      <c r="N87">
        <v>7214904</v>
      </c>
      <c r="O87">
        <v>5453069</v>
      </c>
      <c r="P87">
        <v>1761835</v>
      </c>
    </row>
    <row r="88" spans="1:16" x14ac:dyDescent="0.3">
      <c r="A88">
        <v>1087</v>
      </c>
      <c r="B88" t="s">
        <v>151</v>
      </c>
      <c r="C88">
        <v>2024</v>
      </c>
      <c r="D88" t="s">
        <v>61</v>
      </c>
      <c r="E88" t="s">
        <v>18</v>
      </c>
      <c r="F88" t="s">
        <v>107</v>
      </c>
      <c r="G88" t="s">
        <v>46</v>
      </c>
      <c r="H88" t="s">
        <v>100</v>
      </c>
      <c r="I88" t="s">
        <v>22</v>
      </c>
      <c r="J88">
        <v>1</v>
      </c>
      <c r="K88">
        <v>21</v>
      </c>
      <c r="L88">
        <v>6</v>
      </c>
      <c r="M88">
        <v>1141325</v>
      </c>
      <c r="N88">
        <v>6847950</v>
      </c>
      <c r="O88">
        <v>5572223</v>
      </c>
      <c r="P88">
        <v>1275727</v>
      </c>
    </row>
    <row r="89" spans="1:16" x14ac:dyDescent="0.3">
      <c r="A89">
        <v>1088</v>
      </c>
      <c r="B89" t="s">
        <v>152</v>
      </c>
      <c r="C89">
        <v>2023</v>
      </c>
      <c r="D89" t="s">
        <v>76</v>
      </c>
      <c r="E89" t="s">
        <v>44</v>
      </c>
      <c r="F89" t="s">
        <v>70</v>
      </c>
      <c r="G89" t="s">
        <v>36</v>
      </c>
      <c r="H89" t="s">
        <v>79</v>
      </c>
      <c r="I89" t="s">
        <v>48</v>
      </c>
      <c r="J89">
        <v>1.5</v>
      </c>
      <c r="K89">
        <v>23</v>
      </c>
      <c r="L89">
        <v>6</v>
      </c>
      <c r="M89">
        <v>805695</v>
      </c>
      <c r="N89">
        <v>4834170</v>
      </c>
      <c r="O89">
        <v>4269806</v>
      </c>
      <c r="P89">
        <v>564364</v>
      </c>
    </row>
    <row r="90" spans="1:16" x14ac:dyDescent="0.3">
      <c r="A90">
        <v>1089</v>
      </c>
      <c r="B90" t="s">
        <v>106</v>
      </c>
      <c r="C90">
        <v>2024</v>
      </c>
      <c r="D90" t="s">
        <v>74</v>
      </c>
      <c r="E90" t="s">
        <v>40</v>
      </c>
      <c r="F90" t="s">
        <v>120</v>
      </c>
      <c r="G90" t="s">
        <v>90</v>
      </c>
      <c r="H90" t="s">
        <v>47</v>
      </c>
      <c r="I90" t="s">
        <v>48</v>
      </c>
      <c r="J90">
        <v>1</v>
      </c>
      <c r="K90">
        <v>18</v>
      </c>
      <c r="L90">
        <v>6</v>
      </c>
      <c r="M90">
        <v>1397587</v>
      </c>
      <c r="N90">
        <v>8385522</v>
      </c>
      <c r="O90">
        <v>6411693</v>
      </c>
      <c r="P90">
        <v>1973829</v>
      </c>
    </row>
    <row r="91" spans="1:16" x14ac:dyDescent="0.3">
      <c r="A91">
        <v>1090</v>
      </c>
      <c r="B91" t="s">
        <v>153</v>
      </c>
      <c r="C91">
        <v>2024</v>
      </c>
      <c r="D91" t="s">
        <v>43</v>
      </c>
      <c r="E91" t="s">
        <v>40</v>
      </c>
      <c r="F91" t="s">
        <v>41</v>
      </c>
      <c r="G91" t="s">
        <v>20</v>
      </c>
      <c r="H91" t="s">
        <v>21</v>
      </c>
      <c r="I91" t="s">
        <v>22</v>
      </c>
      <c r="J91">
        <v>1</v>
      </c>
      <c r="K91">
        <v>18</v>
      </c>
      <c r="L91">
        <v>5</v>
      </c>
      <c r="M91">
        <v>1283232</v>
      </c>
      <c r="N91">
        <v>6416160</v>
      </c>
      <c r="O91">
        <v>5119741</v>
      </c>
      <c r="P91">
        <v>1296419</v>
      </c>
    </row>
    <row r="92" spans="1:16" x14ac:dyDescent="0.3">
      <c r="A92">
        <v>1091</v>
      </c>
      <c r="B92" t="s">
        <v>154</v>
      </c>
      <c r="C92">
        <v>2024</v>
      </c>
      <c r="D92" t="s">
        <v>50</v>
      </c>
      <c r="E92" t="s">
        <v>40</v>
      </c>
      <c r="F92" t="s">
        <v>104</v>
      </c>
      <c r="G92" t="s">
        <v>36</v>
      </c>
      <c r="H92" t="s">
        <v>52</v>
      </c>
      <c r="I92" t="s">
        <v>22</v>
      </c>
      <c r="J92">
        <v>1.5</v>
      </c>
      <c r="K92">
        <v>16</v>
      </c>
      <c r="L92">
        <v>1</v>
      </c>
      <c r="M92">
        <v>864123</v>
      </c>
      <c r="N92">
        <v>864123</v>
      </c>
      <c r="O92">
        <v>676109</v>
      </c>
      <c r="P92">
        <v>188014</v>
      </c>
    </row>
    <row r="93" spans="1:16" x14ac:dyDescent="0.3">
      <c r="A93">
        <v>1092</v>
      </c>
      <c r="B93" t="s">
        <v>155</v>
      </c>
      <c r="C93">
        <v>2024</v>
      </c>
      <c r="D93" t="s">
        <v>39</v>
      </c>
      <c r="E93" t="s">
        <v>25</v>
      </c>
      <c r="F93" t="s">
        <v>77</v>
      </c>
      <c r="G93" t="s">
        <v>36</v>
      </c>
      <c r="H93" t="s">
        <v>31</v>
      </c>
      <c r="I93" t="s">
        <v>32</v>
      </c>
      <c r="J93">
        <v>1</v>
      </c>
      <c r="K93">
        <v>16</v>
      </c>
      <c r="L93">
        <v>7</v>
      </c>
      <c r="M93">
        <v>640353</v>
      </c>
      <c r="N93">
        <v>4482471</v>
      </c>
      <c r="O93">
        <v>3573513</v>
      </c>
      <c r="P93">
        <v>908958</v>
      </c>
    </row>
    <row r="94" spans="1:16" x14ac:dyDescent="0.3">
      <c r="A94">
        <v>1093</v>
      </c>
      <c r="B94" t="s">
        <v>156</v>
      </c>
      <c r="C94">
        <v>2024</v>
      </c>
      <c r="D94" t="s">
        <v>24</v>
      </c>
      <c r="E94" t="s">
        <v>44</v>
      </c>
      <c r="F94" t="s">
        <v>70</v>
      </c>
      <c r="G94" t="s">
        <v>36</v>
      </c>
      <c r="H94" t="s">
        <v>79</v>
      </c>
      <c r="I94" t="s">
        <v>48</v>
      </c>
      <c r="J94">
        <v>1.2</v>
      </c>
      <c r="K94">
        <v>20</v>
      </c>
      <c r="L94">
        <v>2</v>
      </c>
      <c r="M94">
        <v>948359</v>
      </c>
      <c r="N94">
        <v>1896718</v>
      </c>
      <c r="O94">
        <v>1625994</v>
      </c>
      <c r="P94">
        <v>270724</v>
      </c>
    </row>
    <row r="95" spans="1:16" x14ac:dyDescent="0.3">
      <c r="A95">
        <v>1094</v>
      </c>
      <c r="B95" t="s">
        <v>157</v>
      </c>
      <c r="C95">
        <v>2023</v>
      </c>
      <c r="D95" t="s">
        <v>97</v>
      </c>
      <c r="E95" t="s">
        <v>40</v>
      </c>
      <c r="F95" t="s">
        <v>120</v>
      </c>
      <c r="G95" t="s">
        <v>51</v>
      </c>
      <c r="H95" t="s">
        <v>63</v>
      </c>
      <c r="I95" t="s">
        <v>22</v>
      </c>
      <c r="J95">
        <v>1.2</v>
      </c>
      <c r="K95">
        <v>22</v>
      </c>
      <c r="L95">
        <v>8</v>
      </c>
      <c r="M95">
        <v>1463639</v>
      </c>
      <c r="N95">
        <v>11709112</v>
      </c>
      <c r="O95">
        <v>10071531</v>
      </c>
      <c r="P95">
        <v>1637581</v>
      </c>
    </row>
    <row r="96" spans="1:16" x14ac:dyDescent="0.3">
      <c r="A96">
        <v>1095</v>
      </c>
      <c r="B96" t="s">
        <v>158</v>
      </c>
      <c r="C96">
        <v>2024</v>
      </c>
      <c r="D96" t="s">
        <v>24</v>
      </c>
      <c r="E96" t="s">
        <v>44</v>
      </c>
      <c r="F96" t="s">
        <v>70</v>
      </c>
      <c r="G96" t="s">
        <v>36</v>
      </c>
      <c r="H96" t="s">
        <v>100</v>
      </c>
      <c r="I96" t="s">
        <v>22</v>
      </c>
      <c r="J96">
        <v>1.2</v>
      </c>
      <c r="K96">
        <v>21</v>
      </c>
      <c r="L96">
        <v>3</v>
      </c>
      <c r="M96">
        <v>1207575</v>
      </c>
      <c r="N96">
        <v>3622725</v>
      </c>
      <c r="O96">
        <v>3139155</v>
      </c>
      <c r="P96">
        <v>483570</v>
      </c>
    </row>
    <row r="97" spans="1:16" x14ac:dyDescent="0.3">
      <c r="A97">
        <v>1096</v>
      </c>
      <c r="B97" t="s">
        <v>159</v>
      </c>
      <c r="C97">
        <v>2024</v>
      </c>
      <c r="D97" t="s">
        <v>24</v>
      </c>
      <c r="E97" t="s">
        <v>25</v>
      </c>
      <c r="F97" t="s">
        <v>84</v>
      </c>
      <c r="G97" t="s">
        <v>59</v>
      </c>
      <c r="H97" t="s">
        <v>79</v>
      </c>
      <c r="I97" t="s">
        <v>48</v>
      </c>
      <c r="J97">
        <v>1.2</v>
      </c>
      <c r="K97">
        <v>20</v>
      </c>
      <c r="L97">
        <v>4</v>
      </c>
      <c r="M97">
        <v>1158576</v>
      </c>
      <c r="N97">
        <v>4634304</v>
      </c>
      <c r="O97">
        <v>3550147</v>
      </c>
      <c r="P97">
        <v>1084157</v>
      </c>
    </row>
    <row r="98" spans="1:16" x14ac:dyDescent="0.3">
      <c r="A98">
        <v>1097</v>
      </c>
      <c r="B98" t="s">
        <v>160</v>
      </c>
      <c r="C98">
        <v>2024</v>
      </c>
      <c r="D98" t="s">
        <v>43</v>
      </c>
      <c r="E98" t="s">
        <v>40</v>
      </c>
      <c r="F98" t="s">
        <v>41</v>
      </c>
      <c r="G98" t="s">
        <v>90</v>
      </c>
      <c r="H98" t="s">
        <v>63</v>
      </c>
      <c r="I98" t="s">
        <v>22</v>
      </c>
      <c r="J98">
        <v>1</v>
      </c>
      <c r="K98">
        <v>23</v>
      </c>
      <c r="L98">
        <v>5</v>
      </c>
      <c r="M98">
        <v>1336511</v>
      </c>
      <c r="N98">
        <v>6682555</v>
      </c>
      <c r="O98">
        <v>5700539</v>
      </c>
      <c r="P98">
        <v>982016</v>
      </c>
    </row>
    <row r="99" spans="1:16" x14ac:dyDescent="0.3">
      <c r="A99">
        <v>1098</v>
      </c>
      <c r="B99" t="s">
        <v>161</v>
      </c>
      <c r="C99">
        <v>2023</v>
      </c>
      <c r="D99" t="s">
        <v>50</v>
      </c>
      <c r="E99" t="s">
        <v>44</v>
      </c>
      <c r="F99" t="s">
        <v>92</v>
      </c>
      <c r="G99" t="s">
        <v>59</v>
      </c>
      <c r="H99" t="s">
        <v>56</v>
      </c>
      <c r="I99" t="s">
        <v>48</v>
      </c>
      <c r="J99">
        <v>1</v>
      </c>
      <c r="K99">
        <v>18</v>
      </c>
      <c r="L99">
        <v>3</v>
      </c>
      <c r="M99">
        <v>1126612</v>
      </c>
      <c r="N99">
        <v>3379836</v>
      </c>
      <c r="O99">
        <v>2654413</v>
      </c>
      <c r="P99">
        <v>725423</v>
      </c>
    </row>
    <row r="100" spans="1:16" x14ac:dyDescent="0.3">
      <c r="A100">
        <v>1099</v>
      </c>
      <c r="B100" t="s">
        <v>162</v>
      </c>
      <c r="C100">
        <v>2024</v>
      </c>
      <c r="D100" t="s">
        <v>34</v>
      </c>
      <c r="E100" t="s">
        <v>25</v>
      </c>
      <c r="F100" t="s">
        <v>58</v>
      </c>
      <c r="G100" t="s">
        <v>30</v>
      </c>
      <c r="H100" t="s">
        <v>63</v>
      </c>
      <c r="I100" t="s">
        <v>22</v>
      </c>
      <c r="J100">
        <v>1.2</v>
      </c>
      <c r="K100">
        <v>19</v>
      </c>
      <c r="L100">
        <v>7</v>
      </c>
      <c r="M100">
        <v>1332165</v>
      </c>
      <c r="N100">
        <v>9325155</v>
      </c>
      <c r="O100">
        <v>7921337</v>
      </c>
      <c r="P100">
        <v>1403818</v>
      </c>
    </row>
    <row r="101" spans="1:16" x14ac:dyDescent="0.3">
      <c r="A101">
        <v>1100</v>
      </c>
      <c r="B101" t="s">
        <v>163</v>
      </c>
      <c r="C101">
        <v>2024</v>
      </c>
      <c r="D101" t="s">
        <v>74</v>
      </c>
      <c r="E101" t="s">
        <v>25</v>
      </c>
      <c r="F101" t="s">
        <v>77</v>
      </c>
      <c r="G101" t="s">
        <v>36</v>
      </c>
      <c r="H101" t="s">
        <v>56</v>
      </c>
      <c r="I101" t="s">
        <v>48</v>
      </c>
      <c r="J101">
        <v>1</v>
      </c>
      <c r="K101">
        <v>16</v>
      </c>
      <c r="L101">
        <v>5</v>
      </c>
      <c r="M101">
        <v>618625</v>
      </c>
      <c r="N101">
        <v>3093125</v>
      </c>
      <c r="O101">
        <v>2627870</v>
      </c>
      <c r="P101">
        <v>465255</v>
      </c>
    </row>
    <row r="102" spans="1:16" x14ac:dyDescent="0.3">
      <c r="A102">
        <v>1101</v>
      </c>
      <c r="B102" t="s">
        <v>49</v>
      </c>
      <c r="C102">
        <v>2023</v>
      </c>
      <c r="D102" t="s">
        <v>50</v>
      </c>
      <c r="E102" t="s">
        <v>44</v>
      </c>
      <c r="F102" t="s">
        <v>62</v>
      </c>
      <c r="G102" t="s">
        <v>27</v>
      </c>
      <c r="H102" t="s">
        <v>54</v>
      </c>
      <c r="I102" t="s">
        <v>48</v>
      </c>
      <c r="J102">
        <v>1</v>
      </c>
      <c r="K102">
        <v>22</v>
      </c>
      <c r="L102">
        <v>6</v>
      </c>
      <c r="M102">
        <v>1003266</v>
      </c>
      <c r="N102">
        <v>6019596</v>
      </c>
      <c r="O102">
        <v>5403389</v>
      </c>
      <c r="P102">
        <v>616207</v>
      </c>
    </row>
    <row r="103" spans="1:16" x14ac:dyDescent="0.3">
      <c r="A103">
        <v>1102</v>
      </c>
      <c r="B103" t="s">
        <v>164</v>
      </c>
      <c r="C103">
        <v>2023</v>
      </c>
      <c r="D103" t="s">
        <v>43</v>
      </c>
      <c r="E103" t="s">
        <v>25</v>
      </c>
      <c r="F103" t="s">
        <v>26</v>
      </c>
      <c r="G103" t="s">
        <v>30</v>
      </c>
      <c r="H103" t="s">
        <v>79</v>
      </c>
      <c r="I103" t="s">
        <v>48</v>
      </c>
      <c r="J103">
        <v>1.2</v>
      </c>
      <c r="K103">
        <v>19</v>
      </c>
      <c r="L103">
        <v>2</v>
      </c>
      <c r="M103">
        <v>1202185</v>
      </c>
      <c r="N103">
        <v>2404370</v>
      </c>
      <c r="O103">
        <v>1869528</v>
      </c>
      <c r="P103">
        <v>534842</v>
      </c>
    </row>
    <row r="104" spans="1:16" x14ac:dyDescent="0.3">
      <c r="A104">
        <v>1103</v>
      </c>
      <c r="B104" t="s">
        <v>165</v>
      </c>
      <c r="C104">
        <v>2023</v>
      </c>
      <c r="D104" t="s">
        <v>67</v>
      </c>
      <c r="E104" t="s">
        <v>18</v>
      </c>
      <c r="F104" t="s">
        <v>72</v>
      </c>
      <c r="G104" t="s">
        <v>46</v>
      </c>
      <c r="H104" t="s">
        <v>37</v>
      </c>
      <c r="I104" t="s">
        <v>32</v>
      </c>
      <c r="J104">
        <v>1</v>
      </c>
      <c r="K104">
        <v>22</v>
      </c>
      <c r="L104">
        <v>6</v>
      </c>
      <c r="M104">
        <v>1011049</v>
      </c>
      <c r="N104">
        <v>6066294</v>
      </c>
      <c r="O104">
        <v>4592499</v>
      </c>
      <c r="P104">
        <v>1473795</v>
      </c>
    </row>
    <row r="105" spans="1:16" x14ac:dyDescent="0.3">
      <c r="A105">
        <v>1104</v>
      </c>
      <c r="B105" t="s">
        <v>166</v>
      </c>
      <c r="C105">
        <v>2023</v>
      </c>
      <c r="D105" t="s">
        <v>24</v>
      </c>
      <c r="E105" t="s">
        <v>40</v>
      </c>
      <c r="F105" t="s">
        <v>68</v>
      </c>
      <c r="G105" t="s">
        <v>51</v>
      </c>
      <c r="H105" t="s">
        <v>21</v>
      </c>
      <c r="I105" t="s">
        <v>22</v>
      </c>
      <c r="J105">
        <v>1</v>
      </c>
      <c r="K105">
        <v>21</v>
      </c>
      <c r="L105">
        <v>2</v>
      </c>
      <c r="M105">
        <v>783546</v>
      </c>
      <c r="N105">
        <v>1567092</v>
      </c>
      <c r="O105">
        <v>1317063</v>
      </c>
      <c r="P105">
        <v>250029</v>
      </c>
    </row>
    <row r="106" spans="1:16" x14ac:dyDescent="0.3">
      <c r="A106">
        <v>1105</v>
      </c>
      <c r="B106" t="s">
        <v>167</v>
      </c>
      <c r="C106">
        <v>2023</v>
      </c>
      <c r="D106" t="s">
        <v>29</v>
      </c>
      <c r="E106" t="s">
        <v>40</v>
      </c>
      <c r="F106" t="s">
        <v>41</v>
      </c>
      <c r="G106" t="s">
        <v>46</v>
      </c>
      <c r="H106" t="s">
        <v>79</v>
      </c>
      <c r="I106" t="s">
        <v>48</v>
      </c>
      <c r="J106">
        <v>1.2</v>
      </c>
      <c r="K106">
        <v>22</v>
      </c>
      <c r="L106">
        <v>3</v>
      </c>
      <c r="M106">
        <v>1216649</v>
      </c>
      <c r="N106">
        <v>3649947</v>
      </c>
      <c r="O106">
        <v>3238078</v>
      </c>
      <c r="P106">
        <v>411869</v>
      </c>
    </row>
    <row r="107" spans="1:16" x14ac:dyDescent="0.3">
      <c r="A107">
        <v>1106</v>
      </c>
      <c r="B107" t="s">
        <v>168</v>
      </c>
      <c r="C107">
        <v>2024</v>
      </c>
      <c r="D107" t="s">
        <v>76</v>
      </c>
      <c r="E107" t="s">
        <v>25</v>
      </c>
      <c r="F107" t="s">
        <v>77</v>
      </c>
      <c r="G107" t="s">
        <v>46</v>
      </c>
      <c r="H107" t="s">
        <v>52</v>
      </c>
      <c r="I107" t="s">
        <v>22</v>
      </c>
      <c r="J107">
        <v>2</v>
      </c>
      <c r="K107">
        <v>16</v>
      </c>
      <c r="L107">
        <v>2</v>
      </c>
      <c r="M107">
        <v>1421354</v>
      </c>
      <c r="N107">
        <v>2842708</v>
      </c>
      <c r="O107">
        <v>2151718</v>
      </c>
      <c r="P107">
        <v>690990</v>
      </c>
    </row>
    <row r="108" spans="1:16" x14ac:dyDescent="0.3">
      <c r="A108">
        <v>1107</v>
      </c>
      <c r="B108" t="s">
        <v>169</v>
      </c>
      <c r="C108">
        <v>2023</v>
      </c>
      <c r="D108" t="s">
        <v>17</v>
      </c>
      <c r="E108" t="s">
        <v>40</v>
      </c>
      <c r="F108" t="s">
        <v>41</v>
      </c>
      <c r="G108" t="s">
        <v>59</v>
      </c>
      <c r="H108" t="s">
        <v>63</v>
      </c>
      <c r="I108" t="s">
        <v>22</v>
      </c>
      <c r="J108">
        <v>1.2</v>
      </c>
      <c r="K108">
        <v>19</v>
      </c>
      <c r="L108">
        <v>3</v>
      </c>
      <c r="M108">
        <v>613158</v>
      </c>
      <c r="N108">
        <v>1839474</v>
      </c>
      <c r="O108">
        <v>1529967</v>
      </c>
      <c r="P108">
        <v>309507</v>
      </c>
    </row>
    <row r="109" spans="1:16" x14ac:dyDescent="0.3">
      <c r="A109">
        <v>1108</v>
      </c>
      <c r="B109" t="s">
        <v>170</v>
      </c>
      <c r="C109">
        <v>2024</v>
      </c>
      <c r="D109" t="s">
        <v>61</v>
      </c>
      <c r="E109" t="s">
        <v>40</v>
      </c>
      <c r="F109" t="s">
        <v>120</v>
      </c>
      <c r="G109" t="s">
        <v>90</v>
      </c>
      <c r="H109" t="s">
        <v>79</v>
      </c>
      <c r="I109" t="s">
        <v>48</v>
      </c>
      <c r="J109">
        <v>1.5</v>
      </c>
      <c r="K109">
        <v>20</v>
      </c>
      <c r="L109">
        <v>1</v>
      </c>
      <c r="M109">
        <v>1479721</v>
      </c>
      <c r="N109">
        <v>1479721</v>
      </c>
      <c r="O109">
        <v>1231888</v>
      </c>
      <c r="P109">
        <v>247833</v>
      </c>
    </row>
    <row r="110" spans="1:16" x14ac:dyDescent="0.3">
      <c r="A110">
        <v>1109</v>
      </c>
      <c r="B110" t="s">
        <v>171</v>
      </c>
      <c r="C110">
        <v>2023</v>
      </c>
      <c r="D110" t="s">
        <v>29</v>
      </c>
      <c r="E110" t="s">
        <v>18</v>
      </c>
      <c r="F110" t="s">
        <v>107</v>
      </c>
      <c r="G110" t="s">
        <v>36</v>
      </c>
      <c r="H110" t="s">
        <v>63</v>
      </c>
      <c r="I110" t="s">
        <v>22</v>
      </c>
      <c r="J110">
        <v>2</v>
      </c>
      <c r="K110">
        <v>19</v>
      </c>
      <c r="L110">
        <v>1</v>
      </c>
      <c r="M110">
        <v>1213847</v>
      </c>
      <c r="N110">
        <v>1213847</v>
      </c>
      <c r="O110">
        <v>945402</v>
      </c>
      <c r="P110">
        <v>268445</v>
      </c>
    </row>
    <row r="111" spans="1:16" x14ac:dyDescent="0.3">
      <c r="A111">
        <v>1110</v>
      </c>
      <c r="B111" t="s">
        <v>172</v>
      </c>
      <c r="C111">
        <v>2024</v>
      </c>
      <c r="D111" t="s">
        <v>17</v>
      </c>
      <c r="E111" t="s">
        <v>18</v>
      </c>
      <c r="F111" t="s">
        <v>35</v>
      </c>
      <c r="G111" t="s">
        <v>46</v>
      </c>
      <c r="H111" t="s">
        <v>79</v>
      </c>
      <c r="I111" t="s">
        <v>48</v>
      </c>
      <c r="J111">
        <v>2</v>
      </c>
      <c r="K111">
        <v>22</v>
      </c>
      <c r="L111">
        <v>5</v>
      </c>
      <c r="M111">
        <v>1033717</v>
      </c>
      <c r="N111">
        <v>5168585</v>
      </c>
      <c r="O111">
        <v>4329382</v>
      </c>
      <c r="P111">
        <v>839203</v>
      </c>
    </row>
    <row r="112" spans="1:16" x14ac:dyDescent="0.3">
      <c r="A112">
        <v>1111</v>
      </c>
      <c r="B112" t="s">
        <v>173</v>
      </c>
      <c r="C112">
        <v>2023</v>
      </c>
      <c r="D112" t="s">
        <v>61</v>
      </c>
      <c r="E112" t="s">
        <v>44</v>
      </c>
      <c r="F112" t="s">
        <v>45</v>
      </c>
      <c r="G112" t="s">
        <v>20</v>
      </c>
      <c r="H112" t="s">
        <v>47</v>
      </c>
      <c r="I112" t="s">
        <v>48</v>
      </c>
      <c r="J112">
        <v>2</v>
      </c>
      <c r="K112">
        <v>16</v>
      </c>
      <c r="L112">
        <v>1</v>
      </c>
      <c r="M112">
        <v>1171344</v>
      </c>
      <c r="N112">
        <v>1171344</v>
      </c>
      <c r="O112">
        <v>942722</v>
      </c>
      <c r="P112">
        <v>228622</v>
      </c>
    </row>
    <row r="113" spans="1:16" x14ac:dyDescent="0.3">
      <c r="A113">
        <v>1112</v>
      </c>
      <c r="B113" t="s">
        <v>174</v>
      </c>
      <c r="C113">
        <v>2023</v>
      </c>
      <c r="D113" t="s">
        <v>61</v>
      </c>
      <c r="E113" t="s">
        <v>40</v>
      </c>
      <c r="F113" t="s">
        <v>120</v>
      </c>
      <c r="G113" t="s">
        <v>30</v>
      </c>
      <c r="H113" t="s">
        <v>31</v>
      </c>
      <c r="I113" t="s">
        <v>32</v>
      </c>
      <c r="J113">
        <v>1</v>
      </c>
      <c r="K113">
        <v>18</v>
      </c>
      <c r="L113">
        <v>4</v>
      </c>
      <c r="M113">
        <v>1068354</v>
      </c>
      <c r="N113">
        <v>4273416</v>
      </c>
      <c r="O113">
        <v>3219598</v>
      </c>
      <c r="P113">
        <v>1053818</v>
      </c>
    </row>
    <row r="114" spans="1:16" x14ac:dyDescent="0.3">
      <c r="A114">
        <v>1113</v>
      </c>
      <c r="B114" t="s">
        <v>175</v>
      </c>
      <c r="C114">
        <v>2024</v>
      </c>
      <c r="D114" t="s">
        <v>24</v>
      </c>
      <c r="E114" t="s">
        <v>40</v>
      </c>
      <c r="F114" t="s">
        <v>120</v>
      </c>
      <c r="G114" t="s">
        <v>36</v>
      </c>
      <c r="H114" t="s">
        <v>47</v>
      </c>
      <c r="I114" t="s">
        <v>48</v>
      </c>
      <c r="J114">
        <v>2</v>
      </c>
      <c r="K114">
        <v>22</v>
      </c>
      <c r="L114">
        <v>7</v>
      </c>
      <c r="M114">
        <v>1277143</v>
      </c>
      <c r="N114">
        <v>8940001</v>
      </c>
      <c r="O114">
        <v>7307777</v>
      </c>
      <c r="P114">
        <v>1632224</v>
      </c>
    </row>
    <row r="115" spans="1:16" x14ac:dyDescent="0.3">
      <c r="A115">
        <v>1114</v>
      </c>
      <c r="B115" t="s">
        <v>174</v>
      </c>
      <c r="C115">
        <v>2023</v>
      </c>
      <c r="D115" t="s">
        <v>61</v>
      </c>
      <c r="E115" t="s">
        <v>25</v>
      </c>
      <c r="F115" t="s">
        <v>58</v>
      </c>
      <c r="G115" t="s">
        <v>36</v>
      </c>
      <c r="H115" t="s">
        <v>54</v>
      </c>
      <c r="I115" t="s">
        <v>48</v>
      </c>
      <c r="J115">
        <v>1.2</v>
      </c>
      <c r="K115">
        <v>21</v>
      </c>
      <c r="L115">
        <v>5</v>
      </c>
      <c r="M115">
        <v>1360916</v>
      </c>
      <c r="N115">
        <v>6804580</v>
      </c>
      <c r="O115">
        <v>5316133</v>
      </c>
      <c r="P115">
        <v>1488447</v>
      </c>
    </row>
    <row r="116" spans="1:16" x14ac:dyDescent="0.3">
      <c r="A116">
        <v>1115</v>
      </c>
      <c r="B116" t="s">
        <v>176</v>
      </c>
      <c r="C116">
        <v>2023</v>
      </c>
      <c r="D116" t="s">
        <v>39</v>
      </c>
      <c r="E116" t="s">
        <v>44</v>
      </c>
      <c r="F116" t="s">
        <v>92</v>
      </c>
      <c r="G116" t="s">
        <v>51</v>
      </c>
      <c r="H116" t="s">
        <v>54</v>
      </c>
      <c r="I116" t="s">
        <v>48</v>
      </c>
      <c r="J116">
        <v>1.2</v>
      </c>
      <c r="K116">
        <v>21</v>
      </c>
      <c r="L116">
        <v>6</v>
      </c>
      <c r="M116">
        <v>1399949</v>
      </c>
      <c r="N116">
        <v>8399694</v>
      </c>
      <c r="O116">
        <v>6446284</v>
      </c>
      <c r="P116">
        <v>1953410</v>
      </c>
    </row>
    <row r="117" spans="1:16" x14ac:dyDescent="0.3">
      <c r="A117">
        <v>1116</v>
      </c>
      <c r="B117" t="s">
        <v>177</v>
      </c>
      <c r="C117">
        <v>2023</v>
      </c>
      <c r="D117" t="s">
        <v>76</v>
      </c>
      <c r="E117" t="s">
        <v>40</v>
      </c>
      <c r="F117" t="s">
        <v>104</v>
      </c>
      <c r="G117" t="s">
        <v>27</v>
      </c>
      <c r="H117" t="s">
        <v>56</v>
      </c>
      <c r="I117" t="s">
        <v>48</v>
      </c>
      <c r="J117">
        <v>1.2</v>
      </c>
      <c r="K117">
        <v>23</v>
      </c>
      <c r="L117">
        <v>5</v>
      </c>
      <c r="M117">
        <v>669288</v>
      </c>
      <c r="N117">
        <v>3346440</v>
      </c>
      <c r="O117">
        <v>2848848</v>
      </c>
      <c r="P117">
        <v>497592</v>
      </c>
    </row>
    <row r="118" spans="1:16" x14ac:dyDescent="0.3">
      <c r="A118">
        <v>1117</v>
      </c>
      <c r="B118" t="s">
        <v>178</v>
      </c>
      <c r="C118">
        <v>2024</v>
      </c>
      <c r="D118" t="s">
        <v>76</v>
      </c>
      <c r="E118" t="s">
        <v>44</v>
      </c>
      <c r="F118" t="s">
        <v>70</v>
      </c>
      <c r="G118" t="s">
        <v>27</v>
      </c>
      <c r="H118" t="s">
        <v>47</v>
      </c>
      <c r="I118" t="s">
        <v>48</v>
      </c>
      <c r="J118">
        <v>1</v>
      </c>
      <c r="K118">
        <v>18</v>
      </c>
      <c r="L118">
        <v>1</v>
      </c>
      <c r="M118">
        <v>857467</v>
      </c>
      <c r="N118">
        <v>857467</v>
      </c>
      <c r="O118">
        <v>729738</v>
      </c>
      <c r="P118">
        <v>127729</v>
      </c>
    </row>
    <row r="119" spans="1:16" x14ac:dyDescent="0.3">
      <c r="A119">
        <v>1118</v>
      </c>
      <c r="B119" t="s">
        <v>179</v>
      </c>
      <c r="C119">
        <v>2023</v>
      </c>
      <c r="D119" t="s">
        <v>29</v>
      </c>
      <c r="E119" t="s">
        <v>25</v>
      </c>
      <c r="F119" t="s">
        <v>84</v>
      </c>
      <c r="G119" t="s">
        <v>46</v>
      </c>
      <c r="H119" t="s">
        <v>21</v>
      </c>
      <c r="I119" t="s">
        <v>22</v>
      </c>
      <c r="J119">
        <v>1</v>
      </c>
      <c r="K119">
        <v>19</v>
      </c>
      <c r="L119">
        <v>3</v>
      </c>
      <c r="M119">
        <v>952729</v>
      </c>
      <c r="N119">
        <v>2858187</v>
      </c>
      <c r="O119">
        <v>2478763</v>
      </c>
      <c r="P119">
        <v>379424</v>
      </c>
    </row>
    <row r="120" spans="1:16" x14ac:dyDescent="0.3">
      <c r="A120">
        <v>1119</v>
      </c>
      <c r="B120" t="s">
        <v>180</v>
      </c>
      <c r="C120">
        <v>2024</v>
      </c>
      <c r="D120" t="s">
        <v>76</v>
      </c>
      <c r="E120" t="s">
        <v>44</v>
      </c>
      <c r="F120" t="s">
        <v>62</v>
      </c>
      <c r="G120" t="s">
        <v>59</v>
      </c>
      <c r="H120" t="s">
        <v>21</v>
      </c>
      <c r="I120" t="s">
        <v>22</v>
      </c>
      <c r="J120">
        <v>1.2</v>
      </c>
      <c r="K120">
        <v>16</v>
      </c>
      <c r="L120">
        <v>6</v>
      </c>
      <c r="M120">
        <v>798874</v>
      </c>
      <c r="N120">
        <v>4793244</v>
      </c>
      <c r="O120">
        <v>3729255</v>
      </c>
      <c r="P120">
        <v>1063989</v>
      </c>
    </row>
    <row r="121" spans="1:16" x14ac:dyDescent="0.3">
      <c r="A121">
        <v>1120</v>
      </c>
      <c r="B121" t="s">
        <v>181</v>
      </c>
      <c r="C121">
        <v>2023</v>
      </c>
      <c r="D121" t="s">
        <v>76</v>
      </c>
      <c r="E121" t="s">
        <v>25</v>
      </c>
      <c r="F121" t="s">
        <v>26</v>
      </c>
      <c r="G121" t="s">
        <v>30</v>
      </c>
      <c r="H121" t="s">
        <v>47</v>
      </c>
      <c r="I121" t="s">
        <v>48</v>
      </c>
      <c r="J121">
        <v>1.5</v>
      </c>
      <c r="K121">
        <v>20</v>
      </c>
      <c r="L121">
        <v>2</v>
      </c>
      <c r="M121">
        <v>1131319</v>
      </c>
      <c r="N121">
        <v>2262638</v>
      </c>
      <c r="O121">
        <v>1833039</v>
      </c>
      <c r="P121">
        <v>429599</v>
      </c>
    </row>
    <row r="122" spans="1:16" x14ac:dyDescent="0.3">
      <c r="A122">
        <v>1121</v>
      </c>
      <c r="B122" t="s">
        <v>38</v>
      </c>
      <c r="C122">
        <v>2024</v>
      </c>
      <c r="D122" t="s">
        <v>39</v>
      </c>
      <c r="E122" t="s">
        <v>44</v>
      </c>
      <c r="F122" t="s">
        <v>45</v>
      </c>
      <c r="G122" t="s">
        <v>51</v>
      </c>
      <c r="H122" t="s">
        <v>21</v>
      </c>
      <c r="I122" t="s">
        <v>22</v>
      </c>
      <c r="J122">
        <v>1.5</v>
      </c>
      <c r="K122">
        <v>22</v>
      </c>
      <c r="L122">
        <v>4</v>
      </c>
      <c r="M122">
        <v>1237526</v>
      </c>
      <c r="N122">
        <v>4950104</v>
      </c>
      <c r="O122">
        <v>3799775</v>
      </c>
      <c r="P122">
        <v>1150329</v>
      </c>
    </row>
    <row r="123" spans="1:16" x14ac:dyDescent="0.3">
      <c r="A123">
        <v>1122</v>
      </c>
      <c r="B123" t="s">
        <v>182</v>
      </c>
      <c r="C123">
        <v>2024</v>
      </c>
      <c r="D123" t="s">
        <v>24</v>
      </c>
      <c r="E123" t="s">
        <v>25</v>
      </c>
      <c r="F123" t="s">
        <v>26</v>
      </c>
      <c r="G123" t="s">
        <v>20</v>
      </c>
      <c r="H123" t="s">
        <v>63</v>
      </c>
      <c r="I123" t="s">
        <v>22</v>
      </c>
      <c r="J123">
        <v>1.5</v>
      </c>
      <c r="K123">
        <v>16</v>
      </c>
      <c r="L123">
        <v>3</v>
      </c>
      <c r="M123">
        <v>1180204</v>
      </c>
      <c r="N123">
        <v>3540612</v>
      </c>
      <c r="O123">
        <v>2939086</v>
      </c>
      <c r="P123">
        <v>601526</v>
      </c>
    </row>
    <row r="124" spans="1:16" x14ac:dyDescent="0.3">
      <c r="A124">
        <v>1123</v>
      </c>
      <c r="B124" t="s">
        <v>183</v>
      </c>
      <c r="C124">
        <v>2024</v>
      </c>
      <c r="D124" t="s">
        <v>67</v>
      </c>
      <c r="E124" t="s">
        <v>18</v>
      </c>
      <c r="F124" t="s">
        <v>72</v>
      </c>
      <c r="G124" t="s">
        <v>90</v>
      </c>
      <c r="H124" t="s">
        <v>79</v>
      </c>
      <c r="I124" t="s">
        <v>48</v>
      </c>
      <c r="J124">
        <v>1</v>
      </c>
      <c r="K124">
        <v>23</v>
      </c>
      <c r="L124">
        <v>6</v>
      </c>
      <c r="M124">
        <v>1345154</v>
      </c>
      <c r="N124">
        <v>8070924</v>
      </c>
      <c r="O124">
        <v>7209345</v>
      </c>
      <c r="P124">
        <v>861579</v>
      </c>
    </row>
    <row r="125" spans="1:16" x14ac:dyDescent="0.3">
      <c r="A125">
        <v>1124</v>
      </c>
      <c r="B125" t="s">
        <v>184</v>
      </c>
      <c r="C125">
        <v>2024</v>
      </c>
      <c r="D125" t="s">
        <v>50</v>
      </c>
      <c r="E125" t="s">
        <v>44</v>
      </c>
      <c r="F125" t="s">
        <v>45</v>
      </c>
      <c r="G125" t="s">
        <v>90</v>
      </c>
      <c r="H125" t="s">
        <v>100</v>
      </c>
      <c r="I125" t="s">
        <v>22</v>
      </c>
      <c r="J125">
        <v>2</v>
      </c>
      <c r="K125">
        <v>19</v>
      </c>
      <c r="L125">
        <v>8</v>
      </c>
      <c r="M125">
        <v>1213003</v>
      </c>
      <c r="N125">
        <v>9704024</v>
      </c>
      <c r="O125">
        <v>7629315</v>
      </c>
      <c r="P125">
        <v>2074709</v>
      </c>
    </row>
    <row r="126" spans="1:16" x14ac:dyDescent="0.3">
      <c r="A126">
        <v>1125</v>
      </c>
      <c r="B126" t="s">
        <v>185</v>
      </c>
      <c r="C126">
        <v>2023</v>
      </c>
      <c r="D126" t="s">
        <v>74</v>
      </c>
      <c r="E126" t="s">
        <v>44</v>
      </c>
      <c r="F126" t="s">
        <v>70</v>
      </c>
      <c r="G126" t="s">
        <v>27</v>
      </c>
      <c r="H126" t="s">
        <v>100</v>
      </c>
      <c r="I126" t="s">
        <v>22</v>
      </c>
      <c r="J126">
        <v>1.5</v>
      </c>
      <c r="K126">
        <v>16</v>
      </c>
      <c r="L126">
        <v>7</v>
      </c>
      <c r="M126">
        <v>864959</v>
      </c>
      <c r="N126">
        <v>6054713</v>
      </c>
      <c r="O126">
        <v>4925345</v>
      </c>
      <c r="P126">
        <v>1129368</v>
      </c>
    </row>
    <row r="127" spans="1:16" x14ac:dyDescent="0.3">
      <c r="A127">
        <v>1126</v>
      </c>
      <c r="B127" t="s">
        <v>186</v>
      </c>
      <c r="C127">
        <v>2023</v>
      </c>
      <c r="D127" t="s">
        <v>50</v>
      </c>
      <c r="E127" t="s">
        <v>40</v>
      </c>
      <c r="F127" t="s">
        <v>41</v>
      </c>
      <c r="G127" t="s">
        <v>30</v>
      </c>
      <c r="H127" t="s">
        <v>31</v>
      </c>
      <c r="I127" t="s">
        <v>32</v>
      </c>
      <c r="J127">
        <v>1.5</v>
      </c>
      <c r="K127">
        <v>22</v>
      </c>
      <c r="L127">
        <v>8</v>
      </c>
      <c r="M127">
        <v>1442541</v>
      </c>
      <c r="N127">
        <v>11540328</v>
      </c>
      <c r="O127">
        <v>10025450</v>
      </c>
      <c r="P127">
        <v>1514878</v>
      </c>
    </row>
    <row r="128" spans="1:16" x14ac:dyDescent="0.3">
      <c r="A128">
        <v>1127</v>
      </c>
      <c r="B128" t="s">
        <v>132</v>
      </c>
      <c r="C128">
        <v>2023</v>
      </c>
      <c r="D128" t="s">
        <v>24</v>
      </c>
      <c r="E128" t="s">
        <v>40</v>
      </c>
      <c r="F128" t="s">
        <v>68</v>
      </c>
      <c r="G128" t="s">
        <v>36</v>
      </c>
      <c r="H128" t="s">
        <v>100</v>
      </c>
      <c r="I128" t="s">
        <v>22</v>
      </c>
      <c r="J128">
        <v>1</v>
      </c>
      <c r="K128">
        <v>16</v>
      </c>
      <c r="L128">
        <v>3</v>
      </c>
      <c r="M128">
        <v>894272</v>
      </c>
      <c r="N128">
        <v>2682816</v>
      </c>
      <c r="O128">
        <v>2087441</v>
      </c>
      <c r="P128">
        <v>595375</v>
      </c>
    </row>
    <row r="129" spans="1:16" x14ac:dyDescent="0.3">
      <c r="A129">
        <v>1128</v>
      </c>
      <c r="B129" t="s">
        <v>187</v>
      </c>
      <c r="C129">
        <v>2024</v>
      </c>
      <c r="D129" t="s">
        <v>74</v>
      </c>
      <c r="E129" t="s">
        <v>44</v>
      </c>
      <c r="F129" t="s">
        <v>45</v>
      </c>
      <c r="G129" t="s">
        <v>30</v>
      </c>
      <c r="H129" t="s">
        <v>31</v>
      </c>
      <c r="I129" t="s">
        <v>32</v>
      </c>
      <c r="J129">
        <v>1.2</v>
      </c>
      <c r="K129">
        <v>21</v>
      </c>
      <c r="L129">
        <v>7</v>
      </c>
      <c r="M129">
        <v>1449304</v>
      </c>
      <c r="N129">
        <v>10145128</v>
      </c>
      <c r="O129">
        <v>8252192</v>
      </c>
      <c r="P129">
        <v>1892936</v>
      </c>
    </row>
    <row r="130" spans="1:16" x14ac:dyDescent="0.3">
      <c r="A130">
        <v>1129</v>
      </c>
      <c r="B130" t="s">
        <v>188</v>
      </c>
      <c r="C130">
        <v>2024</v>
      </c>
      <c r="D130" t="s">
        <v>29</v>
      </c>
      <c r="E130" t="s">
        <v>44</v>
      </c>
      <c r="F130" t="s">
        <v>45</v>
      </c>
      <c r="G130" t="s">
        <v>27</v>
      </c>
      <c r="H130" t="s">
        <v>47</v>
      </c>
      <c r="I130" t="s">
        <v>48</v>
      </c>
      <c r="J130">
        <v>1.5</v>
      </c>
      <c r="K130">
        <v>20</v>
      </c>
      <c r="L130">
        <v>2</v>
      </c>
      <c r="M130">
        <v>748971</v>
      </c>
      <c r="N130">
        <v>1497942</v>
      </c>
      <c r="O130">
        <v>1143406</v>
      </c>
      <c r="P130">
        <v>354536</v>
      </c>
    </row>
    <row r="131" spans="1:16" x14ac:dyDescent="0.3">
      <c r="A131">
        <v>1130</v>
      </c>
      <c r="B131" t="s">
        <v>189</v>
      </c>
      <c r="C131">
        <v>2024</v>
      </c>
      <c r="D131" t="s">
        <v>97</v>
      </c>
      <c r="E131" t="s">
        <v>25</v>
      </c>
      <c r="F131" t="s">
        <v>58</v>
      </c>
      <c r="G131" t="s">
        <v>20</v>
      </c>
      <c r="H131" t="s">
        <v>63</v>
      </c>
      <c r="I131" t="s">
        <v>22</v>
      </c>
      <c r="J131">
        <v>1.2</v>
      </c>
      <c r="K131">
        <v>23</v>
      </c>
      <c r="L131">
        <v>8</v>
      </c>
      <c r="M131">
        <v>1102941</v>
      </c>
      <c r="N131">
        <v>8823528</v>
      </c>
      <c r="O131">
        <v>6787034</v>
      </c>
      <c r="P131">
        <v>2036494</v>
      </c>
    </row>
    <row r="132" spans="1:16" x14ac:dyDescent="0.3">
      <c r="A132">
        <v>1131</v>
      </c>
      <c r="B132" t="s">
        <v>121</v>
      </c>
      <c r="C132">
        <v>2023</v>
      </c>
      <c r="D132" t="s">
        <v>67</v>
      </c>
      <c r="E132" t="s">
        <v>40</v>
      </c>
      <c r="F132" t="s">
        <v>104</v>
      </c>
      <c r="G132" t="s">
        <v>36</v>
      </c>
      <c r="H132" t="s">
        <v>56</v>
      </c>
      <c r="I132" t="s">
        <v>48</v>
      </c>
      <c r="J132">
        <v>2</v>
      </c>
      <c r="K132">
        <v>22</v>
      </c>
      <c r="L132">
        <v>6</v>
      </c>
      <c r="M132">
        <v>714558</v>
      </c>
      <c r="N132">
        <v>4287348</v>
      </c>
      <c r="O132">
        <v>3806482</v>
      </c>
      <c r="P132">
        <v>480866</v>
      </c>
    </row>
    <row r="133" spans="1:16" x14ac:dyDescent="0.3">
      <c r="A133">
        <v>1132</v>
      </c>
      <c r="B133" t="s">
        <v>190</v>
      </c>
      <c r="C133">
        <v>2023</v>
      </c>
      <c r="D133" t="s">
        <v>61</v>
      </c>
      <c r="E133" t="s">
        <v>44</v>
      </c>
      <c r="F133" t="s">
        <v>92</v>
      </c>
      <c r="G133" t="s">
        <v>27</v>
      </c>
      <c r="H133" t="s">
        <v>63</v>
      </c>
      <c r="I133" t="s">
        <v>22</v>
      </c>
      <c r="J133">
        <v>1.2</v>
      </c>
      <c r="K133">
        <v>21</v>
      </c>
      <c r="L133">
        <v>4</v>
      </c>
      <c r="M133">
        <v>672699</v>
      </c>
      <c r="N133">
        <v>2690796</v>
      </c>
      <c r="O133">
        <v>2316135</v>
      </c>
      <c r="P133">
        <v>374661</v>
      </c>
    </row>
    <row r="134" spans="1:16" x14ac:dyDescent="0.3">
      <c r="A134">
        <v>1133</v>
      </c>
      <c r="B134" t="s">
        <v>191</v>
      </c>
      <c r="C134">
        <v>2024</v>
      </c>
      <c r="D134" t="s">
        <v>34</v>
      </c>
      <c r="E134" t="s">
        <v>44</v>
      </c>
      <c r="F134" t="s">
        <v>70</v>
      </c>
      <c r="G134" t="s">
        <v>46</v>
      </c>
      <c r="H134" t="s">
        <v>47</v>
      </c>
      <c r="I134" t="s">
        <v>48</v>
      </c>
      <c r="J134">
        <v>1.5</v>
      </c>
      <c r="K134">
        <v>22</v>
      </c>
      <c r="L134">
        <v>5</v>
      </c>
      <c r="M134">
        <v>1411829</v>
      </c>
      <c r="N134">
        <v>7059145</v>
      </c>
      <c r="O134">
        <v>6142415</v>
      </c>
      <c r="P134">
        <v>916730</v>
      </c>
    </row>
    <row r="135" spans="1:16" x14ac:dyDescent="0.3">
      <c r="A135">
        <v>1134</v>
      </c>
      <c r="B135" t="s">
        <v>192</v>
      </c>
      <c r="C135">
        <v>2024</v>
      </c>
      <c r="D135" t="s">
        <v>24</v>
      </c>
      <c r="E135" t="s">
        <v>40</v>
      </c>
      <c r="F135" t="s">
        <v>41</v>
      </c>
      <c r="G135" t="s">
        <v>20</v>
      </c>
      <c r="H135" t="s">
        <v>21</v>
      </c>
      <c r="I135" t="s">
        <v>22</v>
      </c>
      <c r="J135">
        <v>2</v>
      </c>
      <c r="K135">
        <v>23</v>
      </c>
      <c r="L135">
        <v>5</v>
      </c>
      <c r="M135">
        <v>1367733</v>
      </c>
      <c r="N135">
        <v>6838665</v>
      </c>
      <c r="O135">
        <v>5460146</v>
      </c>
      <c r="P135">
        <v>1378519</v>
      </c>
    </row>
    <row r="136" spans="1:16" x14ac:dyDescent="0.3">
      <c r="A136">
        <v>1135</v>
      </c>
      <c r="B136" t="s">
        <v>193</v>
      </c>
      <c r="C136">
        <v>2023</v>
      </c>
      <c r="D136" t="s">
        <v>97</v>
      </c>
      <c r="E136" t="s">
        <v>40</v>
      </c>
      <c r="F136" t="s">
        <v>68</v>
      </c>
      <c r="G136" t="s">
        <v>90</v>
      </c>
      <c r="H136" t="s">
        <v>63</v>
      </c>
      <c r="I136" t="s">
        <v>22</v>
      </c>
      <c r="J136">
        <v>1.5</v>
      </c>
      <c r="K136">
        <v>18</v>
      </c>
      <c r="L136">
        <v>8</v>
      </c>
      <c r="M136">
        <v>1162318</v>
      </c>
      <c r="N136">
        <v>9298544</v>
      </c>
      <c r="O136">
        <v>7663566</v>
      </c>
      <c r="P136">
        <v>1634978</v>
      </c>
    </row>
    <row r="137" spans="1:16" x14ac:dyDescent="0.3">
      <c r="A137">
        <v>1136</v>
      </c>
      <c r="B137" t="s">
        <v>194</v>
      </c>
      <c r="C137">
        <v>2024</v>
      </c>
      <c r="D137" t="s">
        <v>67</v>
      </c>
      <c r="E137" t="s">
        <v>40</v>
      </c>
      <c r="F137" t="s">
        <v>104</v>
      </c>
      <c r="G137" t="s">
        <v>20</v>
      </c>
      <c r="H137" t="s">
        <v>63</v>
      </c>
      <c r="I137" t="s">
        <v>22</v>
      </c>
      <c r="J137">
        <v>1</v>
      </c>
      <c r="K137">
        <v>16</v>
      </c>
      <c r="L137">
        <v>2</v>
      </c>
      <c r="M137">
        <v>740086</v>
      </c>
      <c r="N137">
        <v>1480172</v>
      </c>
      <c r="O137">
        <v>1306133</v>
      </c>
      <c r="P137">
        <v>174039</v>
      </c>
    </row>
    <row r="138" spans="1:16" x14ac:dyDescent="0.3">
      <c r="A138">
        <v>1137</v>
      </c>
      <c r="B138" t="s">
        <v>141</v>
      </c>
      <c r="C138">
        <v>2023</v>
      </c>
      <c r="D138" t="s">
        <v>50</v>
      </c>
      <c r="E138" t="s">
        <v>18</v>
      </c>
      <c r="F138" t="s">
        <v>19</v>
      </c>
      <c r="G138" t="s">
        <v>59</v>
      </c>
      <c r="H138" t="s">
        <v>79</v>
      </c>
      <c r="I138" t="s">
        <v>48</v>
      </c>
      <c r="J138">
        <v>1.2</v>
      </c>
      <c r="K138">
        <v>18</v>
      </c>
      <c r="L138">
        <v>1</v>
      </c>
      <c r="M138">
        <v>810830</v>
      </c>
      <c r="N138">
        <v>810830</v>
      </c>
      <c r="O138">
        <v>675833</v>
      </c>
      <c r="P138">
        <v>134997</v>
      </c>
    </row>
    <row r="139" spans="1:16" x14ac:dyDescent="0.3">
      <c r="A139">
        <v>1138</v>
      </c>
      <c r="B139" t="s">
        <v>195</v>
      </c>
      <c r="C139">
        <v>2023</v>
      </c>
      <c r="D139" t="s">
        <v>76</v>
      </c>
      <c r="E139" t="s">
        <v>25</v>
      </c>
      <c r="F139" t="s">
        <v>26</v>
      </c>
      <c r="G139" t="s">
        <v>36</v>
      </c>
      <c r="H139" t="s">
        <v>21</v>
      </c>
      <c r="I139" t="s">
        <v>22</v>
      </c>
      <c r="J139">
        <v>1.2</v>
      </c>
      <c r="K139">
        <v>19</v>
      </c>
      <c r="L139">
        <v>2</v>
      </c>
      <c r="M139">
        <v>1082679</v>
      </c>
      <c r="N139">
        <v>2165358</v>
      </c>
      <c r="O139">
        <v>1729255</v>
      </c>
      <c r="P139">
        <v>436103</v>
      </c>
    </row>
    <row r="140" spans="1:16" x14ac:dyDescent="0.3">
      <c r="A140">
        <v>1139</v>
      </c>
      <c r="B140" t="s">
        <v>196</v>
      </c>
      <c r="C140">
        <v>2023</v>
      </c>
      <c r="D140" t="s">
        <v>39</v>
      </c>
      <c r="E140" t="s">
        <v>44</v>
      </c>
      <c r="F140" t="s">
        <v>92</v>
      </c>
      <c r="G140" t="s">
        <v>90</v>
      </c>
      <c r="H140" t="s">
        <v>37</v>
      </c>
      <c r="I140" t="s">
        <v>32</v>
      </c>
      <c r="J140">
        <v>1.5</v>
      </c>
      <c r="K140">
        <v>19</v>
      </c>
      <c r="L140">
        <v>4</v>
      </c>
      <c r="M140">
        <v>842586</v>
      </c>
      <c r="N140">
        <v>3370344</v>
      </c>
      <c r="O140">
        <v>2935497</v>
      </c>
      <c r="P140">
        <v>434847</v>
      </c>
    </row>
    <row r="141" spans="1:16" x14ac:dyDescent="0.3">
      <c r="A141">
        <v>1140</v>
      </c>
      <c r="B141" t="s">
        <v>197</v>
      </c>
      <c r="C141">
        <v>2024</v>
      </c>
      <c r="D141" t="s">
        <v>76</v>
      </c>
      <c r="E141" t="s">
        <v>44</v>
      </c>
      <c r="F141" t="s">
        <v>70</v>
      </c>
      <c r="G141" t="s">
        <v>46</v>
      </c>
      <c r="H141" t="s">
        <v>54</v>
      </c>
      <c r="I141" t="s">
        <v>48</v>
      </c>
      <c r="J141">
        <v>1.5</v>
      </c>
      <c r="K141">
        <v>19</v>
      </c>
      <c r="L141">
        <v>4</v>
      </c>
      <c r="M141">
        <v>1334552</v>
      </c>
      <c r="N141">
        <v>5338208</v>
      </c>
      <c r="O141">
        <v>4004321</v>
      </c>
      <c r="P141">
        <v>1333887</v>
      </c>
    </row>
    <row r="142" spans="1:16" x14ac:dyDescent="0.3">
      <c r="A142">
        <v>1141</v>
      </c>
      <c r="B142" t="s">
        <v>198</v>
      </c>
      <c r="C142">
        <v>2024</v>
      </c>
      <c r="D142" t="s">
        <v>29</v>
      </c>
      <c r="E142" t="s">
        <v>44</v>
      </c>
      <c r="F142" t="s">
        <v>70</v>
      </c>
      <c r="G142" t="s">
        <v>51</v>
      </c>
      <c r="H142" t="s">
        <v>79</v>
      </c>
      <c r="I142" t="s">
        <v>48</v>
      </c>
      <c r="J142">
        <v>1.5</v>
      </c>
      <c r="K142">
        <v>19</v>
      </c>
      <c r="L142">
        <v>7</v>
      </c>
      <c r="M142">
        <v>936375</v>
      </c>
      <c r="N142">
        <v>6554625</v>
      </c>
      <c r="O142">
        <v>5700713</v>
      </c>
      <c r="P142">
        <v>853912</v>
      </c>
    </row>
    <row r="143" spans="1:16" x14ac:dyDescent="0.3">
      <c r="A143">
        <v>1142</v>
      </c>
      <c r="B143" t="s">
        <v>199</v>
      </c>
      <c r="C143">
        <v>2024</v>
      </c>
      <c r="D143" t="s">
        <v>76</v>
      </c>
      <c r="E143" t="s">
        <v>25</v>
      </c>
      <c r="F143" t="s">
        <v>84</v>
      </c>
      <c r="G143" t="s">
        <v>51</v>
      </c>
      <c r="H143" t="s">
        <v>31</v>
      </c>
      <c r="I143" t="s">
        <v>32</v>
      </c>
      <c r="J143">
        <v>2</v>
      </c>
      <c r="K143">
        <v>23</v>
      </c>
      <c r="L143">
        <v>5</v>
      </c>
      <c r="M143">
        <v>1487928</v>
      </c>
      <c r="N143">
        <v>7439640</v>
      </c>
      <c r="O143">
        <v>6053521</v>
      </c>
      <c r="P143">
        <v>1386119</v>
      </c>
    </row>
    <row r="144" spans="1:16" x14ac:dyDescent="0.3">
      <c r="A144">
        <v>1143</v>
      </c>
      <c r="B144" t="s">
        <v>200</v>
      </c>
      <c r="C144">
        <v>2024</v>
      </c>
      <c r="D144" t="s">
        <v>67</v>
      </c>
      <c r="E144" t="s">
        <v>40</v>
      </c>
      <c r="F144" t="s">
        <v>68</v>
      </c>
      <c r="G144" t="s">
        <v>51</v>
      </c>
      <c r="H144" t="s">
        <v>63</v>
      </c>
      <c r="I144" t="s">
        <v>22</v>
      </c>
      <c r="J144">
        <v>2</v>
      </c>
      <c r="K144">
        <v>21</v>
      </c>
      <c r="L144">
        <v>4</v>
      </c>
      <c r="M144">
        <v>939553</v>
      </c>
      <c r="N144">
        <v>3758212</v>
      </c>
      <c r="O144">
        <v>3187538</v>
      </c>
      <c r="P144">
        <v>570674</v>
      </c>
    </row>
    <row r="145" spans="1:16" x14ac:dyDescent="0.3">
      <c r="A145">
        <v>1144</v>
      </c>
      <c r="B145" t="s">
        <v>201</v>
      </c>
      <c r="C145">
        <v>2023</v>
      </c>
      <c r="D145" t="s">
        <v>50</v>
      </c>
      <c r="E145" t="s">
        <v>40</v>
      </c>
      <c r="F145" t="s">
        <v>120</v>
      </c>
      <c r="G145" t="s">
        <v>90</v>
      </c>
      <c r="H145" t="s">
        <v>31</v>
      </c>
      <c r="I145" t="s">
        <v>32</v>
      </c>
      <c r="J145">
        <v>1.2</v>
      </c>
      <c r="K145">
        <v>23</v>
      </c>
      <c r="L145">
        <v>2</v>
      </c>
      <c r="M145">
        <v>1236047</v>
      </c>
      <c r="N145">
        <v>2472094</v>
      </c>
      <c r="O145">
        <v>2094968</v>
      </c>
      <c r="P145">
        <v>377126</v>
      </c>
    </row>
    <row r="146" spans="1:16" x14ac:dyDescent="0.3">
      <c r="A146">
        <v>1145</v>
      </c>
      <c r="B146" t="s">
        <v>202</v>
      </c>
      <c r="C146">
        <v>2023</v>
      </c>
      <c r="D146" t="s">
        <v>67</v>
      </c>
      <c r="E146" t="s">
        <v>18</v>
      </c>
      <c r="F146" t="s">
        <v>72</v>
      </c>
      <c r="G146" t="s">
        <v>36</v>
      </c>
      <c r="H146" t="s">
        <v>56</v>
      </c>
      <c r="I146" t="s">
        <v>48</v>
      </c>
      <c r="J146">
        <v>1</v>
      </c>
      <c r="K146">
        <v>16</v>
      </c>
      <c r="L146">
        <v>2</v>
      </c>
      <c r="M146">
        <v>1044522</v>
      </c>
      <c r="N146">
        <v>2089044</v>
      </c>
      <c r="O146">
        <v>1805630</v>
      </c>
      <c r="P146">
        <v>283414</v>
      </c>
    </row>
    <row r="147" spans="1:16" x14ac:dyDescent="0.3">
      <c r="A147">
        <v>1146</v>
      </c>
      <c r="B147" t="s">
        <v>203</v>
      </c>
      <c r="C147">
        <v>2024</v>
      </c>
      <c r="D147" t="s">
        <v>61</v>
      </c>
      <c r="E147" t="s">
        <v>18</v>
      </c>
      <c r="F147" t="s">
        <v>35</v>
      </c>
      <c r="G147" t="s">
        <v>90</v>
      </c>
      <c r="H147" t="s">
        <v>79</v>
      </c>
      <c r="I147" t="s">
        <v>48</v>
      </c>
      <c r="J147">
        <v>2</v>
      </c>
      <c r="K147">
        <v>18</v>
      </c>
      <c r="L147">
        <v>5</v>
      </c>
      <c r="M147">
        <v>1111777</v>
      </c>
      <c r="N147">
        <v>5558885</v>
      </c>
      <c r="O147">
        <v>4375948</v>
      </c>
      <c r="P147">
        <v>1182937</v>
      </c>
    </row>
    <row r="148" spans="1:16" x14ac:dyDescent="0.3">
      <c r="A148">
        <v>1147</v>
      </c>
      <c r="B148" t="s">
        <v>204</v>
      </c>
      <c r="C148">
        <v>2023</v>
      </c>
      <c r="D148" t="s">
        <v>29</v>
      </c>
      <c r="E148" t="s">
        <v>25</v>
      </c>
      <c r="F148" t="s">
        <v>58</v>
      </c>
      <c r="G148" t="s">
        <v>20</v>
      </c>
      <c r="H148" t="s">
        <v>47</v>
      </c>
      <c r="I148" t="s">
        <v>48</v>
      </c>
      <c r="J148">
        <v>1.2</v>
      </c>
      <c r="K148">
        <v>22</v>
      </c>
      <c r="L148">
        <v>8</v>
      </c>
      <c r="M148">
        <v>1055127</v>
      </c>
      <c r="N148">
        <v>8441016</v>
      </c>
      <c r="O148">
        <v>7386652</v>
      </c>
      <c r="P148">
        <v>1054364</v>
      </c>
    </row>
    <row r="149" spans="1:16" x14ac:dyDescent="0.3">
      <c r="A149">
        <v>1148</v>
      </c>
      <c r="B149" t="s">
        <v>205</v>
      </c>
      <c r="C149">
        <v>2024</v>
      </c>
      <c r="D149" t="s">
        <v>17</v>
      </c>
      <c r="E149" t="s">
        <v>44</v>
      </c>
      <c r="F149" t="s">
        <v>62</v>
      </c>
      <c r="G149" t="s">
        <v>46</v>
      </c>
      <c r="H149" t="s">
        <v>54</v>
      </c>
      <c r="I149" t="s">
        <v>48</v>
      </c>
      <c r="J149">
        <v>1</v>
      </c>
      <c r="K149">
        <v>18</v>
      </c>
      <c r="L149">
        <v>7</v>
      </c>
      <c r="M149">
        <v>1128619</v>
      </c>
      <c r="N149">
        <v>7900333</v>
      </c>
      <c r="O149">
        <v>6674627</v>
      </c>
      <c r="P149">
        <v>1225706</v>
      </c>
    </row>
    <row r="150" spans="1:16" x14ac:dyDescent="0.3">
      <c r="A150">
        <v>1149</v>
      </c>
      <c r="B150" t="s">
        <v>206</v>
      </c>
      <c r="C150">
        <v>2023</v>
      </c>
      <c r="D150" t="s">
        <v>24</v>
      </c>
      <c r="E150" t="s">
        <v>44</v>
      </c>
      <c r="F150" t="s">
        <v>70</v>
      </c>
      <c r="G150" t="s">
        <v>36</v>
      </c>
      <c r="H150" t="s">
        <v>21</v>
      </c>
      <c r="I150" t="s">
        <v>22</v>
      </c>
      <c r="J150">
        <v>2</v>
      </c>
      <c r="K150">
        <v>23</v>
      </c>
      <c r="L150">
        <v>6</v>
      </c>
      <c r="M150">
        <v>910456</v>
      </c>
      <c r="N150">
        <v>5462736</v>
      </c>
      <c r="O150">
        <v>4811914</v>
      </c>
      <c r="P150">
        <v>650822</v>
      </c>
    </row>
    <row r="151" spans="1:16" x14ac:dyDescent="0.3">
      <c r="A151">
        <v>1150</v>
      </c>
      <c r="B151" t="s">
        <v>207</v>
      </c>
      <c r="C151">
        <v>2023</v>
      </c>
      <c r="D151" t="s">
        <v>29</v>
      </c>
      <c r="E151" t="s">
        <v>25</v>
      </c>
      <c r="F151" t="s">
        <v>58</v>
      </c>
      <c r="G151" t="s">
        <v>90</v>
      </c>
      <c r="H151" t="s">
        <v>100</v>
      </c>
      <c r="I151" t="s">
        <v>22</v>
      </c>
      <c r="J151">
        <v>1.5</v>
      </c>
      <c r="K151">
        <v>23</v>
      </c>
      <c r="L151">
        <v>6</v>
      </c>
      <c r="M151">
        <v>969114</v>
      </c>
      <c r="N151">
        <v>5814684</v>
      </c>
      <c r="O151">
        <v>4837544</v>
      </c>
      <c r="P151">
        <v>977140</v>
      </c>
    </row>
    <row r="152" spans="1:16" x14ac:dyDescent="0.3">
      <c r="A152">
        <v>1151</v>
      </c>
      <c r="B152" t="s">
        <v>208</v>
      </c>
      <c r="C152">
        <v>2024</v>
      </c>
      <c r="D152" t="s">
        <v>67</v>
      </c>
      <c r="E152" t="s">
        <v>40</v>
      </c>
      <c r="F152" t="s">
        <v>68</v>
      </c>
      <c r="G152" t="s">
        <v>46</v>
      </c>
      <c r="H152" t="s">
        <v>52</v>
      </c>
      <c r="I152" t="s">
        <v>22</v>
      </c>
      <c r="J152">
        <v>1.5</v>
      </c>
      <c r="K152">
        <v>19</v>
      </c>
      <c r="L152">
        <v>6</v>
      </c>
      <c r="M152">
        <v>988282</v>
      </c>
      <c r="N152">
        <v>5929692</v>
      </c>
      <c r="O152">
        <v>4852305</v>
      </c>
      <c r="P152">
        <v>1077387</v>
      </c>
    </row>
    <row r="153" spans="1:16" x14ac:dyDescent="0.3">
      <c r="A153">
        <v>1152</v>
      </c>
      <c r="B153" t="s">
        <v>209</v>
      </c>
      <c r="C153">
        <v>2023</v>
      </c>
      <c r="D153" t="s">
        <v>29</v>
      </c>
      <c r="E153" t="s">
        <v>44</v>
      </c>
      <c r="F153" t="s">
        <v>45</v>
      </c>
      <c r="G153" t="s">
        <v>27</v>
      </c>
      <c r="H153" t="s">
        <v>56</v>
      </c>
      <c r="I153" t="s">
        <v>48</v>
      </c>
      <c r="J153">
        <v>1.2</v>
      </c>
      <c r="K153">
        <v>22</v>
      </c>
      <c r="L153">
        <v>2</v>
      </c>
      <c r="M153">
        <v>915648</v>
      </c>
      <c r="N153">
        <v>1831296</v>
      </c>
      <c r="O153">
        <v>1567707</v>
      </c>
      <c r="P153">
        <v>263589</v>
      </c>
    </row>
    <row r="154" spans="1:16" x14ac:dyDescent="0.3">
      <c r="A154">
        <v>1153</v>
      </c>
      <c r="B154" t="s">
        <v>210</v>
      </c>
      <c r="C154">
        <v>2023</v>
      </c>
      <c r="D154" t="s">
        <v>97</v>
      </c>
      <c r="E154" t="s">
        <v>40</v>
      </c>
      <c r="F154" t="s">
        <v>68</v>
      </c>
      <c r="G154" t="s">
        <v>59</v>
      </c>
      <c r="H154" t="s">
        <v>100</v>
      </c>
      <c r="I154" t="s">
        <v>22</v>
      </c>
      <c r="J154">
        <v>1</v>
      </c>
      <c r="K154">
        <v>21</v>
      </c>
      <c r="L154">
        <v>6</v>
      </c>
      <c r="M154">
        <v>1060664</v>
      </c>
      <c r="N154">
        <v>6363984</v>
      </c>
      <c r="O154">
        <v>5363936</v>
      </c>
      <c r="P154">
        <v>1000048</v>
      </c>
    </row>
    <row r="155" spans="1:16" x14ac:dyDescent="0.3">
      <c r="A155">
        <v>1154</v>
      </c>
      <c r="B155" t="s">
        <v>211</v>
      </c>
      <c r="C155">
        <v>2023</v>
      </c>
      <c r="D155" t="s">
        <v>43</v>
      </c>
      <c r="E155" t="s">
        <v>40</v>
      </c>
      <c r="F155" t="s">
        <v>41</v>
      </c>
      <c r="G155" t="s">
        <v>27</v>
      </c>
      <c r="H155" t="s">
        <v>52</v>
      </c>
      <c r="I155" t="s">
        <v>22</v>
      </c>
      <c r="J155">
        <v>1.2</v>
      </c>
      <c r="K155">
        <v>19</v>
      </c>
      <c r="L155">
        <v>2</v>
      </c>
      <c r="M155">
        <v>998800</v>
      </c>
      <c r="N155">
        <v>1997600</v>
      </c>
      <c r="O155">
        <v>1589702</v>
      </c>
      <c r="P155">
        <v>407898</v>
      </c>
    </row>
    <row r="156" spans="1:16" x14ac:dyDescent="0.3">
      <c r="A156">
        <v>1155</v>
      </c>
      <c r="B156" t="s">
        <v>212</v>
      </c>
      <c r="C156">
        <v>2024</v>
      </c>
      <c r="D156" t="s">
        <v>97</v>
      </c>
      <c r="E156" t="s">
        <v>18</v>
      </c>
      <c r="F156" t="s">
        <v>35</v>
      </c>
      <c r="G156" t="s">
        <v>20</v>
      </c>
      <c r="H156" t="s">
        <v>31</v>
      </c>
      <c r="I156" t="s">
        <v>32</v>
      </c>
      <c r="J156">
        <v>1</v>
      </c>
      <c r="K156">
        <v>19</v>
      </c>
      <c r="L156">
        <v>8</v>
      </c>
      <c r="M156">
        <v>1378661</v>
      </c>
      <c r="N156">
        <v>11029288</v>
      </c>
      <c r="O156">
        <v>9368962</v>
      </c>
      <c r="P156">
        <v>1660326</v>
      </c>
    </row>
    <row r="157" spans="1:16" x14ac:dyDescent="0.3">
      <c r="A157">
        <v>1156</v>
      </c>
      <c r="B157" t="s">
        <v>121</v>
      </c>
      <c r="C157">
        <v>2023</v>
      </c>
      <c r="D157" t="s">
        <v>67</v>
      </c>
      <c r="E157" t="s">
        <v>40</v>
      </c>
      <c r="F157" t="s">
        <v>120</v>
      </c>
      <c r="G157" t="s">
        <v>20</v>
      </c>
      <c r="H157" t="s">
        <v>52</v>
      </c>
      <c r="I157" t="s">
        <v>22</v>
      </c>
      <c r="J157">
        <v>1.5</v>
      </c>
      <c r="K157">
        <v>18</v>
      </c>
      <c r="L157">
        <v>1</v>
      </c>
      <c r="M157">
        <v>796819</v>
      </c>
      <c r="N157">
        <v>796819</v>
      </c>
      <c r="O157">
        <v>607672</v>
      </c>
      <c r="P157">
        <v>189147</v>
      </c>
    </row>
    <row r="158" spans="1:16" x14ac:dyDescent="0.3">
      <c r="A158">
        <v>1157</v>
      </c>
      <c r="B158" t="s">
        <v>213</v>
      </c>
      <c r="C158">
        <v>2024</v>
      </c>
      <c r="D158" t="s">
        <v>24</v>
      </c>
      <c r="E158" t="s">
        <v>40</v>
      </c>
      <c r="F158" t="s">
        <v>120</v>
      </c>
      <c r="G158" t="s">
        <v>36</v>
      </c>
      <c r="H158" t="s">
        <v>100</v>
      </c>
      <c r="I158" t="s">
        <v>22</v>
      </c>
      <c r="J158">
        <v>2</v>
      </c>
      <c r="K158">
        <v>20</v>
      </c>
      <c r="L158">
        <v>6</v>
      </c>
      <c r="M158">
        <v>831564</v>
      </c>
      <c r="N158">
        <v>4989384</v>
      </c>
      <c r="O158">
        <v>3880020</v>
      </c>
      <c r="P158">
        <v>1109364</v>
      </c>
    </row>
    <row r="159" spans="1:16" x14ac:dyDescent="0.3">
      <c r="A159">
        <v>1158</v>
      </c>
      <c r="B159" t="s">
        <v>214</v>
      </c>
      <c r="C159">
        <v>2024</v>
      </c>
      <c r="D159" t="s">
        <v>76</v>
      </c>
      <c r="E159" t="s">
        <v>40</v>
      </c>
      <c r="F159" t="s">
        <v>68</v>
      </c>
      <c r="G159" t="s">
        <v>27</v>
      </c>
      <c r="H159" t="s">
        <v>47</v>
      </c>
      <c r="I159" t="s">
        <v>48</v>
      </c>
      <c r="J159">
        <v>1</v>
      </c>
      <c r="K159">
        <v>19</v>
      </c>
      <c r="L159">
        <v>1</v>
      </c>
      <c r="M159">
        <v>1261089</v>
      </c>
      <c r="N159">
        <v>1261089</v>
      </c>
      <c r="O159">
        <v>1080267</v>
      </c>
      <c r="P159">
        <v>180822</v>
      </c>
    </row>
    <row r="160" spans="1:16" x14ac:dyDescent="0.3">
      <c r="A160">
        <v>1159</v>
      </c>
      <c r="B160" t="s">
        <v>215</v>
      </c>
      <c r="C160">
        <v>2024</v>
      </c>
      <c r="D160" t="s">
        <v>67</v>
      </c>
      <c r="E160" t="s">
        <v>25</v>
      </c>
      <c r="F160" t="s">
        <v>84</v>
      </c>
      <c r="G160" t="s">
        <v>51</v>
      </c>
      <c r="H160" t="s">
        <v>100</v>
      </c>
      <c r="I160" t="s">
        <v>22</v>
      </c>
      <c r="J160">
        <v>2</v>
      </c>
      <c r="K160">
        <v>20</v>
      </c>
      <c r="L160">
        <v>4</v>
      </c>
      <c r="M160">
        <v>1324123</v>
      </c>
      <c r="N160">
        <v>5296492</v>
      </c>
      <c r="O160">
        <v>4019383</v>
      </c>
      <c r="P160">
        <v>1277109</v>
      </c>
    </row>
    <row r="161" spans="1:16" x14ac:dyDescent="0.3">
      <c r="A161">
        <v>1160</v>
      </c>
      <c r="B161" t="s">
        <v>216</v>
      </c>
      <c r="C161">
        <v>2024</v>
      </c>
      <c r="D161" t="s">
        <v>74</v>
      </c>
      <c r="E161" t="s">
        <v>44</v>
      </c>
      <c r="F161" t="s">
        <v>45</v>
      </c>
      <c r="G161" t="s">
        <v>20</v>
      </c>
      <c r="H161" t="s">
        <v>21</v>
      </c>
      <c r="I161" t="s">
        <v>22</v>
      </c>
      <c r="J161">
        <v>1</v>
      </c>
      <c r="K161">
        <v>18</v>
      </c>
      <c r="L161">
        <v>5</v>
      </c>
      <c r="M161">
        <v>708214</v>
      </c>
      <c r="N161">
        <v>3541070</v>
      </c>
      <c r="O161">
        <v>3128968</v>
      </c>
      <c r="P161">
        <v>412102</v>
      </c>
    </row>
    <row r="162" spans="1:16" x14ac:dyDescent="0.3">
      <c r="A162">
        <v>1161</v>
      </c>
      <c r="B162" t="s">
        <v>124</v>
      </c>
      <c r="C162">
        <v>2024</v>
      </c>
      <c r="D162" t="s">
        <v>17</v>
      </c>
      <c r="E162" t="s">
        <v>40</v>
      </c>
      <c r="F162" t="s">
        <v>68</v>
      </c>
      <c r="G162" t="s">
        <v>30</v>
      </c>
      <c r="H162" t="s">
        <v>52</v>
      </c>
      <c r="I162" t="s">
        <v>22</v>
      </c>
      <c r="J162">
        <v>1</v>
      </c>
      <c r="K162">
        <v>19</v>
      </c>
      <c r="L162">
        <v>7</v>
      </c>
      <c r="M162">
        <v>1278186</v>
      </c>
      <c r="N162">
        <v>8947302</v>
      </c>
      <c r="O162">
        <v>7632436</v>
      </c>
      <c r="P162">
        <v>1314866</v>
      </c>
    </row>
    <row r="163" spans="1:16" x14ac:dyDescent="0.3">
      <c r="A163">
        <v>1162</v>
      </c>
      <c r="B163" t="s">
        <v>217</v>
      </c>
      <c r="C163">
        <v>2024</v>
      </c>
      <c r="D163" t="s">
        <v>34</v>
      </c>
      <c r="E163" t="s">
        <v>44</v>
      </c>
      <c r="F163" t="s">
        <v>92</v>
      </c>
      <c r="G163" t="s">
        <v>59</v>
      </c>
      <c r="H163" t="s">
        <v>79</v>
      </c>
      <c r="I163" t="s">
        <v>48</v>
      </c>
      <c r="J163">
        <v>2</v>
      </c>
      <c r="K163">
        <v>23</v>
      </c>
      <c r="L163">
        <v>5</v>
      </c>
      <c r="M163">
        <v>676298</v>
      </c>
      <c r="N163">
        <v>3381490</v>
      </c>
      <c r="O163">
        <v>2860575</v>
      </c>
      <c r="P163">
        <v>520915</v>
      </c>
    </row>
    <row r="164" spans="1:16" x14ac:dyDescent="0.3">
      <c r="A164">
        <v>1163</v>
      </c>
      <c r="B164" t="s">
        <v>190</v>
      </c>
      <c r="C164">
        <v>2023</v>
      </c>
      <c r="D164" t="s">
        <v>61</v>
      </c>
      <c r="E164" t="s">
        <v>44</v>
      </c>
      <c r="F164" t="s">
        <v>45</v>
      </c>
      <c r="G164" t="s">
        <v>36</v>
      </c>
      <c r="H164" t="s">
        <v>52</v>
      </c>
      <c r="I164" t="s">
        <v>22</v>
      </c>
      <c r="J164">
        <v>1.2</v>
      </c>
      <c r="K164">
        <v>16</v>
      </c>
      <c r="L164">
        <v>5</v>
      </c>
      <c r="M164">
        <v>927364</v>
      </c>
      <c r="N164">
        <v>4636820</v>
      </c>
      <c r="O164">
        <v>3719961</v>
      </c>
      <c r="P164">
        <v>916859</v>
      </c>
    </row>
    <row r="165" spans="1:16" x14ac:dyDescent="0.3">
      <c r="A165">
        <v>1164</v>
      </c>
      <c r="B165" t="s">
        <v>218</v>
      </c>
      <c r="C165">
        <v>2024</v>
      </c>
      <c r="D165" t="s">
        <v>97</v>
      </c>
      <c r="E165" t="s">
        <v>40</v>
      </c>
      <c r="F165" t="s">
        <v>104</v>
      </c>
      <c r="G165" t="s">
        <v>59</v>
      </c>
      <c r="H165" t="s">
        <v>63</v>
      </c>
      <c r="I165" t="s">
        <v>22</v>
      </c>
      <c r="J165">
        <v>1</v>
      </c>
      <c r="K165">
        <v>22</v>
      </c>
      <c r="L165">
        <v>8</v>
      </c>
      <c r="M165">
        <v>928069</v>
      </c>
      <c r="N165">
        <v>7424552</v>
      </c>
      <c r="O165">
        <v>6323763</v>
      </c>
      <c r="P165">
        <v>1100789</v>
      </c>
    </row>
    <row r="166" spans="1:16" x14ac:dyDescent="0.3">
      <c r="A166">
        <v>1165</v>
      </c>
      <c r="B166" t="s">
        <v>219</v>
      </c>
      <c r="C166">
        <v>2023</v>
      </c>
      <c r="D166" t="s">
        <v>76</v>
      </c>
      <c r="E166" t="s">
        <v>18</v>
      </c>
      <c r="F166" t="s">
        <v>107</v>
      </c>
      <c r="G166" t="s">
        <v>90</v>
      </c>
      <c r="H166" t="s">
        <v>56</v>
      </c>
      <c r="I166" t="s">
        <v>48</v>
      </c>
      <c r="J166">
        <v>1.5</v>
      </c>
      <c r="K166">
        <v>22</v>
      </c>
      <c r="L166">
        <v>3</v>
      </c>
      <c r="M166">
        <v>602295</v>
      </c>
      <c r="N166">
        <v>1806885</v>
      </c>
      <c r="O166">
        <v>1516181</v>
      </c>
      <c r="P166">
        <v>290704</v>
      </c>
    </row>
    <row r="167" spans="1:16" x14ac:dyDescent="0.3">
      <c r="A167">
        <v>1166</v>
      </c>
      <c r="B167" t="s">
        <v>220</v>
      </c>
      <c r="C167">
        <v>2024</v>
      </c>
      <c r="D167" t="s">
        <v>43</v>
      </c>
      <c r="E167" t="s">
        <v>44</v>
      </c>
      <c r="F167" t="s">
        <v>70</v>
      </c>
      <c r="G167" t="s">
        <v>27</v>
      </c>
      <c r="H167" t="s">
        <v>31</v>
      </c>
      <c r="I167" t="s">
        <v>32</v>
      </c>
      <c r="J167">
        <v>1</v>
      </c>
      <c r="K167">
        <v>16</v>
      </c>
      <c r="L167">
        <v>6</v>
      </c>
      <c r="M167">
        <v>713634</v>
      </c>
      <c r="N167">
        <v>4281804</v>
      </c>
      <c r="O167">
        <v>3238827</v>
      </c>
      <c r="P167">
        <v>1042977</v>
      </c>
    </row>
    <row r="168" spans="1:16" x14ac:dyDescent="0.3">
      <c r="A168">
        <v>1167</v>
      </c>
      <c r="B168" t="s">
        <v>221</v>
      </c>
      <c r="C168">
        <v>2023</v>
      </c>
      <c r="D168" t="s">
        <v>17</v>
      </c>
      <c r="E168" t="s">
        <v>44</v>
      </c>
      <c r="F168" t="s">
        <v>92</v>
      </c>
      <c r="G168" t="s">
        <v>46</v>
      </c>
      <c r="H168" t="s">
        <v>52</v>
      </c>
      <c r="I168" t="s">
        <v>22</v>
      </c>
      <c r="J168">
        <v>1.5</v>
      </c>
      <c r="K168">
        <v>18</v>
      </c>
      <c r="L168">
        <v>1</v>
      </c>
      <c r="M168">
        <v>903501</v>
      </c>
      <c r="N168">
        <v>903501</v>
      </c>
      <c r="O168">
        <v>777652</v>
      </c>
      <c r="P168">
        <v>125849</v>
      </c>
    </row>
    <row r="169" spans="1:16" x14ac:dyDescent="0.3">
      <c r="A169">
        <v>1168</v>
      </c>
      <c r="B169" t="s">
        <v>136</v>
      </c>
      <c r="C169">
        <v>2023</v>
      </c>
      <c r="D169" t="s">
        <v>67</v>
      </c>
      <c r="E169" t="s">
        <v>18</v>
      </c>
      <c r="F169" t="s">
        <v>19</v>
      </c>
      <c r="G169" t="s">
        <v>51</v>
      </c>
      <c r="H169" t="s">
        <v>100</v>
      </c>
      <c r="I169" t="s">
        <v>22</v>
      </c>
      <c r="J169">
        <v>1</v>
      </c>
      <c r="K169">
        <v>19</v>
      </c>
      <c r="L169">
        <v>6</v>
      </c>
      <c r="M169">
        <v>608808</v>
      </c>
      <c r="N169">
        <v>3652848</v>
      </c>
      <c r="O169">
        <v>3279286</v>
      </c>
      <c r="P169">
        <v>373562</v>
      </c>
    </row>
    <row r="170" spans="1:16" x14ac:dyDescent="0.3">
      <c r="A170">
        <v>1169</v>
      </c>
      <c r="B170" t="s">
        <v>222</v>
      </c>
      <c r="C170">
        <v>2023</v>
      </c>
      <c r="D170" t="s">
        <v>61</v>
      </c>
      <c r="E170" t="s">
        <v>44</v>
      </c>
      <c r="F170" t="s">
        <v>70</v>
      </c>
      <c r="G170" t="s">
        <v>90</v>
      </c>
      <c r="H170" t="s">
        <v>47</v>
      </c>
      <c r="I170" t="s">
        <v>48</v>
      </c>
      <c r="J170">
        <v>2</v>
      </c>
      <c r="K170">
        <v>23</v>
      </c>
      <c r="L170">
        <v>3</v>
      </c>
      <c r="M170">
        <v>1346509</v>
      </c>
      <c r="N170">
        <v>4039527</v>
      </c>
      <c r="O170">
        <v>3518855</v>
      </c>
      <c r="P170">
        <v>520672</v>
      </c>
    </row>
    <row r="171" spans="1:16" x14ac:dyDescent="0.3">
      <c r="A171">
        <v>1170</v>
      </c>
      <c r="B171" t="s">
        <v>223</v>
      </c>
      <c r="C171">
        <v>2024</v>
      </c>
      <c r="D171" t="s">
        <v>34</v>
      </c>
      <c r="E171" t="s">
        <v>40</v>
      </c>
      <c r="F171" t="s">
        <v>120</v>
      </c>
      <c r="G171" t="s">
        <v>46</v>
      </c>
      <c r="H171" t="s">
        <v>54</v>
      </c>
      <c r="I171" t="s">
        <v>48</v>
      </c>
      <c r="J171">
        <v>1.2</v>
      </c>
      <c r="K171">
        <v>19</v>
      </c>
      <c r="L171">
        <v>7</v>
      </c>
      <c r="M171">
        <v>1238695</v>
      </c>
      <c r="N171">
        <v>8670865</v>
      </c>
      <c r="O171">
        <v>7271891</v>
      </c>
      <c r="P171">
        <v>1398974</v>
      </c>
    </row>
    <row r="172" spans="1:16" x14ac:dyDescent="0.3">
      <c r="A172">
        <v>1171</v>
      </c>
      <c r="B172" t="s">
        <v>121</v>
      </c>
      <c r="C172">
        <v>2023</v>
      </c>
      <c r="D172" t="s">
        <v>67</v>
      </c>
      <c r="E172" t="s">
        <v>40</v>
      </c>
      <c r="F172" t="s">
        <v>68</v>
      </c>
      <c r="G172" t="s">
        <v>90</v>
      </c>
      <c r="H172" t="s">
        <v>56</v>
      </c>
      <c r="I172" t="s">
        <v>48</v>
      </c>
      <c r="J172">
        <v>2</v>
      </c>
      <c r="K172">
        <v>19</v>
      </c>
      <c r="L172">
        <v>4</v>
      </c>
      <c r="M172">
        <v>1498714</v>
      </c>
      <c r="N172">
        <v>5994856</v>
      </c>
      <c r="O172">
        <v>5065541</v>
      </c>
      <c r="P172">
        <v>929315</v>
      </c>
    </row>
    <row r="173" spans="1:16" x14ac:dyDescent="0.3">
      <c r="A173">
        <v>1172</v>
      </c>
      <c r="B173" t="s">
        <v>155</v>
      </c>
      <c r="C173">
        <v>2024</v>
      </c>
      <c r="D173" t="s">
        <v>39</v>
      </c>
      <c r="E173" t="s">
        <v>18</v>
      </c>
      <c r="F173" t="s">
        <v>35</v>
      </c>
      <c r="G173" t="s">
        <v>46</v>
      </c>
      <c r="H173" t="s">
        <v>47</v>
      </c>
      <c r="I173" t="s">
        <v>48</v>
      </c>
      <c r="J173">
        <v>2</v>
      </c>
      <c r="K173">
        <v>23</v>
      </c>
      <c r="L173">
        <v>1</v>
      </c>
      <c r="M173">
        <v>1076019</v>
      </c>
      <c r="N173">
        <v>1076019</v>
      </c>
      <c r="O173">
        <v>855871</v>
      </c>
      <c r="P173">
        <v>220148</v>
      </c>
    </row>
    <row r="174" spans="1:16" x14ac:dyDescent="0.3">
      <c r="A174">
        <v>1173</v>
      </c>
      <c r="B174" t="s">
        <v>224</v>
      </c>
      <c r="C174">
        <v>2023</v>
      </c>
      <c r="D174" t="s">
        <v>43</v>
      </c>
      <c r="E174" t="s">
        <v>40</v>
      </c>
      <c r="F174" t="s">
        <v>41</v>
      </c>
      <c r="G174" t="s">
        <v>59</v>
      </c>
      <c r="H174" t="s">
        <v>21</v>
      </c>
      <c r="I174" t="s">
        <v>22</v>
      </c>
      <c r="J174">
        <v>1.2</v>
      </c>
      <c r="K174">
        <v>23</v>
      </c>
      <c r="L174">
        <v>1</v>
      </c>
      <c r="M174">
        <v>1090410</v>
      </c>
      <c r="N174">
        <v>1090410</v>
      </c>
      <c r="O174">
        <v>824485</v>
      </c>
      <c r="P174">
        <v>265925</v>
      </c>
    </row>
    <row r="175" spans="1:16" x14ac:dyDescent="0.3">
      <c r="A175">
        <v>1174</v>
      </c>
      <c r="B175" t="s">
        <v>225</v>
      </c>
      <c r="C175">
        <v>2024</v>
      </c>
      <c r="D175" t="s">
        <v>50</v>
      </c>
      <c r="E175" t="s">
        <v>18</v>
      </c>
      <c r="F175" t="s">
        <v>107</v>
      </c>
      <c r="G175" t="s">
        <v>30</v>
      </c>
      <c r="H175" t="s">
        <v>56</v>
      </c>
      <c r="I175" t="s">
        <v>48</v>
      </c>
      <c r="J175">
        <v>1.2</v>
      </c>
      <c r="K175">
        <v>20</v>
      </c>
      <c r="L175">
        <v>2</v>
      </c>
      <c r="M175">
        <v>879844</v>
      </c>
      <c r="N175">
        <v>1759688</v>
      </c>
      <c r="O175">
        <v>1424614</v>
      </c>
      <c r="P175">
        <v>335074</v>
      </c>
    </row>
    <row r="176" spans="1:16" x14ac:dyDescent="0.3">
      <c r="A176">
        <v>1175</v>
      </c>
      <c r="B176" t="s">
        <v>226</v>
      </c>
      <c r="C176">
        <v>2024</v>
      </c>
      <c r="D176" t="s">
        <v>17</v>
      </c>
      <c r="E176" t="s">
        <v>25</v>
      </c>
      <c r="F176" t="s">
        <v>84</v>
      </c>
      <c r="G176" t="s">
        <v>46</v>
      </c>
      <c r="H176" t="s">
        <v>52</v>
      </c>
      <c r="I176" t="s">
        <v>22</v>
      </c>
      <c r="J176">
        <v>2</v>
      </c>
      <c r="K176">
        <v>18</v>
      </c>
      <c r="L176">
        <v>1</v>
      </c>
      <c r="M176">
        <v>1084585</v>
      </c>
      <c r="N176">
        <v>1084585</v>
      </c>
      <c r="O176">
        <v>876254</v>
      </c>
      <c r="P176">
        <v>208331</v>
      </c>
    </row>
    <row r="177" spans="1:16" x14ac:dyDescent="0.3">
      <c r="A177">
        <v>1176</v>
      </c>
      <c r="B177" t="s">
        <v>227</v>
      </c>
      <c r="C177">
        <v>2023</v>
      </c>
      <c r="D177" t="s">
        <v>74</v>
      </c>
      <c r="E177" t="s">
        <v>18</v>
      </c>
      <c r="F177" t="s">
        <v>72</v>
      </c>
      <c r="G177" t="s">
        <v>51</v>
      </c>
      <c r="H177" t="s">
        <v>79</v>
      </c>
      <c r="I177" t="s">
        <v>48</v>
      </c>
      <c r="J177">
        <v>1.2</v>
      </c>
      <c r="K177">
        <v>21</v>
      </c>
      <c r="L177">
        <v>3</v>
      </c>
      <c r="M177">
        <v>1332728</v>
      </c>
      <c r="N177">
        <v>3998184</v>
      </c>
      <c r="O177">
        <v>3266304</v>
      </c>
      <c r="P177">
        <v>731880</v>
      </c>
    </row>
    <row r="178" spans="1:16" x14ac:dyDescent="0.3">
      <c r="A178">
        <v>1177</v>
      </c>
      <c r="B178" t="s">
        <v>228</v>
      </c>
      <c r="C178">
        <v>2024</v>
      </c>
      <c r="D178" t="s">
        <v>17</v>
      </c>
      <c r="E178" t="s">
        <v>25</v>
      </c>
      <c r="F178" t="s">
        <v>84</v>
      </c>
      <c r="G178" t="s">
        <v>51</v>
      </c>
      <c r="H178" t="s">
        <v>63</v>
      </c>
      <c r="I178" t="s">
        <v>22</v>
      </c>
      <c r="J178">
        <v>2</v>
      </c>
      <c r="K178">
        <v>22</v>
      </c>
      <c r="L178">
        <v>5</v>
      </c>
      <c r="M178">
        <v>1484628</v>
      </c>
      <c r="N178">
        <v>7423140</v>
      </c>
      <c r="O178">
        <v>5603459</v>
      </c>
      <c r="P178">
        <v>1819681</v>
      </c>
    </row>
    <row r="179" spans="1:16" x14ac:dyDescent="0.3">
      <c r="A179">
        <v>1178</v>
      </c>
      <c r="B179" t="s">
        <v>229</v>
      </c>
      <c r="C179">
        <v>2023</v>
      </c>
      <c r="D179" t="s">
        <v>61</v>
      </c>
      <c r="E179" t="s">
        <v>44</v>
      </c>
      <c r="F179" t="s">
        <v>45</v>
      </c>
      <c r="G179" t="s">
        <v>27</v>
      </c>
      <c r="H179" t="s">
        <v>56</v>
      </c>
      <c r="I179" t="s">
        <v>48</v>
      </c>
      <c r="J179">
        <v>1</v>
      </c>
      <c r="K179">
        <v>23</v>
      </c>
      <c r="L179">
        <v>8</v>
      </c>
      <c r="M179">
        <v>1439503</v>
      </c>
      <c r="N179">
        <v>11516024</v>
      </c>
      <c r="O179">
        <v>8702864</v>
      </c>
      <c r="P179">
        <v>2813160</v>
      </c>
    </row>
    <row r="180" spans="1:16" x14ac:dyDescent="0.3">
      <c r="A180">
        <v>1179</v>
      </c>
      <c r="B180" t="s">
        <v>230</v>
      </c>
      <c r="C180">
        <v>2024</v>
      </c>
      <c r="D180" t="s">
        <v>67</v>
      </c>
      <c r="E180" t="s">
        <v>40</v>
      </c>
      <c r="F180" t="s">
        <v>120</v>
      </c>
      <c r="G180" t="s">
        <v>27</v>
      </c>
      <c r="H180" t="s">
        <v>54</v>
      </c>
      <c r="I180" t="s">
        <v>48</v>
      </c>
      <c r="J180">
        <v>2</v>
      </c>
      <c r="K180">
        <v>16</v>
      </c>
      <c r="L180">
        <v>4</v>
      </c>
      <c r="M180">
        <v>1217505</v>
      </c>
      <c r="N180">
        <v>4870020</v>
      </c>
      <c r="O180">
        <v>4017440</v>
      </c>
      <c r="P180">
        <v>852580</v>
      </c>
    </row>
    <row r="181" spans="1:16" x14ac:dyDescent="0.3">
      <c r="A181">
        <v>1180</v>
      </c>
      <c r="B181" t="s">
        <v>231</v>
      </c>
      <c r="C181">
        <v>2023</v>
      </c>
      <c r="D181" t="s">
        <v>67</v>
      </c>
      <c r="E181" t="s">
        <v>18</v>
      </c>
      <c r="F181" t="s">
        <v>107</v>
      </c>
      <c r="G181" t="s">
        <v>27</v>
      </c>
      <c r="H181" t="s">
        <v>31</v>
      </c>
      <c r="I181" t="s">
        <v>32</v>
      </c>
      <c r="J181">
        <v>1.5</v>
      </c>
      <c r="K181">
        <v>19</v>
      </c>
      <c r="L181">
        <v>8</v>
      </c>
      <c r="M181">
        <v>1458780</v>
      </c>
      <c r="N181">
        <v>11670240</v>
      </c>
      <c r="O181">
        <v>9178117</v>
      </c>
      <c r="P181">
        <v>2492123</v>
      </c>
    </row>
    <row r="182" spans="1:16" x14ac:dyDescent="0.3">
      <c r="A182">
        <v>1181</v>
      </c>
      <c r="B182" t="s">
        <v>232</v>
      </c>
      <c r="C182">
        <v>2023</v>
      </c>
      <c r="D182" t="s">
        <v>67</v>
      </c>
      <c r="E182" t="s">
        <v>40</v>
      </c>
      <c r="F182" t="s">
        <v>41</v>
      </c>
      <c r="G182" t="s">
        <v>20</v>
      </c>
      <c r="H182" t="s">
        <v>63</v>
      </c>
      <c r="I182" t="s">
        <v>22</v>
      </c>
      <c r="J182">
        <v>1.5</v>
      </c>
      <c r="K182">
        <v>20</v>
      </c>
      <c r="L182">
        <v>4</v>
      </c>
      <c r="M182">
        <v>1122033</v>
      </c>
      <c r="N182">
        <v>4488132</v>
      </c>
      <c r="O182">
        <v>3883951</v>
      </c>
      <c r="P182">
        <v>604181</v>
      </c>
    </row>
    <row r="183" spans="1:16" x14ac:dyDescent="0.3">
      <c r="A183">
        <v>1182</v>
      </c>
      <c r="B183" t="s">
        <v>182</v>
      </c>
      <c r="C183">
        <v>2024</v>
      </c>
      <c r="D183" t="s">
        <v>24</v>
      </c>
      <c r="E183" t="s">
        <v>18</v>
      </c>
      <c r="F183" t="s">
        <v>19</v>
      </c>
      <c r="G183" t="s">
        <v>27</v>
      </c>
      <c r="H183" t="s">
        <v>56</v>
      </c>
      <c r="I183" t="s">
        <v>48</v>
      </c>
      <c r="J183">
        <v>1.2</v>
      </c>
      <c r="K183">
        <v>20</v>
      </c>
      <c r="L183">
        <v>7</v>
      </c>
      <c r="M183">
        <v>1095055</v>
      </c>
      <c r="N183">
        <v>7665385</v>
      </c>
      <c r="O183">
        <v>5931480</v>
      </c>
      <c r="P183">
        <v>1733905</v>
      </c>
    </row>
    <row r="184" spans="1:16" x14ac:dyDescent="0.3">
      <c r="A184">
        <v>1183</v>
      </c>
      <c r="B184" t="s">
        <v>233</v>
      </c>
      <c r="C184">
        <v>2023</v>
      </c>
      <c r="D184" t="s">
        <v>43</v>
      </c>
      <c r="E184" t="s">
        <v>40</v>
      </c>
      <c r="F184" t="s">
        <v>120</v>
      </c>
      <c r="G184" t="s">
        <v>59</v>
      </c>
      <c r="H184" t="s">
        <v>31</v>
      </c>
      <c r="I184" t="s">
        <v>32</v>
      </c>
      <c r="J184">
        <v>1.5</v>
      </c>
      <c r="K184">
        <v>21</v>
      </c>
      <c r="L184">
        <v>1</v>
      </c>
      <c r="M184">
        <v>1432550</v>
      </c>
      <c r="N184">
        <v>1432550</v>
      </c>
      <c r="O184">
        <v>1179938</v>
      </c>
      <c r="P184">
        <v>252612</v>
      </c>
    </row>
    <row r="185" spans="1:16" x14ac:dyDescent="0.3">
      <c r="A185">
        <v>1184</v>
      </c>
      <c r="B185" t="s">
        <v>234</v>
      </c>
      <c r="C185">
        <v>2023</v>
      </c>
      <c r="D185" t="s">
        <v>97</v>
      </c>
      <c r="E185" t="s">
        <v>40</v>
      </c>
      <c r="F185" t="s">
        <v>120</v>
      </c>
      <c r="G185" t="s">
        <v>46</v>
      </c>
      <c r="H185" t="s">
        <v>56</v>
      </c>
      <c r="I185" t="s">
        <v>48</v>
      </c>
      <c r="J185">
        <v>2</v>
      </c>
      <c r="K185">
        <v>20</v>
      </c>
      <c r="L185">
        <v>1</v>
      </c>
      <c r="M185">
        <v>1009139</v>
      </c>
      <c r="N185">
        <v>1009139</v>
      </c>
      <c r="O185">
        <v>777806</v>
      </c>
      <c r="P185">
        <v>231333</v>
      </c>
    </row>
    <row r="186" spans="1:16" x14ac:dyDescent="0.3">
      <c r="A186">
        <v>1185</v>
      </c>
      <c r="B186" t="s">
        <v>235</v>
      </c>
      <c r="C186">
        <v>2023</v>
      </c>
      <c r="D186" t="s">
        <v>61</v>
      </c>
      <c r="E186" t="s">
        <v>44</v>
      </c>
      <c r="F186" t="s">
        <v>92</v>
      </c>
      <c r="G186" t="s">
        <v>30</v>
      </c>
      <c r="H186" t="s">
        <v>21</v>
      </c>
      <c r="I186" t="s">
        <v>22</v>
      </c>
      <c r="J186">
        <v>1</v>
      </c>
      <c r="K186">
        <v>23</v>
      </c>
      <c r="L186">
        <v>2</v>
      </c>
      <c r="M186">
        <v>1390163</v>
      </c>
      <c r="N186">
        <v>2780326</v>
      </c>
      <c r="O186">
        <v>2478985</v>
      </c>
      <c r="P186">
        <v>301341</v>
      </c>
    </row>
    <row r="187" spans="1:16" x14ac:dyDescent="0.3">
      <c r="A187">
        <v>1186</v>
      </c>
      <c r="B187" t="s">
        <v>236</v>
      </c>
      <c r="C187">
        <v>2023</v>
      </c>
      <c r="D187" t="s">
        <v>50</v>
      </c>
      <c r="E187" t="s">
        <v>44</v>
      </c>
      <c r="F187" t="s">
        <v>45</v>
      </c>
      <c r="G187" t="s">
        <v>59</v>
      </c>
      <c r="H187" t="s">
        <v>52</v>
      </c>
      <c r="I187" t="s">
        <v>22</v>
      </c>
      <c r="J187">
        <v>1.5</v>
      </c>
      <c r="K187">
        <v>21</v>
      </c>
      <c r="L187">
        <v>6</v>
      </c>
      <c r="M187">
        <v>847312</v>
      </c>
      <c r="N187">
        <v>5083872</v>
      </c>
      <c r="O187">
        <v>3859041</v>
      </c>
      <c r="P187">
        <v>1224831</v>
      </c>
    </row>
    <row r="188" spans="1:16" x14ac:dyDescent="0.3">
      <c r="A188">
        <v>1187</v>
      </c>
      <c r="B188" t="s">
        <v>237</v>
      </c>
      <c r="C188">
        <v>2024</v>
      </c>
      <c r="D188" t="s">
        <v>24</v>
      </c>
      <c r="E188" t="s">
        <v>40</v>
      </c>
      <c r="F188" t="s">
        <v>68</v>
      </c>
      <c r="G188" t="s">
        <v>27</v>
      </c>
      <c r="H188" t="s">
        <v>47</v>
      </c>
      <c r="I188" t="s">
        <v>48</v>
      </c>
      <c r="J188">
        <v>2</v>
      </c>
      <c r="K188">
        <v>20</v>
      </c>
      <c r="L188">
        <v>7</v>
      </c>
      <c r="M188">
        <v>1167005</v>
      </c>
      <c r="N188">
        <v>8169035</v>
      </c>
      <c r="O188">
        <v>7056898</v>
      </c>
      <c r="P188">
        <v>1112137</v>
      </c>
    </row>
    <row r="189" spans="1:16" x14ac:dyDescent="0.3">
      <c r="A189">
        <v>1188</v>
      </c>
      <c r="B189" t="s">
        <v>238</v>
      </c>
      <c r="C189">
        <v>2024</v>
      </c>
      <c r="D189" t="s">
        <v>50</v>
      </c>
      <c r="E189" t="s">
        <v>40</v>
      </c>
      <c r="F189" t="s">
        <v>68</v>
      </c>
      <c r="G189" t="s">
        <v>30</v>
      </c>
      <c r="H189" t="s">
        <v>54</v>
      </c>
      <c r="I189" t="s">
        <v>48</v>
      </c>
      <c r="J189">
        <v>2</v>
      </c>
      <c r="K189">
        <v>19</v>
      </c>
      <c r="L189">
        <v>3</v>
      </c>
      <c r="M189">
        <v>1446285</v>
      </c>
      <c r="N189">
        <v>4338855</v>
      </c>
      <c r="O189">
        <v>3597924</v>
      </c>
      <c r="P189">
        <v>740931</v>
      </c>
    </row>
    <row r="190" spans="1:16" x14ac:dyDescent="0.3">
      <c r="A190">
        <v>1189</v>
      </c>
      <c r="B190" t="s">
        <v>49</v>
      </c>
      <c r="C190">
        <v>2023</v>
      </c>
      <c r="D190" t="s">
        <v>50</v>
      </c>
      <c r="E190" t="s">
        <v>18</v>
      </c>
      <c r="F190" t="s">
        <v>107</v>
      </c>
      <c r="G190" t="s">
        <v>36</v>
      </c>
      <c r="H190" t="s">
        <v>54</v>
      </c>
      <c r="I190" t="s">
        <v>48</v>
      </c>
      <c r="J190">
        <v>2</v>
      </c>
      <c r="K190">
        <v>18</v>
      </c>
      <c r="L190">
        <v>2</v>
      </c>
      <c r="M190">
        <v>1266217</v>
      </c>
      <c r="N190">
        <v>2532434</v>
      </c>
      <c r="O190">
        <v>2081971</v>
      </c>
      <c r="P190">
        <v>450463</v>
      </c>
    </row>
    <row r="191" spans="1:16" x14ac:dyDescent="0.3">
      <c r="A191">
        <v>1190</v>
      </c>
      <c r="B191" t="s">
        <v>16</v>
      </c>
      <c r="C191">
        <v>2024</v>
      </c>
      <c r="D191" t="s">
        <v>17</v>
      </c>
      <c r="E191" t="s">
        <v>25</v>
      </c>
      <c r="F191" t="s">
        <v>26</v>
      </c>
      <c r="G191" t="s">
        <v>90</v>
      </c>
      <c r="H191" t="s">
        <v>31</v>
      </c>
      <c r="I191" t="s">
        <v>32</v>
      </c>
      <c r="J191">
        <v>2</v>
      </c>
      <c r="K191">
        <v>18</v>
      </c>
      <c r="L191">
        <v>2</v>
      </c>
      <c r="M191">
        <v>1408412</v>
      </c>
      <c r="N191">
        <v>2816824</v>
      </c>
      <c r="O191">
        <v>2256469</v>
      </c>
      <c r="P191">
        <v>560355</v>
      </c>
    </row>
    <row r="192" spans="1:16" x14ac:dyDescent="0.3">
      <c r="A192">
        <v>1191</v>
      </c>
      <c r="B192" t="s">
        <v>239</v>
      </c>
      <c r="C192">
        <v>2023</v>
      </c>
      <c r="D192" t="s">
        <v>34</v>
      </c>
      <c r="E192" t="s">
        <v>18</v>
      </c>
      <c r="F192" t="s">
        <v>107</v>
      </c>
      <c r="G192" t="s">
        <v>20</v>
      </c>
      <c r="H192" t="s">
        <v>79</v>
      </c>
      <c r="I192" t="s">
        <v>48</v>
      </c>
      <c r="J192">
        <v>1</v>
      </c>
      <c r="K192">
        <v>18</v>
      </c>
      <c r="L192">
        <v>5</v>
      </c>
      <c r="M192">
        <v>817667</v>
      </c>
      <c r="N192">
        <v>4088335</v>
      </c>
      <c r="O192">
        <v>3574692</v>
      </c>
      <c r="P192">
        <v>513643</v>
      </c>
    </row>
    <row r="193" spans="1:16" x14ac:dyDescent="0.3">
      <c r="A193">
        <v>1192</v>
      </c>
      <c r="B193" t="s">
        <v>240</v>
      </c>
      <c r="C193">
        <v>2024</v>
      </c>
      <c r="D193" t="s">
        <v>43</v>
      </c>
      <c r="E193" t="s">
        <v>25</v>
      </c>
      <c r="F193" t="s">
        <v>77</v>
      </c>
      <c r="G193" t="s">
        <v>46</v>
      </c>
      <c r="H193" t="s">
        <v>56</v>
      </c>
      <c r="I193" t="s">
        <v>48</v>
      </c>
      <c r="J193">
        <v>1</v>
      </c>
      <c r="K193">
        <v>16</v>
      </c>
      <c r="L193">
        <v>3</v>
      </c>
      <c r="M193">
        <v>1361024</v>
      </c>
      <c r="N193">
        <v>4083072</v>
      </c>
      <c r="O193">
        <v>3369061</v>
      </c>
      <c r="P193">
        <v>714011</v>
      </c>
    </row>
    <row r="194" spans="1:16" x14ac:dyDescent="0.3">
      <c r="A194">
        <v>1193</v>
      </c>
      <c r="B194" t="s">
        <v>241</v>
      </c>
      <c r="C194">
        <v>2023</v>
      </c>
      <c r="D194" t="s">
        <v>17</v>
      </c>
      <c r="E194" t="s">
        <v>25</v>
      </c>
      <c r="F194" t="s">
        <v>84</v>
      </c>
      <c r="G194" t="s">
        <v>27</v>
      </c>
      <c r="H194" t="s">
        <v>37</v>
      </c>
      <c r="I194" t="s">
        <v>32</v>
      </c>
      <c r="J194">
        <v>1.2</v>
      </c>
      <c r="K194">
        <v>22</v>
      </c>
      <c r="L194">
        <v>4</v>
      </c>
      <c r="M194">
        <v>1370672</v>
      </c>
      <c r="N194">
        <v>5482688</v>
      </c>
      <c r="O194">
        <v>4158794</v>
      </c>
      <c r="P194">
        <v>1323894</v>
      </c>
    </row>
    <row r="195" spans="1:16" x14ac:dyDescent="0.3">
      <c r="A195">
        <v>1194</v>
      </c>
      <c r="B195" t="s">
        <v>220</v>
      </c>
      <c r="C195">
        <v>2024</v>
      </c>
      <c r="D195" t="s">
        <v>43</v>
      </c>
      <c r="E195" t="s">
        <v>18</v>
      </c>
      <c r="F195" t="s">
        <v>19</v>
      </c>
      <c r="G195" t="s">
        <v>36</v>
      </c>
      <c r="H195" t="s">
        <v>79</v>
      </c>
      <c r="I195" t="s">
        <v>48</v>
      </c>
      <c r="J195">
        <v>1.2</v>
      </c>
      <c r="K195">
        <v>22</v>
      </c>
      <c r="L195">
        <v>4</v>
      </c>
      <c r="M195">
        <v>734412</v>
      </c>
      <c r="N195">
        <v>2937648</v>
      </c>
      <c r="O195">
        <v>2276357</v>
      </c>
      <c r="P195">
        <v>661291</v>
      </c>
    </row>
    <row r="196" spans="1:16" x14ac:dyDescent="0.3">
      <c r="A196">
        <v>1195</v>
      </c>
      <c r="B196" t="s">
        <v>242</v>
      </c>
      <c r="C196">
        <v>2024</v>
      </c>
      <c r="D196" t="s">
        <v>97</v>
      </c>
      <c r="E196" t="s">
        <v>25</v>
      </c>
      <c r="F196" t="s">
        <v>58</v>
      </c>
      <c r="G196" t="s">
        <v>36</v>
      </c>
      <c r="H196" t="s">
        <v>79</v>
      </c>
      <c r="I196" t="s">
        <v>48</v>
      </c>
      <c r="J196">
        <v>1</v>
      </c>
      <c r="K196">
        <v>23</v>
      </c>
      <c r="L196">
        <v>6</v>
      </c>
      <c r="M196">
        <v>1342224</v>
      </c>
      <c r="N196">
        <v>8053344</v>
      </c>
      <c r="O196">
        <v>7104685</v>
      </c>
      <c r="P196">
        <v>948659</v>
      </c>
    </row>
    <row r="197" spans="1:16" x14ac:dyDescent="0.3">
      <c r="A197">
        <v>1196</v>
      </c>
      <c r="B197" t="s">
        <v>243</v>
      </c>
      <c r="C197">
        <v>2023</v>
      </c>
      <c r="D197" t="s">
        <v>50</v>
      </c>
      <c r="E197" t="s">
        <v>44</v>
      </c>
      <c r="F197" t="s">
        <v>45</v>
      </c>
      <c r="G197" t="s">
        <v>59</v>
      </c>
      <c r="H197" t="s">
        <v>56</v>
      </c>
      <c r="I197" t="s">
        <v>48</v>
      </c>
      <c r="J197">
        <v>1.5</v>
      </c>
      <c r="K197">
        <v>22</v>
      </c>
      <c r="L197">
        <v>3</v>
      </c>
      <c r="M197">
        <v>950241</v>
      </c>
      <c r="N197">
        <v>2850723</v>
      </c>
      <c r="O197">
        <v>2507023</v>
      </c>
      <c r="P197">
        <v>343700</v>
      </c>
    </row>
    <row r="198" spans="1:16" x14ac:dyDescent="0.3">
      <c r="A198">
        <v>1197</v>
      </c>
      <c r="B198" t="s">
        <v>244</v>
      </c>
      <c r="C198">
        <v>2024</v>
      </c>
      <c r="D198" t="s">
        <v>76</v>
      </c>
      <c r="E198" t="s">
        <v>40</v>
      </c>
      <c r="F198" t="s">
        <v>120</v>
      </c>
      <c r="G198" t="s">
        <v>59</v>
      </c>
      <c r="H198" t="s">
        <v>52</v>
      </c>
      <c r="I198" t="s">
        <v>22</v>
      </c>
      <c r="J198">
        <v>1</v>
      </c>
      <c r="K198">
        <v>22</v>
      </c>
      <c r="L198">
        <v>7</v>
      </c>
      <c r="M198">
        <v>1442966</v>
      </c>
      <c r="N198">
        <v>10100762</v>
      </c>
      <c r="O198">
        <v>7800247</v>
      </c>
      <c r="P198">
        <v>2300515</v>
      </c>
    </row>
    <row r="199" spans="1:16" x14ac:dyDescent="0.3">
      <c r="A199">
        <v>1198</v>
      </c>
      <c r="B199" t="s">
        <v>245</v>
      </c>
      <c r="C199">
        <v>2024</v>
      </c>
      <c r="D199" t="s">
        <v>29</v>
      </c>
      <c r="E199" t="s">
        <v>40</v>
      </c>
      <c r="F199" t="s">
        <v>41</v>
      </c>
      <c r="G199" t="s">
        <v>59</v>
      </c>
      <c r="H199" t="s">
        <v>21</v>
      </c>
      <c r="I199" t="s">
        <v>22</v>
      </c>
      <c r="J199">
        <v>2</v>
      </c>
      <c r="K199">
        <v>21</v>
      </c>
      <c r="L199">
        <v>1</v>
      </c>
      <c r="M199">
        <v>906544</v>
      </c>
      <c r="N199">
        <v>906544</v>
      </c>
      <c r="O199">
        <v>731571</v>
      </c>
      <c r="P199">
        <v>174973</v>
      </c>
    </row>
    <row r="200" spans="1:16" x14ac:dyDescent="0.3">
      <c r="A200">
        <v>1199</v>
      </c>
      <c r="B200" t="s">
        <v>206</v>
      </c>
      <c r="C200">
        <v>2023</v>
      </c>
      <c r="D200" t="s">
        <v>24</v>
      </c>
      <c r="E200" t="s">
        <v>18</v>
      </c>
      <c r="F200" t="s">
        <v>107</v>
      </c>
      <c r="G200" t="s">
        <v>30</v>
      </c>
      <c r="H200" t="s">
        <v>100</v>
      </c>
      <c r="I200" t="s">
        <v>22</v>
      </c>
      <c r="J200">
        <v>1</v>
      </c>
      <c r="K200">
        <v>22</v>
      </c>
      <c r="L200">
        <v>3</v>
      </c>
      <c r="M200">
        <v>1349676</v>
      </c>
      <c r="N200">
        <v>4049028</v>
      </c>
      <c r="O200">
        <v>3339306</v>
      </c>
      <c r="P200">
        <v>709722</v>
      </c>
    </row>
    <row r="201" spans="1:16" x14ac:dyDescent="0.3">
      <c r="A201">
        <v>1200</v>
      </c>
      <c r="B201" t="s">
        <v>246</v>
      </c>
      <c r="C201">
        <v>2023</v>
      </c>
      <c r="D201" t="s">
        <v>39</v>
      </c>
      <c r="E201" t="s">
        <v>25</v>
      </c>
      <c r="F201" t="s">
        <v>77</v>
      </c>
      <c r="G201" t="s">
        <v>51</v>
      </c>
      <c r="H201" t="s">
        <v>37</v>
      </c>
      <c r="I201" t="s">
        <v>32</v>
      </c>
      <c r="J201">
        <v>1.2</v>
      </c>
      <c r="K201">
        <v>23</v>
      </c>
      <c r="L201">
        <v>8</v>
      </c>
      <c r="M201">
        <v>700948</v>
      </c>
      <c r="N201">
        <v>5607584</v>
      </c>
      <c r="O201">
        <v>4478109</v>
      </c>
      <c r="P201">
        <v>1129475</v>
      </c>
    </row>
    <row r="202" spans="1:16" x14ac:dyDescent="0.3">
      <c r="A202">
        <v>1201</v>
      </c>
      <c r="B202" t="s">
        <v>186</v>
      </c>
      <c r="C202">
        <v>2023</v>
      </c>
      <c r="D202" t="s">
        <v>50</v>
      </c>
      <c r="E202" t="s">
        <v>44</v>
      </c>
      <c r="F202" t="s">
        <v>45</v>
      </c>
      <c r="G202" t="s">
        <v>46</v>
      </c>
      <c r="H202" t="s">
        <v>52</v>
      </c>
      <c r="I202" t="s">
        <v>22</v>
      </c>
      <c r="J202">
        <v>2</v>
      </c>
      <c r="K202">
        <v>18</v>
      </c>
      <c r="L202">
        <v>2</v>
      </c>
      <c r="M202">
        <v>825991</v>
      </c>
      <c r="N202">
        <v>1651982</v>
      </c>
      <c r="O202">
        <v>1289869</v>
      </c>
      <c r="P202">
        <v>362113</v>
      </c>
    </row>
    <row r="203" spans="1:16" x14ac:dyDescent="0.3">
      <c r="A203">
        <v>1202</v>
      </c>
      <c r="B203" t="s">
        <v>247</v>
      </c>
      <c r="C203">
        <v>2024</v>
      </c>
      <c r="D203" t="s">
        <v>76</v>
      </c>
      <c r="E203" t="s">
        <v>44</v>
      </c>
      <c r="F203" t="s">
        <v>92</v>
      </c>
      <c r="G203" t="s">
        <v>46</v>
      </c>
      <c r="H203" t="s">
        <v>63</v>
      </c>
      <c r="I203" t="s">
        <v>22</v>
      </c>
      <c r="J203">
        <v>1</v>
      </c>
      <c r="K203">
        <v>16</v>
      </c>
      <c r="L203">
        <v>2</v>
      </c>
      <c r="M203">
        <v>755427</v>
      </c>
      <c r="N203">
        <v>1510854</v>
      </c>
      <c r="O203">
        <v>1272186</v>
      </c>
      <c r="P203">
        <v>238668</v>
      </c>
    </row>
    <row r="204" spans="1:16" x14ac:dyDescent="0.3">
      <c r="A204">
        <v>1203</v>
      </c>
      <c r="B204" t="s">
        <v>248</v>
      </c>
      <c r="C204">
        <v>2024</v>
      </c>
      <c r="D204" t="s">
        <v>17</v>
      </c>
      <c r="E204" t="s">
        <v>44</v>
      </c>
      <c r="F204" t="s">
        <v>62</v>
      </c>
      <c r="G204" t="s">
        <v>30</v>
      </c>
      <c r="H204" t="s">
        <v>31</v>
      </c>
      <c r="I204" t="s">
        <v>32</v>
      </c>
      <c r="J204">
        <v>1.5</v>
      </c>
      <c r="K204">
        <v>16</v>
      </c>
      <c r="L204">
        <v>2</v>
      </c>
      <c r="M204">
        <v>815133</v>
      </c>
      <c r="N204">
        <v>1630266</v>
      </c>
      <c r="O204">
        <v>1461094</v>
      </c>
      <c r="P204">
        <v>169172</v>
      </c>
    </row>
    <row r="205" spans="1:16" x14ac:dyDescent="0.3">
      <c r="A205">
        <v>1204</v>
      </c>
      <c r="B205" t="s">
        <v>249</v>
      </c>
      <c r="C205">
        <v>2024</v>
      </c>
      <c r="D205" t="s">
        <v>17</v>
      </c>
      <c r="E205" t="s">
        <v>44</v>
      </c>
      <c r="F205" t="s">
        <v>45</v>
      </c>
      <c r="G205" t="s">
        <v>46</v>
      </c>
      <c r="H205" t="s">
        <v>52</v>
      </c>
      <c r="I205" t="s">
        <v>22</v>
      </c>
      <c r="J205">
        <v>1.5</v>
      </c>
      <c r="K205">
        <v>19</v>
      </c>
      <c r="L205">
        <v>6</v>
      </c>
      <c r="M205">
        <v>1419740</v>
      </c>
      <c r="N205">
        <v>8518440</v>
      </c>
      <c r="O205">
        <v>6890324</v>
      </c>
      <c r="P205">
        <v>1628116</v>
      </c>
    </row>
    <row r="206" spans="1:16" x14ac:dyDescent="0.3">
      <c r="A206">
        <v>1205</v>
      </c>
      <c r="B206" t="s">
        <v>227</v>
      </c>
      <c r="C206">
        <v>2023</v>
      </c>
      <c r="D206" t="s">
        <v>74</v>
      </c>
      <c r="E206" t="s">
        <v>40</v>
      </c>
      <c r="F206" t="s">
        <v>68</v>
      </c>
      <c r="G206" t="s">
        <v>30</v>
      </c>
      <c r="H206" t="s">
        <v>37</v>
      </c>
      <c r="I206" t="s">
        <v>32</v>
      </c>
      <c r="J206">
        <v>1.2</v>
      </c>
      <c r="K206">
        <v>21</v>
      </c>
      <c r="L206">
        <v>2</v>
      </c>
      <c r="M206">
        <v>860215</v>
      </c>
      <c r="N206">
        <v>1720430</v>
      </c>
      <c r="O206">
        <v>1471579</v>
      </c>
      <c r="P206">
        <v>248851</v>
      </c>
    </row>
    <row r="207" spans="1:16" x14ac:dyDescent="0.3">
      <c r="A207">
        <v>1206</v>
      </c>
      <c r="B207" t="s">
        <v>250</v>
      </c>
      <c r="C207">
        <v>2024</v>
      </c>
      <c r="D207" t="s">
        <v>50</v>
      </c>
      <c r="E207" t="s">
        <v>25</v>
      </c>
      <c r="F207" t="s">
        <v>77</v>
      </c>
      <c r="G207" t="s">
        <v>51</v>
      </c>
      <c r="H207" t="s">
        <v>21</v>
      </c>
      <c r="I207" t="s">
        <v>22</v>
      </c>
      <c r="J207">
        <v>1.2</v>
      </c>
      <c r="K207">
        <v>16</v>
      </c>
      <c r="L207">
        <v>3</v>
      </c>
      <c r="M207">
        <v>1057034</v>
      </c>
      <c r="N207">
        <v>3171102</v>
      </c>
      <c r="O207">
        <v>2406212</v>
      </c>
      <c r="P207">
        <v>764890</v>
      </c>
    </row>
    <row r="208" spans="1:16" x14ac:dyDescent="0.3">
      <c r="A208">
        <v>1207</v>
      </c>
      <c r="B208" t="s">
        <v>251</v>
      </c>
      <c r="C208">
        <v>2024</v>
      </c>
      <c r="D208" t="s">
        <v>24</v>
      </c>
      <c r="E208" t="s">
        <v>18</v>
      </c>
      <c r="F208" t="s">
        <v>72</v>
      </c>
      <c r="G208" t="s">
        <v>36</v>
      </c>
      <c r="H208" t="s">
        <v>52</v>
      </c>
      <c r="I208" t="s">
        <v>22</v>
      </c>
      <c r="J208">
        <v>1.5</v>
      </c>
      <c r="K208">
        <v>18</v>
      </c>
      <c r="L208">
        <v>8</v>
      </c>
      <c r="M208">
        <v>783168</v>
      </c>
      <c r="N208">
        <v>6265344</v>
      </c>
      <c r="O208">
        <v>5465585</v>
      </c>
      <c r="P208">
        <v>799759</v>
      </c>
    </row>
    <row r="209" spans="1:16" x14ac:dyDescent="0.3">
      <c r="A209">
        <v>1208</v>
      </c>
      <c r="B209" t="s">
        <v>105</v>
      </c>
      <c r="C209">
        <v>2023</v>
      </c>
      <c r="D209" t="s">
        <v>67</v>
      </c>
      <c r="E209" t="s">
        <v>18</v>
      </c>
      <c r="F209" t="s">
        <v>35</v>
      </c>
      <c r="G209" t="s">
        <v>46</v>
      </c>
      <c r="H209" t="s">
        <v>56</v>
      </c>
      <c r="I209" t="s">
        <v>48</v>
      </c>
      <c r="J209">
        <v>1.2</v>
      </c>
      <c r="K209">
        <v>19</v>
      </c>
      <c r="L209">
        <v>4</v>
      </c>
      <c r="M209">
        <v>1008369</v>
      </c>
      <c r="N209">
        <v>4033476</v>
      </c>
      <c r="O209">
        <v>3485954</v>
      </c>
      <c r="P209">
        <v>547522</v>
      </c>
    </row>
    <row r="210" spans="1:16" x14ac:dyDescent="0.3">
      <c r="A210">
        <v>1209</v>
      </c>
      <c r="B210" t="s">
        <v>252</v>
      </c>
      <c r="C210">
        <v>2023</v>
      </c>
      <c r="D210" t="s">
        <v>17</v>
      </c>
      <c r="E210" t="s">
        <v>44</v>
      </c>
      <c r="F210" t="s">
        <v>62</v>
      </c>
      <c r="G210" t="s">
        <v>46</v>
      </c>
      <c r="H210" t="s">
        <v>100</v>
      </c>
      <c r="I210" t="s">
        <v>22</v>
      </c>
      <c r="J210">
        <v>1.2</v>
      </c>
      <c r="K210">
        <v>20</v>
      </c>
      <c r="L210">
        <v>3</v>
      </c>
      <c r="M210">
        <v>1258138</v>
      </c>
      <c r="N210">
        <v>3774414</v>
      </c>
      <c r="O210">
        <v>3302265</v>
      </c>
      <c r="P210">
        <v>472149</v>
      </c>
    </row>
    <row r="211" spans="1:16" x14ac:dyDescent="0.3">
      <c r="A211">
        <v>1210</v>
      </c>
      <c r="B211" t="s">
        <v>253</v>
      </c>
      <c r="C211">
        <v>2023</v>
      </c>
      <c r="D211" t="s">
        <v>50</v>
      </c>
      <c r="E211" t="s">
        <v>18</v>
      </c>
      <c r="F211" t="s">
        <v>19</v>
      </c>
      <c r="G211" t="s">
        <v>59</v>
      </c>
      <c r="H211" t="s">
        <v>100</v>
      </c>
      <c r="I211" t="s">
        <v>22</v>
      </c>
      <c r="J211">
        <v>2</v>
      </c>
      <c r="K211">
        <v>19</v>
      </c>
      <c r="L211">
        <v>3</v>
      </c>
      <c r="M211">
        <v>1172166</v>
      </c>
      <c r="N211">
        <v>3516498</v>
      </c>
      <c r="O211">
        <v>2715397</v>
      </c>
      <c r="P211">
        <v>801101</v>
      </c>
    </row>
    <row r="212" spans="1:16" x14ac:dyDescent="0.3">
      <c r="A212">
        <v>1211</v>
      </c>
      <c r="B212" t="s">
        <v>254</v>
      </c>
      <c r="C212">
        <v>2024</v>
      </c>
      <c r="D212" t="s">
        <v>17</v>
      </c>
      <c r="E212" t="s">
        <v>44</v>
      </c>
      <c r="F212" t="s">
        <v>92</v>
      </c>
      <c r="G212" t="s">
        <v>36</v>
      </c>
      <c r="H212" t="s">
        <v>63</v>
      </c>
      <c r="I212" t="s">
        <v>22</v>
      </c>
      <c r="J212">
        <v>1.5</v>
      </c>
      <c r="K212">
        <v>20</v>
      </c>
      <c r="L212">
        <v>8</v>
      </c>
      <c r="M212">
        <v>935050</v>
      </c>
      <c r="N212">
        <v>7480400</v>
      </c>
      <c r="O212">
        <v>5626521</v>
      </c>
      <c r="P212">
        <v>1853879</v>
      </c>
    </row>
    <row r="213" spans="1:16" x14ac:dyDescent="0.3">
      <c r="A213">
        <v>1212</v>
      </c>
      <c r="B213" t="s">
        <v>255</v>
      </c>
      <c r="C213">
        <v>2024</v>
      </c>
      <c r="D213" t="s">
        <v>67</v>
      </c>
      <c r="E213" t="s">
        <v>18</v>
      </c>
      <c r="F213" t="s">
        <v>19</v>
      </c>
      <c r="G213" t="s">
        <v>36</v>
      </c>
      <c r="H213" t="s">
        <v>79</v>
      </c>
      <c r="I213" t="s">
        <v>48</v>
      </c>
      <c r="J213">
        <v>2</v>
      </c>
      <c r="K213">
        <v>20</v>
      </c>
      <c r="L213">
        <v>3</v>
      </c>
      <c r="M213">
        <v>629512</v>
      </c>
      <c r="N213">
        <v>1888536</v>
      </c>
      <c r="O213">
        <v>1479590</v>
      </c>
      <c r="P213">
        <v>408946</v>
      </c>
    </row>
    <row r="214" spans="1:16" x14ac:dyDescent="0.3">
      <c r="A214">
        <v>1213</v>
      </c>
      <c r="B214" t="s">
        <v>256</v>
      </c>
      <c r="C214">
        <v>2024</v>
      </c>
      <c r="D214" t="s">
        <v>39</v>
      </c>
      <c r="E214" t="s">
        <v>44</v>
      </c>
      <c r="F214" t="s">
        <v>92</v>
      </c>
      <c r="G214" t="s">
        <v>30</v>
      </c>
      <c r="H214" t="s">
        <v>63</v>
      </c>
      <c r="I214" t="s">
        <v>22</v>
      </c>
      <c r="J214">
        <v>1</v>
      </c>
      <c r="K214">
        <v>16</v>
      </c>
      <c r="L214">
        <v>6</v>
      </c>
      <c r="M214">
        <v>1026844</v>
      </c>
      <c r="N214">
        <v>6161064</v>
      </c>
      <c r="O214">
        <v>5417976</v>
      </c>
      <c r="P214">
        <v>743088</v>
      </c>
    </row>
    <row r="215" spans="1:16" x14ac:dyDescent="0.3">
      <c r="A215">
        <v>1214</v>
      </c>
      <c r="B215" t="s">
        <v>257</v>
      </c>
      <c r="C215">
        <v>2024</v>
      </c>
      <c r="D215" t="s">
        <v>76</v>
      </c>
      <c r="E215" t="s">
        <v>40</v>
      </c>
      <c r="F215" t="s">
        <v>41</v>
      </c>
      <c r="G215" t="s">
        <v>20</v>
      </c>
      <c r="H215" t="s">
        <v>79</v>
      </c>
      <c r="I215" t="s">
        <v>48</v>
      </c>
      <c r="J215">
        <v>1.5</v>
      </c>
      <c r="K215">
        <v>16</v>
      </c>
      <c r="L215">
        <v>3</v>
      </c>
      <c r="M215">
        <v>1055660</v>
      </c>
      <c r="N215">
        <v>3166980</v>
      </c>
      <c r="O215">
        <v>2711266</v>
      </c>
      <c r="P215">
        <v>455714</v>
      </c>
    </row>
    <row r="216" spans="1:16" x14ac:dyDescent="0.3">
      <c r="A216">
        <v>1215</v>
      </c>
      <c r="B216" t="s">
        <v>258</v>
      </c>
      <c r="C216">
        <v>2024</v>
      </c>
      <c r="D216" t="s">
        <v>29</v>
      </c>
      <c r="E216" t="s">
        <v>40</v>
      </c>
      <c r="F216" t="s">
        <v>104</v>
      </c>
      <c r="G216" t="s">
        <v>90</v>
      </c>
      <c r="H216" t="s">
        <v>79</v>
      </c>
      <c r="I216" t="s">
        <v>48</v>
      </c>
      <c r="J216">
        <v>2</v>
      </c>
      <c r="K216">
        <v>16</v>
      </c>
      <c r="L216">
        <v>1</v>
      </c>
      <c r="M216">
        <v>718179</v>
      </c>
      <c r="N216">
        <v>718179</v>
      </c>
      <c r="O216">
        <v>583902</v>
      </c>
      <c r="P216">
        <v>134277</v>
      </c>
    </row>
    <row r="217" spans="1:16" x14ac:dyDescent="0.3">
      <c r="A217">
        <v>1216</v>
      </c>
      <c r="B217" t="s">
        <v>259</v>
      </c>
      <c r="C217">
        <v>2024</v>
      </c>
      <c r="D217" t="s">
        <v>67</v>
      </c>
      <c r="E217" t="s">
        <v>18</v>
      </c>
      <c r="F217" t="s">
        <v>35</v>
      </c>
      <c r="G217" t="s">
        <v>27</v>
      </c>
      <c r="H217" t="s">
        <v>100</v>
      </c>
      <c r="I217" t="s">
        <v>22</v>
      </c>
      <c r="J217">
        <v>1.2</v>
      </c>
      <c r="K217">
        <v>23</v>
      </c>
      <c r="L217">
        <v>6</v>
      </c>
      <c r="M217">
        <v>759198</v>
      </c>
      <c r="N217">
        <v>4555188</v>
      </c>
      <c r="O217">
        <v>3723064</v>
      </c>
      <c r="P217">
        <v>832124</v>
      </c>
    </row>
    <row r="218" spans="1:16" x14ac:dyDescent="0.3">
      <c r="A218">
        <v>1217</v>
      </c>
      <c r="B218" t="s">
        <v>260</v>
      </c>
      <c r="C218">
        <v>2023</v>
      </c>
      <c r="D218" t="s">
        <v>76</v>
      </c>
      <c r="E218" t="s">
        <v>25</v>
      </c>
      <c r="F218" t="s">
        <v>77</v>
      </c>
      <c r="G218" t="s">
        <v>27</v>
      </c>
      <c r="H218" t="s">
        <v>21</v>
      </c>
      <c r="I218" t="s">
        <v>22</v>
      </c>
      <c r="J218">
        <v>1.5</v>
      </c>
      <c r="K218">
        <v>21</v>
      </c>
      <c r="L218">
        <v>4</v>
      </c>
      <c r="M218">
        <v>1356210</v>
      </c>
      <c r="N218">
        <v>5424840</v>
      </c>
      <c r="O218">
        <v>4074710</v>
      </c>
      <c r="P218">
        <v>1350130</v>
      </c>
    </row>
    <row r="219" spans="1:16" x14ac:dyDescent="0.3">
      <c r="A219">
        <v>1218</v>
      </c>
      <c r="B219" t="s">
        <v>261</v>
      </c>
      <c r="C219">
        <v>2023</v>
      </c>
      <c r="D219" t="s">
        <v>76</v>
      </c>
      <c r="E219" t="s">
        <v>40</v>
      </c>
      <c r="F219" t="s">
        <v>104</v>
      </c>
      <c r="G219" t="s">
        <v>36</v>
      </c>
      <c r="H219" t="s">
        <v>54</v>
      </c>
      <c r="I219" t="s">
        <v>48</v>
      </c>
      <c r="J219">
        <v>2</v>
      </c>
      <c r="K219">
        <v>23</v>
      </c>
      <c r="L219">
        <v>4</v>
      </c>
      <c r="M219">
        <v>823353</v>
      </c>
      <c r="N219">
        <v>3293412</v>
      </c>
      <c r="O219">
        <v>2816267</v>
      </c>
      <c r="P219">
        <v>477145</v>
      </c>
    </row>
    <row r="220" spans="1:16" x14ac:dyDescent="0.3">
      <c r="A220">
        <v>1219</v>
      </c>
      <c r="B220" t="s">
        <v>42</v>
      </c>
      <c r="C220">
        <v>2023</v>
      </c>
      <c r="D220" t="s">
        <v>43</v>
      </c>
      <c r="E220" t="s">
        <v>40</v>
      </c>
      <c r="F220" t="s">
        <v>104</v>
      </c>
      <c r="G220" t="s">
        <v>59</v>
      </c>
      <c r="H220" t="s">
        <v>100</v>
      </c>
      <c r="I220" t="s">
        <v>22</v>
      </c>
      <c r="J220">
        <v>1.2</v>
      </c>
      <c r="K220">
        <v>23</v>
      </c>
      <c r="L220">
        <v>1</v>
      </c>
      <c r="M220">
        <v>1301035</v>
      </c>
      <c r="N220">
        <v>1301035</v>
      </c>
      <c r="O220">
        <v>1157331</v>
      </c>
      <c r="P220">
        <v>143704</v>
      </c>
    </row>
    <row r="221" spans="1:16" x14ac:dyDescent="0.3">
      <c r="A221">
        <v>1220</v>
      </c>
      <c r="B221" t="s">
        <v>262</v>
      </c>
      <c r="C221">
        <v>2024</v>
      </c>
      <c r="D221" t="s">
        <v>67</v>
      </c>
      <c r="E221" t="s">
        <v>40</v>
      </c>
      <c r="F221" t="s">
        <v>104</v>
      </c>
      <c r="G221" t="s">
        <v>20</v>
      </c>
      <c r="H221" t="s">
        <v>54</v>
      </c>
      <c r="I221" t="s">
        <v>48</v>
      </c>
      <c r="J221">
        <v>1.5</v>
      </c>
      <c r="K221">
        <v>21</v>
      </c>
      <c r="L221">
        <v>7</v>
      </c>
      <c r="M221">
        <v>608089</v>
      </c>
      <c r="N221">
        <v>4256623</v>
      </c>
      <c r="O221">
        <v>3427781</v>
      </c>
      <c r="P221">
        <v>828842</v>
      </c>
    </row>
    <row r="222" spans="1:16" x14ac:dyDescent="0.3">
      <c r="A222">
        <v>1221</v>
      </c>
      <c r="B222" t="s">
        <v>263</v>
      </c>
      <c r="C222">
        <v>2024</v>
      </c>
      <c r="D222" t="s">
        <v>34</v>
      </c>
      <c r="E222" t="s">
        <v>40</v>
      </c>
      <c r="F222" t="s">
        <v>104</v>
      </c>
      <c r="G222" t="s">
        <v>90</v>
      </c>
      <c r="H222" t="s">
        <v>47</v>
      </c>
      <c r="I222" t="s">
        <v>48</v>
      </c>
      <c r="J222">
        <v>1.2</v>
      </c>
      <c r="K222">
        <v>21</v>
      </c>
      <c r="L222">
        <v>6</v>
      </c>
      <c r="M222">
        <v>1205986</v>
      </c>
      <c r="N222">
        <v>7235916</v>
      </c>
      <c r="O222">
        <v>5611243</v>
      </c>
      <c r="P222">
        <v>1624673</v>
      </c>
    </row>
    <row r="223" spans="1:16" x14ac:dyDescent="0.3">
      <c r="A223">
        <v>1222</v>
      </c>
      <c r="B223" t="s">
        <v>99</v>
      </c>
      <c r="C223">
        <v>2024</v>
      </c>
      <c r="D223" t="s">
        <v>74</v>
      </c>
      <c r="E223" t="s">
        <v>18</v>
      </c>
      <c r="F223" t="s">
        <v>35</v>
      </c>
      <c r="G223" t="s">
        <v>36</v>
      </c>
      <c r="H223" t="s">
        <v>21</v>
      </c>
      <c r="I223" t="s">
        <v>22</v>
      </c>
      <c r="J223">
        <v>1.2</v>
      </c>
      <c r="K223">
        <v>22</v>
      </c>
      <c r="L223">
        <v>3</v>
      </c>
      <c r="M223">
        <v>1201301</v>
      </c>
      <c r="N223">
        <v>3603903</v>
      </c>
      <c r="O223">
        <v>3150599</v>
      </c>
      <c r="P223">
        <v>453304</v>
      </c>
    </row>
    <row r="224" spans="1:16" x14ac:dyDescent="0.3">
      <c r="A224">
        <v>1223</v>
      </c>
      <c r="B224" t="s">
        <v>264</v>
      </c>
      <c r="C224">
        <v>2023</v>
      </c>
      <c r="D224" t="s">
        <v>50</v>
      </c>
      <c r="E224" t="s">
        <v>18</v>
      </c>
      <c r="F224" t="s">
        <v>19</v>
      </c>
      <c r="G224" t="s">
        <v>46</v>
      </c>
      <c r="H224" t="s">
        <v>47</v>
      </c>
      <c r="I224" t="s">
        <v>48</v>
      </c>
      <c r="J224">
        <v>1.5</v>
      </c>
      <c r="K224">
        <v>16</v>
      </c>
      <c r="L224">
        <v>5</v>
      </c>
      <c r="M224">
        <v>1470590</v>
      </c>
      <c r="N224">
        <v>7352950</v>
      </c>
      <c r="O224">
        <v>5610909</v>
      </c>
      <c r="P224">
        <v>1742041</v>
      </c>
    </row>
    <row r="225" spans="1:16" x14ac:dyDescent="0.3">
      <c r="A225">
        <v>1224</v>
      </c>
      <c r="B225" t="s">
        <v>265</v>
      </c>
      <c r="C225">
        <v>2023</v>
      </c>
      <c r="D225" t="s">
        <v>24</v>
      </c>
      <c r="E225" t="s">
        <v>44</v>
      </c>
      <c r="F225" t="s">
        <v>70</v>
      </c>
      <c r="G225" t="s">
        <v>46</v>
      </c>
      <c r="H225" t="s">
        <v>79</v>
      </c>
      <c r="I225" t="s">
        <v>48</v>
      </c>
      <c r="J225">
        <v>1</v>
      </c>
      <c r="K225">
        <v>19</v>
      </c>
      <c r="L225">
        <v>7</v>
      </c>
      <c r="M225">
        <v>1022741</v>
      </c>
      <c r="N225">
        <v>7159187</v>
      </c>
      <c r="O225">
        <v>5909919</v>
      </c>
      <c r="P225">
        <v>1249268</v>
      </c>
    </row>
    <row r="226" spans="1:16" x14ac:dyDescent="0.3">
      <c r="A226">
        <v>1225</v>
      </c>
      <c r="B226" t="s">
        <v>172</v>
      </c>
      <c r="C226">
        <v>2024</v>
      </c>
      <c r="D226" t="s">
        <v>17</v>
      </c>
      <c r="E226" t="s">
        <v>40</v>
      </c>
      <c r="F226" t="s">
        <v>68</v>
      </c>
      <c r="G226" t="s">
        <v>36</v>
      </c>
      <c r="H226" t="s">
        <v>52</v>
      </c>
      <c r="I226" t="s">
        <v>22</v>
      </c>
      <c r="J226">
        <v>1.2</v>
      </c>
      <c r="K226">
        <v>16</v>
      </c>
      <c r="L226">
        <v>8</v>
      </c>
      <c r="M226">
        <v>659067</v>
      </c>
      <c r="N226">
        <v>5272536</v>
      </c>
      <c r="O226">
        <v>4289590</v>
      </c>
      <c r="P226">
        <v>982946</v>
      </c>
    </row>
    <row r="227" spans="1:16" x14ac:dyDescent="0.3">
      <c r="A227">
        <v>1226</v>
      </c>
      <c r="B227" t="s">
        <v>266</v>
      </c>
      <c r="C227">
        <v>2023</v>
      </c>
      <c r="D227" t="s">
        <v>39</v>
      </c>
      <c r="E227" t="s">
        <v>25</v>
      </c>
      <c r="F227" t="s">
        <v>26</v>
      </c>
      <c r="G227" t="s">
        <v>30</v>
      </c>
      <c r="H227" t="s">
        <v>56</v>
      </c>
      <c r="I227" t="s">
        <v>48</v>
      </c>
      <c r="J227">
        <v>2</v>
      </c>
      <c r="K227">
        <v>19</v>
      </c>
      <c r="L227">
        <v>7</v>
      </c>
      <c r="M227">
        <v>1455579</v>
      </c>
      <c r="N227">
        <v>10189053</v>
      </c>
      <c r="O227">
        <v>8923948</v>
      </c>
      <c r="P227">
        <v>1265105</v>
      </c>
    </row>
    <row r="228" spans="1:16" x14ac:dyDescent="0.3">
      <c r="A228">
        <v>1227</v>
      </c>
      <c r="B228" t="s">
        <v>198</v>
      </c>
      <c r="C228">
        <v>2024</v>
      </c>
      <c r="D228" t="s">
        <v>29</v>
      </c>
      <c r="E228" t="s">
        <v>18</v>
      </c>
      <c r="F228" t="s">
        <v>35</v>
      </c>
      <c r="G228" t="s">
        <v>36</v>
      </c>
      <c r="H228" t="s">
        <v>47</v>
      </c>
      <c r="I228" t="s">
        <v>48</v>
      </c>
      <c r="J228">
        <v>1</v>
      </c>
      <c r="K228">
        <v>19</v>
      </c>
      <c r="L228">
        <v>7</v>
      </c>
      <c r="M228">
        <v>1475807</v>
      </c>
      <c r="N228">
        <v>10330649</v>
      </c>
      <c r="O228">
        <v>8769279</v>
      </c>
      <c r="P228">
        <v>1561370</v>
      </c>
    </row>
    <row r="229" spans="1:16" x14ac:dyDescent="0.3">
      <c r="A229">
        <v>1228</v>
      </c>
      <c r="B229" t="s">
        <v>267</v>
      </c>
      <c r="C229">
        <v>2023</v>
      </c>
      <c r="D229" t="s">
        <v>50</v>
      </c>
      <c r="E229" t="s">
        <v>44</v>
      </c>
      <c r="F229" t="s">
        <v>70</v>
      </c>
      <c r="G229" t="s">
        <v>30</v>
      </c>
      <c r="H229" t="s">
        <v>79</v>
      </c>
      <c r="I229" t="s">
        <v>48</v>
      </c>
      <c r="J229">
        <v>2</v>
      </c>
      <c r="K229">
        <v>16</v>
      </c>
      <c r="L229">
        <v>8</v>
      </c>
      <c r="M229">
        <v>1333690</v>
      </c>
      <c r="N229">
        <v>10669520</v>
      </c>
      <c r="O229">
        <v>8706867</v>
      </c>
      <c r="P229">
        <v>1962653</v>
      </c>
    </row>
    <row r="230" spans="1:16" x14ac:dyDescent="0.3">
      <c r="A230">
        <v>1229</v>
      </c>
      <c r="B230" t="s">
        <v>268</v>
      </c>
      <c r="C230">
        <v>2023</v>
      </c>
      <c r="D230" t="s">
        <v>74</v>
      </c>
      <c r="E230" t="s">
        <v>25</v>
      </c>
      <c r="F230" t="s">
        <v>26</v>
      </c>
      <c r="G230" t="s">
        <v>59</v>
      </c>
      <c r="H230" t="s">
        <v>56</v>
      </c>
      <c r="I230" t="s">
        <v>48</v>
      </c>
      <c r="J230">
        <v>1</v>
      </c>
      <c r="K230">
        <v>21</v>
      </c>
      <c r="L230">
        <v>4</v>
      </c>
      <c r="M230">
        <v>1037007</v>
      </c>
      <c r="N230">
        <v>4148028</v>
      </c>
      <c r="O230">
        <v>3125654</v>
      </c>
      <c r="P230">
        <v>1022374</v>
      </c>
    </row>
    <row r="231" spans="1:16" x14ac:dyDescent="0.3">
      <c r="A231">
        <v>1230</v>
      </c>
      <c r="B231" t="s">
        <v>269</v>
      </c>
      <c r="C231">
        <v>2023</v>
      </c>
      <c r="D231" t="s">
        <v>24</v>
      </c>
      <c r="E231" t="s">
        <v>44</v>
      </c>
      <c r="F231" t="s">
        <v>62</v>
      </c>
      <c r="G231" t="s">
        <v>20</v>
      </c>
      <c r="H231" t="s">
        <v>56</v>
      </c>
      <c r="I231" t="s">
        <v>48</v>
      </c>
      <c r="J231">
        <v>1.2</v>
      </c>
      <c r="K231">
        <v>23</v>
      </c>
      <c r="L231">
        <v>4</v>
      </c>
      <c r="M231">
        <v>976648</v>
      </c>
      <c r="N231">
        <v>3906592</v>
      </c>
      <c r="O231">
        <v>3015289</v>
      </c>
      <c r="P231">
        <v>891303</v>
      </c>
    </row>
    <row r="232" spans="1:16" x14ac:dyDescent="0.3">
      <c r="A232">
        <v>1231</v>
      </c>
      <c r="B232" t="s">
        <v>140</v>
      </c>
      <c r="C232">
        <v>2024</v>
      </c>
      <c r="D232" t="s">
        <v>39</v>
      </c>
      <c r="E232" t="s">
        <v>25</v>
      </c>
      <c r="F232" t="s">
        <v>26</v>
      </c>
      <c r="G232" t="s">
        <v>30</v>
      </c>
      <c r="H232" t="s">
        <v>54</v>
      </c>
      <c r="I232" t="s">
        <v>48</v>
      </c>
      <c r="J232">
        <v>1</v>
      </c>
      <c r="K232">
        <v>21</v>
      </c>
      <c r="L232">
        <v>2</v>
      </c>
      <c r="M232">
        <v>1196157</v>
      </c>
      <c r="N232">
        <v>2392314</v>
      </c>
      <c r="O232">
        <v>1828347</v>
      </c>
      <c r="P232">
        <v>563967</v>
      </c>
    </row>
    <row r="233" spans="1:16" x14ac:dyDescent="0.3">
      <c r="A233">
        <v>1232</v>
      </c>
      <c r="B233" t="s">
        <v>117</v>
      </c>
      <c r="C233">
        <v>2023</v>
      </c>
      <c r="D233" t="s">
        <v>43</v>
      </c>
      <c r="E233" t="s">
        <v>25</v>
      </c>
      <c r="F233" t="s">
        <v>84</v>
      </c>
      <c r="G233" t="s">
        <v>51</v>
      </c>
      <c r="H233" t="s">
        <v>21</v>
      </c>
      <c r="I233" t="s">
        <v>22</v>
      </c>
      <c r="J233">
        <v>1</v>
      </c>
      <c r="K233">
        <v>21</v>
      </c>
      <c r="L233">
        <v>2</v>
      </c>
      <c r="M233">
        <v>946252</v>
      </c>
      <c r="N233">
        <v>1892504</v>
      </c>
      <c r="O233">
        <v>1674030</v>
      </c>
      <c r="P233">
        <v>218474</v>
      </c>
    </row>
    <row r="234" spans="1:16" x14ac:dyDescent="0.3">
      <c r="A234">
        <v>1233</v>
      </c>
      <c r="B234" t="s">
        <v>270</v>
      </c>
      <c r="C234">
        <v>2023</v>
      </c>
      <c r="D234" t="s">
        <v>67</v>
      </c>
      <c r="E234" t="s">
        <v>40</v>
      </c>
      <c r="F234" t="s">
        <v>68</v>
      </c>
      <c r="G234" t="s">
        <v>90</v>
      </c>
      <c r="H234" t="s">
        <v>37</v>
      </c>
      <c r="I234" t="s">
        <v>32</v>
      </c>
      <c r="J234">
        <v>1.2</v>
      </c>
      <c r="K234">
        <v>22</v>
      </c>
      <c r="L234">
        <v>7</v>
      </c>
      <c r="M234">
        <v>794290</v>
      </c>
      <c r="N234">
        <v>5560030</v>
      </c>
      <c r="O234">
        <v>4938287</v>
      </c>
      <c r="P234">
        <v>621743</v>
      </c>
    </row>
    <row r="235" spans="1:16" x14ac:dyDescent="0.3">
      <c r="A235">
        <v>1234</v>
      </c>
      <c r="B235" t="s">
        <v>271</v>
      </c>
      <c r="C235">
        <v>2023</v>
      </c>
      <c r="D235" t="s">
        <v>97</v>
      </c>
      <c r="E235" t="s">
        <v>40</v>
      </c>
      <c r="F235" t="s">
        <v>41</v>
      </c>
      <c r="G235" t="s">
        <v>90</v>
      </c>
      <c r="H235" t="s">
        <v>37</v>
      </c>
      <c r="I235" t="s">
        <v>32</v>
      </c>
      <c r="J235">
        <v>1.2</v>
      </c>
      <c r="K235">
        <v>23</v>
      </c>
      <c r="L235">
        <v>7</v>
      </c>
      <c r="M235">
        <v>754172</v>
      </c>
      <c r="N235">
        <v>5279204</v>
      </c>
      <c r="O235">
        <v>4517200</v>
      </c>
      <c r="P235">
        <v>762004</v>
      </c>
    </row>
    <row r="236" spans="1:16" x14ac:dyDescent="0.3">
      <c r="A236">
        <v>1235</v>
      </c>
      <c r="B236" t="s">
        <v>272</v>
      </c>
      <c r="C236">
        <v>2023</v>
      </c>
      <c r="D236" t="s">
        <v>17</v>
      </c>
      <c r="E236" t="s">
        <v>18</v>
      </c>
      <c r="F236" t="s">
        <v>107</v>
      </c>
      <c r="G236" t="s">
        <v>20</v>
      </c>
      <c r="H236" t="s">
        <v>31</v>
      </c>
      <c r="I236" t="s">
        <v>32</v>
      </c>
      <c r="J236">
        <v>1.2</v>
      </c>
      <c r="K236">
        <v>19</v>
      </c>
      <c r="L236">
        <v>4</v>
      </c>
      <c r="M236">
        <v>1008934</v>
      </c>
      <c r="N236">
        <v>4035736</v>
      </c>
      <c r="O236">
        <v>3095324</v>
      </c>
      <c r="P236">
        <v>940412</v>
      </c>
    </row>
    <row r="237" spans="1:16" x14ac:dyDescent="0.3">
      <c r="A237">
        <v>1236</v>
      </c>
      <c r="B237" t="s">
        <v>110</v>
      </c>
      <c r="C237">
        <v>2023</v>
      </c>
      <c r="D237" t="s">
        <v>39</v>
      </c>
      <c r="E237" t="s">
        <v>44</v>
      </c>
      <c r="F237" t="s">
        <v>62</v>
      </c>
      <c r="G237" t="s">
        <v>27</v>
      </c>
      <c r="H237" t="s">
        <v>21</v>
      </c>
      <c r="I237" t="s">
        <v>22</v>
      </c>
      <c r="J237">
        <v>1.2</v>
      </c>
      <c r="K237">
        <v>21</v>
      </c>
      <c r="L237">
        <v>2</v>
      </c>
      <c r="M237">
        <v>1286880</v>
      </c>
      <c r="N237">
        <v>2573760</v>
      </c>
      <c r="O237">
        <v>2139113</v>
      </c>
      <c r="P237">
        <v>434647</v>
      </c>
    </row>
    <row r="238" spans="1:16" x14ac:dyDescent="0.3">
      <c r="A238">
        <v>1237</v>
      </c>
      <c r="B238" t="s">
        <v>273</v>
      </c>
      <c r="C238">
        <v>2023</v>
      </c>
      <c r="D238" t="s">
        <v>24</v>
      </c>
      <c r="E238" t="s">
        <v>40</v>
      </c>
      <c r="F238" t="s">
        <v>120</v>
      </c>
      <c r="G238" t="s">
        <v>27</v>
      </c>
      <c r="H238" t="s">
        <v>79</v>
      </c>
      <c r="I238" t="s">
        <v>48</v>
      </c>
      <c r="J238">
        <v>1.2</v>
      </c>
      <c r="K238">
        <v>21</v>
      </c>
      <c r="L238">
        <v>6</v>
      </c>
      <c r="M238">
        <v>659619</v>
      </c>
      <c r="N238">
        <v>3957714</v>
      </c>
      <c r="O238">
        <v>3493844</v>
      </c>
      <c r="P238">
        <v>463870</v>
      </c>
    </row>
    <row r="239" spans="1:16" x14ac:dyDescent="0.3">
      <c r="A239">
        <v>1238</v>
      </c>
      <c r="B239" t="s">
        <v>274</v>
      </c>
      <c r="C239">
        <v>2024</v>
      </c>
      <c r="D239" t="s">
        <v>29</v>
      </c>
      <c r="E239" t="s">
        <v>40</v>
      </c>
      <c r="F239" t="s">
        <v>120</v>
      </c>
      <c r="G239" t="s">
        <v>27</v>
      </c>
      <c r="H239" t="s">
        <v>63</v>
      </c>
      <c r="I239" t="s">
        <v>22</v>
      </c>
      <c r="J239">
        <v>2</v>
      </c>
      <c r="K239">
        <v>19</v>
      </c>
      <c r="L239">
        <v>1</v>
      </c>
      <c r="M239">
        <v>1363221</v>
      </c>
      <c r="N239">
        <v>1363221</v>
      </c>
      <c r="O239">
        <v>1059632</v>
      </c>
      <c r="P239">
        <v>303589</v>
      </c>
    </row>
    <row r="240" spans="1:16" x14ac:dyDescent="0.3">
      <c r="A240">
        <v>1239</v>
      </c>
      <c r="B240" t="s">
        <v>275</v>
      </c>
      <c r="C240">
        <v>2024</v>
      </c>
      <c r="D240" t="s">
        <v>29</v>
      </c>
      <c r="E240" t="s">
        <v>44</v>
      </c>
      <c r="F240" t="s">
        <v>45</v>
      </c>
      <c r="G240" t="s">
        <v>36</v>
      </c>
      <c r="H240" t="s">
        <v>52</v>
      </c>
      <c r="I240" t="s">
        <v>22</v>
      </c>
      <c r="J240">
        <v>1.2</v>
      </c>
      <c r="K240">
        <v>22</v>
      </c>
      <c r="L240">
        <v>1</v>
      </c>
      <c r="M240">
        <v>929582</v>
      </c>
      <c r="N240">
        <v>929582</v>
      </c>
      <c r="O240">
        <v>760268</v>
      </c>
      <c r="P240">
        <v>169314</v>
      </c>
    </row>
    <row r="241" spans="1:16" x14ac:dyDescent="0.3">
      <c r="A241">
        <v>1240</v>
      </c>
      <c r="B241" t="s">
        <v>276</v>
      </c>
      <c r="C241">
        <v>2024</v>
      </c>
      <c r="D241" t="s">
        <v>17</v>
      </c>
      <c r="E241" t="s">
        <v>25</v>
      </c>
      <c r="F241" t="s">
        <v>58</v>
      </c>
      <c r="G241" t="s">
        <v>20</v>
      </c>
      <c r="H241" t="s">
        <v>31</v>
      </c>
      <c r="I241" t="s">
        <v>32</v>
      </c>
      <c r="J241">
        <v>2</v>
      </c>
      <c r="K241">
        <v>22</v>
      </c>
      <c r="L241">
        <v>1</v>
      </c>
      <c r="M241">
        <v>1036218</v>
      </c>
      <c r="N241">
        <v>1036218</v>
      </c>
      <c r="O241">
        <v>814694</v>
      </c>
      <c r="P241">
        <v>221524</v>
      </c>
    </row>
    <row r="242" spans="1:16" x14ac:dyDescent="0.3">
      <c r="A242">
        <v>1241</v>
      </c>
      <c r="B242" t="s">
        <v>193</v>
      </c>
      <c r="C242">
        <v>2023</v>
      </c>
      <c r="D242" t="s">
        <v>97</v>
      </c>
      <c r="E242" t="s">
        <v>18</v>
      </c>
      <c r="F242" t="s">
        <v>35</v>
      </c>
      <c r="G242" t="s">
        <v>30</v>
      </c>
      <c r="H242" t="s">
        <v>100</v>
      </c>
      <c r="I242" t="s">
        <v>22</v>
      </c>
      <c r="J242">
        <v>1.5</v>
      </c>
      <c r="K242">
        <v>21</v>
      </c>
      <c r="L242">
        <v>6</v>
      </c>
      <c r="M242">
        <v>1030398</v>
      </c>
      <c r="N242">
        <v>6182388</v>
      </c>
      <c r="O242">
        <v>4980390</v>
      </c>
      <c r="P242">
        <v>1201998</v>
      </c>
    </row>
    <row r="243" spans="1:16" x14ac:dyDescent="0.3">
      <c r="A243">
        <v>1242</v>
      </c>
      <c r="B243" t="s">
        <v>277</v>
      </c>
      <c r="C243">
        <v>2023</v>
      </c>
      <c r="D243" t="s">
        <v>29</v>
      </c>
      <c r="E243" t="s">
        <v>40</v>
      </c>
      <c r="F243" t="s">
        <v>41</v>
      </c>
      <c r="G243" t="s">
        <v>36</v>
      </c>
      <c r="H243" t="s">
        <v>47</v>
      </c>
      <c r="I243" t="s">
        <v>48</v>
      </c>
      <c r="J243">
        <v>1.2</v>
      </c>
      <c r="K243">
        <v>18</v>
      </c>
      <c r="L243">
        <v>4</v>
      </c>
      <c r="M243">
        <v>1316658</v>
      </c>
      <c r="N243">
        <v>5266632</v>
      </c>
      <c r="O243">
        <v>4239895</v>
      </c>
      <c r="P243">
        <v>1026737</v>
      </c>
    </row>
    <row r="244" spans="1:16" x14ac:dyDescent="0.3">
      <c r="A244">
        <v>1243</v>
      </c>
      <c r="B244" t="s">
        <v>278</v>
      </c>
      <c r="C244">
        <v>2023</v>
      </c>
      <c r="D244" t="s">
        <v>50</v>
      </c>
      <c r="E244" t="s">
        <v>25</v>
      </c>
      <c r="F244" t="s">
        <v>84</v>
      </c>
      <c r="G244" t="s">
        <v>46</v>
      </c>
      <c r="H244" t="s">
        <v>100</v>
      </c>
      <c r="I244" t="s">
        <v>22</v>
      </c>
      <c r="J244">
        <v>1</v>
      </c>
      <c r="K244">
        <v>20</v>
      </c>
      <c r="L244">
        <v>5</v>
      </c>
      <c r="M244">
        <v>775584</v>
      </c>
      <c r="N244">
        <v>3877920</v>
      </c>
      <c r="O244">
        <v>3131176</v>
      </c>
      <c r="P244">
        <v>746744</v>
      </c>
    </row>
    <row r="245" spans="1:16" x14ac:dyDescent="0.3">
      <c r="A245">
        <v>1244</v>
      </c>
      <c r="B245" t="s">
        <v>279</v>
      </c>
      <c r="C245">
        <v>2023</v>
      </c>
      <c r="D245" t="s">
        <v>43</v>
      </c>
      <c r="E245" t="s">
        <v>44</v>
      </c>
      <c r="F245" t="s">
        <v>62</v>
      </c>
      <c r="G245" t="s">
        <v>51</v>
      </c>
      <c r="H245" t="s">
        <v>52</v>
      </c>
      <c r="I245" t="s">
        <v>22</v>
      </c>
      <c r="J245">
        <v>1.5</v>
      </c>
      <c r="K245">
        <v>16</v>
      </c>
      <c r="L245">
        <v>6</v>
      </c>
      <c r="M245">
        <v>926071</v>
      </c>
      <c r="N245">
        <v>5556426</v>
      </c>
      <c r="O245">
        <v>4656212</v>
      </c>
      <c r="P245">
        <v>900214</v>
      </c>
    </row>
    <row r="246" spans="1:16" x14ac:dyDescent="0.3">
      <c r="A246">
        <v>1245</v>
      </c>
      <c r="B246" t="s">
        <v>23</v>
      </c>
      <c r="C246">
        <v>2023</v>
      </c>
      <c r="D246" t="s">
        <v>24</v>
      </c>
      <c r="E246" t="s">
        <v>44</v>
      </c>
      <c r="F246" t="s">
        <v>45</v>
      </c>
      <c r="G246" t="s">
        <v>59</v>
      </c>
      <c r="H246" t="s">
        <v>54</v>
      </c>
      <c r="I246" t="s">
        <v>48</v>
      </c>
      <c r="J246">
        <v>1.5</v>
      </c>
      <c r="K246">
        <v>16</v>
      </c>
      <c r="L246">
        <v>8</v>
      </c>
      <c r="M246">
        <v>1012352</v>
      </c>
      <c r="N246">
        <v>8098816</v>
      </c>
      <c r="O246">
        <v>7225971</v>
      </c>
      <c r="P246">
        <v>872845</v>
      </c>
    </row>
    <row r="247" spans="1:16" x14ac:dyDescent="0.3">
      <c r="A247">
        <v>1246</v>
      </c>
      <c r="B247" t="s">
        <v>280</v>
      </c>
      <c r="C247">
        <v>2023</v>
      </c>
      <c r="D247" t="s">
        <v>29</v>
      </c>
      <c r="E247" t="s">
        <v>25</v>
      </c>
      <c r="F247" t="s">
        <v>58</v>
      </c>
      <c r="G247" t="s">
        <v>36</v>
      </c>
      <c r="H247" t="s">
        <v>79</v>
      </c>
      <c r="I247" t="s">
        <v>48</v>
      </c>
      <c r="J247">
        <v>1.2</v>
      </c>
      <c r="K247">
        <v>19</v>
      </c>
      <c r="L247">
        <v>3</v>
      </c>
      <c r="M247">
        <v>1070157</v>
      </c>
      <c r="N247">
        <v>3210471</v>
      </c>
      <c r="O247">
        <v>2573038</v>
      </c>
      <c r="P247">
        <v>637433</v>
      </c>
    </row>
    <row r="248" spans="1:16" x14ac:dyDescent="0.3">
      <c r="A248">
        <v>1247</v>
      </c>
      <c r="B248" t="s">
        <v>281</v>
      </c>
      <c r="C248">
        <v>2024</v>
      </c>
      <c r="D248" t="s">
        <v>24</v>
      </c>
      <c r="E248" t="s">
        <v>18</v>
      </c>
      <c r="F248" t="s">
        <v>107</v>
      </c>
      <c r="G248" t="s">
        <v>20</v>
      </c>
      <c r="H248" t="s">
        <v>63</v>
      </c>
      <c r="I248" t="s">
        <v>22</v>
      </c>
      <c r="J248">
        <v>1.2</v>
      </c>
      <c r="K248">
        <v>18</v>
      </c>
      <c r="L248">
        <v>8</v>
      </c>
      <c r="M248">
        <v>1309163</v>
      </c>
      <c r="N248">
        <v>10473304</v>
      </c>
      <c r="O248">
        <v>8929108</v>
      </c>
      <c r="P248">
        <v>1544196</v>
      </c>
    </row>
    <row r="249" spans="1:16" x14ac:dyDescent="0.3">
      <c r="A249">
        <v>1248</v>
      </c>
      <c r="B249" t="s">
        <v>282</v>
      </c>
      <c r="C249">
        <v>2024</v>
      </c>
      <c r="D249" t="s">
        <v>74</v>
      </c>
      <c r="E249" t="s">
        <v>25</v>
      </c>
      <c r="F249" t="s">
        <v>77</v>
      </c>
      <c r="G249" t="s">
        <v>30</v>
      </c>
      <c r="H249" t="s">
        <v>63</v>
      </c>
      <c r="I249" t="s">
        <v>22</v>
      </c>
      <c r="J249">
        <v>1.2</v>
      </c>
      <c r="K249">
        <v>16</v>
      </c>
      <c r="L249">
        <v>4</v>
      </c>
      <c r="M249">
        <v>1124875</v>
      </c>
      <c r="N249">
        <v>4499500</v>
      </c>
      <c r="O249">
        <v>3828798</v>
      </c>
      <c r="P249">
        <v>670702</v>
      </c>
    </row>
    <row r="250" spans="1:16" x14ac:dyDescent="0.3">
      <c r="A250">
        <v>1249</v>
      </c>
      <c r="B250" t="s">
        <v>283</v>
      </c>
      <c r="C250">
        <v>2023</v>
      </c>
      <c r="D250" t="s">
        <v>43</v>
      </c>
      <c r="E250" t="s">
        <v>44</v>
      </c>
      <c r="F250" t="s">
        <v>92</v>
      </c>
      <c r="G250" t="s">
        <v>51</v>
      </c>
      <c r="H250" t="s">
        <v>31</v>
      </c>
      <c r="I250" t="s">
        <v>32</v>
      </c>
      <c r="J250">
        <v>2</v>
      </c>
      <c r="K250">
        <v>23</v>
      </c>
      <c r="L250">
        <v>6</v>
      </c>
      <c r="M250">
        <v>1190016</v>
      </c>
      <c r="N250">
        <v>7140096</v>
      </c>
      <c r="O250">
        <v>5688842</v>
      </c>
      <c r="P250">
        <v>1451254</v>
      </c>
    </row>
    <row r="251" spans="1:16" x14ac:dyDescent="0.3">
      <c r="A251">
        <v>1250</v>
      </c>
      <c r="B251" t="s">
        <v>284</v>
      </c>
      <c r="C251">
        <v>2024</v>
      </c>
      <c r="D251" t="s">
        <v>67</v>
      </c>
      <c r="E251" t="s">
        <v>40</v>
      </c>
      <c r="F251" t="s">
        <v>104</v>
      </c>
      <c r="G251" t="s">
        <v>20</v>
      </c>
      <c r="H251" t="s">
        <v>100</v>
      </c>
      <c r="I251" t="s">
        <v>22</v>
      </c>
      <c r="J251">
        <v>1.5</v>
      </c>
      <c r="K251">
        <v>20</v>
      </c>
      <c r="L251">
        <v>5</v>
      </c>
      <c r="M251">
        <v>1151947</v>
      </c>
      <c r="N251">
        <v>5759735</v>
      </c>
      <c r="O251">
        <v>4916365</v>
      </c>
      <c r="P251">
        <v>843370</v>
      </c>
    </row>
    <row r="252" spans="1:16" x14ac:dyDescent="0.3">
      <c r="A252">
        <v>1251</v>
      </c>
      <c r="B252" t="s">
        <v>285</v>
      </c>
      <c r="C252">
        <v>2024</v>
      </c>
      <c r="D252" t="s">
        <v>24</v>
      </c>
      <c r="E252" t="s">
        <v>40</v>
      </c>
      <c r="F252" t="s">
        <v>41</v>
      </c>
      <c r="G252" t="s">
        <v>90</v>
      </c>
      <c r="H252" t="s">
        <v>100</v>
      </c>
      <c r="I252" t="s">
        <v>22</v>
      </c>
      <c r="J252">
        <v>1.5</v>
      </c>
      <c r="K252">
        <v>22</v>
      </c>
      <c r="L252">
        <v>5</v>
      </c>
      <c r="M252">
        <v>1260992</v>
      </c>
      <c r="N252">
        <v>6304960</v>
      </c>
      <c r="O252">
        <v>4915277</v>
      </c>
      <c r="P252">
        <v>1389683</v>
      </c>
    </row>
    <row r="253" spans="1:16" x14ac:dyDescent="0.3">
      <c r="A253">
        <v>1252</v>
      </c>
      <c r="B253" t="s">
        <v>286</v>
      </c>
      <c r="C253">
        <v>2024</v>
      </c>
      <c r="D253" t="s">
        <v>76</v>
      </c>
      <c r="E253" t="s">
        <v>25</v>
      </c>
      <c r="F253" t="s">
        <v>84</v>
      </c>
      <c r="G253" t="s">
        <v>90</v>
      </c>
      <c r="H253" t="s">
        <v>47</v>
      </c>
      <c r="I253" t="s">
        <v>48</v>
      </c>
      <c r="J253">
        <v>1</v>
      </c>
      <c r="K253">
        <v>23</v>
      </c>
      <c r="L253">
        <v>3</v>
      </c>
      <c r="M253">
        <v>976002</v>
      </c>
      <c r="N253">
        <v>2928006</v>
      </c>
      <c r="O253">
        <v>2465161</v>
      </c>
      <c r="P253">
        <v>462845</v>
      </c>
    </row>
    <row r="254" spans="1:16" x14ac:dyDescent="0.3">
      <c r="A254">
        <v>1253</v>
      </c>
      <c r="B254" t="s">
        <v>287</v>
      </c>
      <c r="C254">
        <v>2023</v>
      </c>
      <c r="D254" t="s">
        <v>76</v>
      </c>
      <c r="E254" t="s">
        <v>44</v>
      </c>
      <c r="F254" t="s">
        <v>45</v>
      </c>
      <c r="G254" t="s">
        <v>59</v>
      </c>
      <c r="H254" t="s">
        <v>52</v>
      </c>
      <c r="I254" t="s">
        <v>22</v>
      </c>
      <c r="J254">
        <v>1.5</v>
      </c>
      <c r="K254">
        <v>18</v>
      </c>
      <c r="L254">
        <v>1</v>
      </c>
      <c r="M254">
        <v>902132</v>
      </c>
      <c r="N254">
        <v>902132</v>
      </c>
      <c r="O254">
        <v>755084</v>
      </c>
      <c r="P254">
        <v>147048</v>
      </c>
    </row>
    <row r="255" spans="1:16" x14ac:dyDescent="0.3">
      <c r="A255">
        <v>1254</v>
      </c>
      <c r="B255" t="s">
        <v>182</v>
      </c>
      <c r="C255">
        <v>2024</v>
      </c>
      <c r="D255" t="s">
        <v>24</v>
      </c>
      <c r="E255" t="s">
        <v>44</v>
      </c>
      <c r="F255" t="s">
        <v>92</v>
      </c>
      <c r="G255" t="s">
        <v>51</v>
      </c>
      <c r="H255" t="s">
        <v>21</v>
      </c>
      <c r="I255" t="s">
        <v>22</v>
      </c>
      <c r="J255">
        <v>2</v>
      </c>
      <c r="K255">
        <v>16</v>
      </c>
      <c r="L255">
        <v>4</v>
      </c>
      <c r="M255">
        <v>1478105</v>
      </c>
      <c r="N255">
        <v>5912420</v>
      </c>
      <c r="O255">
        <v>5007090</v>
      </c>
      <c r="P255">
        <v>905330</v>
      </c>
    </row>
    <row r="256" spans="1:16" x14ac:dyDescent="0.3">
      <c r="A256">
        <v>1255</v>
      </c>
      <c r="B256" t="s">
        <v>288</v>
      </c>
      <c r="C256">
        <v>2023</v>
      </c>
      <c r="D256" t="s">
        <v>34</v>
      </c>
      <c r="E256" t="s">
        <v>18</v>
      </c>
      <c r="F256" t="s">
        <v>107</v>
      </c>
      <c r="G256" t="s">
        <v>30</v>
      </c>
      <c r="H256" t="s">
        <v>54</v>
      </c>
      <c r="I256" t="s">
        <v>48</v>
      </c>
      <c r="J256">
        <v>1</v>
      </c>
      <c r="K256">
        <v>16</v>
      </c>
      <c r="L256">
        <v>8</v>
      </c>
      <c r="M256">
        <v>1458094</v>
      </c>
      <c r="N256">
        <v>11664752</v>
      </c>
      <c r="O256">
        <v>8752131</v>
      </c>
      <c r="P256">
        <v>2912621</v>
      </c>
    </row>
    <row r="257" spans="1:16" x14ac:dyDescent="0.3">
      <c r="A257">
        <v>1256</v>
      </c>
      <c r="B257" t="s">
        <v>125</v>
      </c>
      <c r="C257">
        <v>2024</v>
      </c>
      <c r="D257" t="s">
        <v>43</v>
      </c>
      <c r="E257" t="s">
        <v>40</v>
      </c>
      <c r="F257" t="s">
        <v>120</v>
      </c>
      <c r="G257" t="s">
        <v>59</v>
      </c>
      <c r="H257" t="s">
        <v>100</v>
      </c>
      <c r="I257" t="s">
        <v>22</v>
      </c>
      <c r="J257">
        <v>2</v>
      </c>
      <c r="K257">
        <v>20</v>
      </c>
      <c r="L257">
        <v>4</v>
      </c>
      <c r="M257">
        <v>1368279</v>
      </c>
      <c r="N257">
        <v>5473116</v>
      </c>
      <c r="O257">
        <v>4508720</v>
      </c>
      <c r="P257">
        <v>964396</v>
      </c>
    </row>
    <row r="258" spans="1:16" x14ac:dyDescent="0.3">
      <c r="A258">
        <v>1257</v>
      </c>
      <c r="B258" t="s">
        <v>217</v>
      </c>
      <c r="C258">
        <v>2024</v>
      </c>
      <c r="D258" t="s">
        <v>34</v>
      </c>
      <c r="E258" t="s">
        <v>44</v>
      </c>
      <c r="F258" t="s">
        <v>92</v>
      </c>
      <c r="G258" t="s">
        <v>59</v>
      </c>
      <c r="H258" t="s">
        <v>52</v>
      </c>
      <c r="I258" t="s">
        <v>22</v>
      </c>
      <c r="J258">
        <v>1.2</v>
      </c>
      <c r="K258">
        <v>20</v>
      </c>
      <c r="L258">
        <v>1</v>
      </c>
      <c r="M258">
        <v>1176642</v>
      </c>
      <c r="N258">
        <v>1176642</v>
      </c>
      <c r="O258">
        <v>1014695</v>
      </c>
      <c r="P258">
        <v>161947</v>
      </c>
    </row>
    <row r="259" spans="1:16" x14ac:dyDescent="0.3">
      <c r="A259">
        <v>1258</v>
      </c>
      <c r="B259" t="s">
        <v>289</v>
      </c>
      <c r="C259">
        <v>2023</v>
      </c>
      <c r="D259" t="s">
        <v>76</v>
      </c>
      <c r="E259" t="s">
        <v>25</v>
      </c>
      <c r="F259" t="s">
        <v>58</v>
      </c>
      <c r="G259" t="s">
        <v>46</v>
      </c>
      <c r="H259" t="s">
        <v>54</v>
      </c>
      <c r="I259" t="s">
        <v>48</v>
      </c>
      <c r="J259">
        <v>1.2</v>
      </c>
      <c r="K259">
        <v>19</v>
      </c>
      <c r="L259">
        <v>8</v>
      </c>
      <c r="M259">
        <v>629374</v>
      </c>
      <c r="N259">
        <v>5034992</v>
      </c>
      <c r="O259">
        <v>4134511</v>
      </c>
      <c r="P259">
        <v>900481</v>
      </c>
    </row>
    <row r="260" spans="1:16" x14ac:dyDescent="0.3">
      <c r="A260">
        <v>1259</v>
      </c>
      <c r="B260" t="s">
        <v>290</v>
      </c>
      <c r="C260">
        <v>2024</v>
      </c>
      <c r="D260" t="s">
        <v>76</v>
      </c>
      <c r="E260" t="s">
        <v>18</v>
      </c>
      <c r="F260" t="s">
        <v>35</v>
      </c>
      <c r="G260" t="s">
        <v>46</v>
      </c>
      <c r="H260" t="s">
        <v>52</v>
      </c>
      <c r="I260" t="s">
        <v>22</v>
      </c>
      <c r="J260">
        <v>2</v>
      </c>
      <c r="K260">
        <v>18</v>
      </c>
      <c r="L260">
        <v>2</v>
      </c>
      <c r="M260">
        <v>1273424</v>
      </c>
      <c r="N260">
        <v>2546848</v>
      </c>
      <c r="O260">
        <v>1913436</v>
      </c>
      <c r="P260">
        <v>633412</v>
      </c>
    </row>
    <row r="261" spans="1:16" x14ac:dyDescent="0.3">
      <c r="A261">
        <v>1260</v>
      </c>
      <c r="B261" t="s">
        <v>291</v>
      </c>
      <c r="C261">
        <v>2024</v>
      </c>
      <c r="D261" t="s">
        <v>24</v>
      </c>
      <c r="E261" t="s">
        <v>40</v>
      </c>
      <c r="F261" t="s">
        <v>41</v>
      </c>
      <c r="G261" t="s">
        <v>51</v>
      </c>
      <c r="H261" t="s">
        <v>100</v>
      </c>
      <c r="I261" t="s">
        <v>22</v>
      </c>
      <c r="J261">
        <v>1.2</v>
      </c>
      <c r="K261">
        <v>19</v>
      </c>
      <c r="L261">
        <v>7</v>
      </c>
      <c r="M261">
        <v>1272460</v>
      </c>
      <c r="N261">
        <v>8907220</v>
      </c>
      <c r="O261">
        <v>7810657</v>
      </c>
      <c r="P261">
        <v>1096563</v>
      </c>
    </row>
    <row r="262" spans="1:16" x14ac:dyDescent="0.3">
      <c r="A262">
        <v>1261</v>
      </c>
      <c r="B262" t="s">
        <v>292</v>
      </c>
      <c r="C262">
        <v>2023</v>
      </c>
      <c r="D262" t="s">
        <v>97</v>
      </c>
      <c r="E262" t="s">
        <v>44</v>
      </c>
      <c r="F262" t="s">
        <v>62</v>
      </c>
      <c r="G262" t="s">
        <v>59</v>
      </c>
      <c r="H262" t="s">
        <v>54</v>
      </c>
      <c r="I262" t="s">
        <v>48</v>
      </c>
      <c r="J262">
        <v>1.5</v>
      </c>
      <c r="K262">
        <v>18</v>
      </c>
      <c r="L262">
        <v>2</v>
      </c>
      <c r="M262">
        <v>1024395</v>
      </c>
      <c r="N262">
        <v>2048790</v>
      </c>
      <c r="O262">
        <v>1806060</v>
      </c>
      <c r="P262">
        <v>242730</v>
      </c>
    </row>
    <row r="263" spans="1:16" x14ac:dyDescent="0.3">
      <c r="A263">
        <v>1262</v>
      </c>
      <c r="B263" t="s">
        <v>293</v>
      </c>
      <c r="C263">
        <v>2024</v>
      </c>
      <c r="D263" t="s">
        <v>67</v>
      </c>
      <c r="E263" t="s">
        <v>18</v>
      </c>
      <c r="F263" t="s">
        <v>35</v>
      </c>
      <c r="G263" t="s">
        <v>30</v>
      </c>
      <c r="H263" t="s">
        <v>100</v>
      </c>
      <c r="I263" t="s">
        <v>22</v>
      </c>
      <c r="J263">
        <v>2</v>
      </c>
      <c r="K263">
        <v>21</v>
      </c>
      <c r="L263">
        <v>1</v>
      </c>
      <c r="M263">
        <v>1446126</v>
      </c>
      <c r="N263">
        <v>1446126</v>
      </c>
      <c r="O263">
        <v>1139698</v>
      </c>
      <c r="P263">
        <v>306428</v>
      </c>
    </row>
    <row r="264" spans="1:16" x14ac:dyDescent="0.3">
      <c r="A264">
        <v>1263</v>
      </c>
      <c r="B264" t="s">
        <v>105</v>
      </c>
      <c r="C264">
        <v>2023</v>
      </c>
      <c r="D264" t="s">
        <v>67</v>
      </c>
      <c r="E264" t="s">
        <v>25</v>
      </c>
      <c r="F264" t="s">
        <v>84</v>
      </c>
      <c r="G264" t="s">
        <v>27</v>
      </c>
      <c r="H264" t="s">
        <v>63</v>
      </c>
      <c r="I264" t="s">
        <v>22</v>
      </c>
      <c r="J264">
        <v>1.5</v>
      </c>
      <c r="K264">
        <v>18</v>
      </c>
      <c r="L264">
        <v>5</v>
      </c>
      <c r="M264">
        <v>1421996</v>
      </c>
      <c r="N264">
        <v>7109980</v>
      </c>
      <c r="O264">
        <v>5495138</v>
      </c>
      <c r="P264">
        <v>1614842</v>
      </c>
    </row>
    <row r="265" spans="1:16" x14ac:dyDescent="0.3">
      <c r="A265">
        <v>1264</v>
      </c>
      <c r="B265" t="s">
        <v>232</v>
      </c>
      <c r="C265">
        <v>2023</v>
      </c>
      <c r="D265" t="s">
        <v>67</v>
      </c>
      <c r="E265" t="s">
        <v>44</v>
      </c>
      <c r="F265" t="s">
        <v>62</v>
      </c>
      <c r="G265" t="s">
        <v>36</v>
      </c>
      <c r="H265" t="s">
        <v>52</v>
      </c>
      <c r="I265" t="s">
        <v>22</v>
      </c>
      <c r="J265">
        <v>1</v>
      </c>
      <c r="K265">
        <v>20</v>
      </c>
      <c r="L265">
        <v>5</v>
      </c>
      <c r="M265">
        <v>1095747</v>
      </c>
      <c r="N265">
        <v>5478735</v>
      </c>
      <c r="O265">
        <v>4637428</v>
      </c>
      <c r="P265">
        <v>841307</v>
      </c>
    </row>
    <row r="266" spans="1:16" x14ac:dyDescent="0.3">
      <c r="A266">
        <v>1265</v>
      </c>
      <c r="B266" t="s">
        <v>156</v>
      </c>
      <c r="C266">
        <v>2024</v>
      </c>
      <c r="D266" t="s">
        <v>24</v>
      </c>
      <c r="E266" t="s">
        <v>18</v>
      </c>
      <c r="F266" t="s">
        <v>19</v>
      </c>
      <c r="G266" t="s">
        <v>30</v>
      </c>
      <c r="H266" t="s">
        <v>54</v>
      </c>
      <c r="I266" t="s">
        <v>48</v>
      </c>
      <c r="J266">
        <v>1</v>
      </c>
      <c r="K266">
        <v>22</v>
      </c>
      <c r="L266">
        <v>3</v>
      </c>
      <c r="M266">
        <v>1160800</v>
      </c>
      <c r="N266">
        <v>3482400</v>
      </c>
      <c r="O266">
        <v>3018911</v>
      </c>
      <c r="P266">
        <v>463489</v>
      </c>
    </row>
    <row r="267" spans="1:16" x14ac:dyDescent="0.3">
      <c r="A267">
        <v>1266</v>
      </c>
      <c r="B267" t="s">
        <v>112</v>
      </c>
      <c r="C267">
        <v>2024</v>
      </c>
      <c r="D267" t="s">
        <v>67</v>
      </c>
      <c r="E267" t="s">
        <v>25</v>
      </c>
      <c r="F267" t="s">
        <v>84</v>
      </c>
      <c r="G267" t="s">
        <v>20</v>
      </c>
      <c r="H267" t="s">
        <v>56</v>
      </c>
      <c r="I267" t="s">
        <v>48</v>
      </c>
      <c r="J267">
        <v>2</v>
      </c>
      <c r="K267">
        <v>21</v>
      </c>
      <c r="L267">
        <v>6</v>
      </c>
      <c r="M267">
        <v>1133953</v>
      </c>
      <c r="N267">
        <v>6803718</v>
      </c>
      <c r="O267">
        <v>6055970</v>
      </c>
      <c r="P267">
        <v>747748</v>
      </c>
    </row>
    <row r="268" spans="1:16" x14ac:dyDescent="0.3">
      <c r="A268">
        <v>1267</v>
      </c>
      <c r="B268" t="s">
        <v>144</v>
      </c>
      <c r="C268">
        <v>2024</v>
      </c>
      <c r="D268" t="s">
        <v>50</v>
      </c>
      <c r="E268" t="s">
        <v>25</v>
      </c>
      <c r="F268" t="s">
        <v>26</v>
      </c>
      <c r="G268" t="s">
        <v>46</v>
      </c>
      <c r="H268" t="s">
        <v>100</v>
      </c>
      <c r="I268" t="s">
        <v>22</v>
      </c>
      <c r="J268">
        <v>1</v>
      </c>
      <c r="K268">
        <v>20</v>
      </c>
      <c r="L268">
        <v>5</v>
      </c>
      <c r="M268">
        <v>1170244</v>
      </c>
      <c r="N268">
        <v>5851220</v>
      </c>
      <c r="O268">
        <v>5170094</v>
      </c>
      <c r="P268">
        <v>681126</v>
      </c>
    </row>
    <row r="269" spans="1:16" x14ac:dyDescent="0.3">
      <c r="A269">
        <v>1268</v>
      </c>
      <c r="B269" t="s">
        <v>294</v>
      </c>
      <c r="C269">
        <v>2023</v>
      </c>
      <c r="D269" t="s">
        <v>74</v>
      </c>
      <c r="E269" t="s">
        <v>25</v>
      </c>
      <c r="F269" t="s">
        <v>84</v>
      </c>
      <c r="G269" t="s">
        <v>46</v>
      </c>
      <c r="H269" t="s">
        <v>52</v>
      </c>
      <c r="I269" t="s">
        <v>22</v>
      </c>
      <c r="J269">
        <v>1.2</v>
      </c>
      <c r="K269">
        <v>18</v>
      </c>
      <c r="L269">
        <v>3</v>
      </c>
      <c r="M269">
        <v>742321</v>
      </c>
      <c r="N269">
        <v>2226963</v>
      </c>
      <c r="O269">
        <v>1910899</v>
      </c>
      <c r="P269">
        <v>316064</v>
      </c>
    </row>
    <row r="270" spans="1:16" x14ac:dyDescent="0.3">
      <c r="A270">
        <v>1269</v>
      </c>
      <c r="B270" t="s">
        <v>295</v>
      </c>
      <c r="C270">
        <v>2023</v>
      </c>
      <c r="D270" t="s">
        <v>67</v>
      </c>
      <c r="E270" t="s">
        <v>44</v>
      </c>
      <c r="F270" t="s">
        <v>62</v>
      </c>
      <c r="G270" t="s">
        <v>36</v>
      </c>
      <c r="H270" t="s">
        <v>47</v>
      </c>
      <c r="I270" t="s">
        <v>48</v>
      </c>
      <c r="J270">
        <v>2</v>
      </c>
      <c r="K270">
        <v>20</v>
      </c>
      <c r="L270">
        <v>1</v>
      </c>
      <c r="M270">
        <v>1378316</v>
      </c>
      <c r="N270">
        <v>1378316</v>
      </c>
      <c r="O270">
        <v>1085025</v>
      </c>
      <c r="P270">
        <v>293291</v>
      </c>
    </row>
    <row r="271" spans="1:16" x14ac:dyDescent="0.3">
      <c r="A271">
        <v>1270</v>
      </c>
      <c r="B271" t="s">
        <v>296</v>
      </c>
      <c r="C271">
        <v>2023</v>
      </c>
      <c r="D271" t="s">
        <v>74</v>
      </c>
      <c r="E271" t="s">
        <v>40</v>
      </c>
      <c r="F271" t="s">
        <v>68</v>
      </c>
      <c r="G271" t="s">
        <v>46</v>
      </c>
      <c r="H271" t="s">
        <v>21</v>
      </c>
      <c r="I271" t="s">
        <v>22</v>
      </c>
      <c r="J271">
        <v>2</v>
      </c>
      <c r="K271">
        <v>22</v>
      </c>
      <c r="L271">
        <v>4</v>
      </c>
      <c r="M271">
        <v>1292719</v>
      </c>
      <c r="N271">
        <v>5170876</v>
      </c>
      <c r="O271">
        <v>4208504</v>
      </c>
      <c r="P271">
        <v>962372</v>
      </c>
    </row>
    <row r="272" spans="1:16" x14ac:dyDescent="0.3">
      <c r="A272">
        <v>1271</v>
      </c>
      <c r="B272" t="s">
        <v>297</v>
      </c>
      <c r="C272">
        <v>2023</v>
      </c>
      <c r="D272" t="s">
        <v>34</v>
      </c>
      <c r="E272" t="s">
        <v>25</v>
      </c>
      <c r="F272" t="s">
        <v>77</v>
      </c>
      <c r="G272" t="s">
        <v>46</v>
      </c>
      <c r="H272" t="s">
        <v>47</v>
      </c>
      <c r="I272" t="s">
        <v>48</v>
      </c>
      <c r="J272">
        <v>1.5</v>
      </c>
      <c r="K272">
        <v>23</v>
      </c>
      <c r="L272">
        <v>3</v>
      </c>
      <c r="M272">
        <v>1083909</v>
      </c>
      <c r="N272">
        <v>3251727</v>
      </c>
      <c r="O272">
        <v>2603015</v>
      </c>
      <c r="P272">
        <v>648712</v>
      </c>
    </row>
    <row r="273" spans="1:16" x14ac:dyDescent="0.3">
      <c r="A273">
        <v>1272</v>
      </c>
      <c r="B273" t="s">
        <v>298</v>
      </c>
      <c r="C273">
        <v>2023</v>
      </c>
      <c r="D273" t="s">
        <v>61</v>
      </c>
      <c r="E273" t="s">
        <v>18</v>
      </c>
      <c r="F273" t="s">
        <v>107</v>
      </c>
      <c r="G273" t="s">
        <v>46</v>
      </c>
      <c r="H273" t="s">
        <v>100</v>
      </c>
      <c r="I273" t="s">
        <v>22</v>
      </c>
      <c r="J273">
        <v>1.2</v>
      </c>
      <c r="K273">
        <v>23</v>
      </c>
      <c r="L273">
        <v>1</v>
      </c>
      <c r="M273">
        <v>677492</v>
      </c>
      <c r="N273">
        <v>677492</v>
      </c>
      <c r="O273">
        <v>512419</v>
      </c>
      <c r="P273">
        <v>165073</v>
      </c>
    </row>
    <row r="274" spans="1:16" x14ac:dyDescent="0.3">
      <c r="A274">
        <v>1273</v>
      </c>
      <c r="B274" t="s">
        <v>183</v>
      </c>
      <c r="C274">
        <v>2024</v>
      </c>
      <c r="D274" t="s">
        <v>67</v>
      </c>
      <c r="E274" t="s">
        <v>25</v>
      </c>
      <c r="F274" t="s">
        <v>26</v>
      </c>
      <c r="G274" t="s">
        <v>30</v>
      </c>
      <c r="H274" t="s">
        <v>31</v>
      </c>
      <c r="I274" t="s">
        <v>32</v>
      </c>
      <c r="J274">
        <v>1.5</v>
      </c>
      <c r="K274">
        <v>18</v>
      </c>
      <c r="L274">
        <v>6</v>
      </c>
      <c r="M274">
        <v>885371</v>
      </c>
      <c r="N274">
        <v>5312226</v>
      </c>
      <c r="O274">
        <v>4286224</v>
      </c>
      <c r="P274">
        <v>1026002</v>
      </c>
    </row>
    <row r="275" spans="1:16" x14ac:dyDescent="0.3">
      <c r="A275">
        <v>1274</v>
      </c>
      <c r="B275" t="s">
        <v>199</v>
      </c>
      <c r="C275">
        <v>2024</v>
      </c>
      <c r="D275" t="s">
        <v>76</v>
      </c>
      <c r="E275" t="s">
        <v>25</v>
      </c>
      <c r="F275" t="s">
        <v>84</v>
      </c>
      <c r="G275" t="s">
        <v>30</v>
      </c>
      <c r="H275" t="s">
        <v>21</v>
      </c>
      <c r="I275" t="s">
        <v>22</v>
      </c>
      <c r="J275">
        <v>2</v>
      </c>
      <c r="K275">
        <v>20</v>
      </c>
      <c r="L275">
        <v>1</v>
      </c>
      <c r="M275">
        <v>944446</v>
      </c>
      <c r="N275">
        <v>944446</v>
      </c>
      <c r="O275">
        <v>724371</v>
      </c>
      <c r="P275">
        <v>220075</v>
      </c>
    </row>
    <row r="276" spans="1:16" x14ac:dyDescent="0.3">
      <c r="A276">
        <v>1275</v>
      </c>
      <c r="B276" t="s">
        <v>299</v>
      </c>
      <c r="C276">
        <v>2023</v>
      </c>
      <c r="D276" t="s">
        <v>67</v>
      </c>
      <c r="E276" t="s">
        <v>44</v>
      </c>
      <c r="F276" t="s">
        <v>62</v>
      </c>
      <c r="G276" t="s">
        <v>90</v>
      </c>
      <c r="H276" t="s">
        <v>52</v>
      </c>
      <c r="I276" t="s">
        <v>22</v>
      </c>
      <c r="J276">
        <v>1.2</v>
      </c>
      <c r="K276">
        <v>22</v>
      </c>
      <c r="L276">
        <v>2</v>
      </c>
      <c r="M276">
        <v>1214074</v>
      </c>
      <c r="N276">
        <v>2428148</v>
      </c>
      <c r="O276">
        <v>1930005</v>
      </c>
      <c r="P276">
        <v>498143</v>
      </c>
    </row>
    <row r="277" spans="1:16" x14ac:dyDescent="0.3">
      <c r="A277">
        <v>1276</v>
      </c>
      <c r="B277" t="s">
        <v>300</v>
      </c>
      <c r="C277">
        <v>2023</v>
      </c>
      <c r="D277" t="s">
        <v>61</v>
      </c>
      <c r="E277" t="s">
        <v>44</v>
      </c>
      <c r="F277" t="s">
        <v>45</v>
      </c>
      <c r="G277" t="s">
        <v>90</v>
      </c>
      <c r="H277" t="s">
        <v>52</v>
      </c>
      <c r="I277" t="s">
        <v>22</v>
      </c>
      <c r="J277">
        <v>1.5</v>
      </c>
      <c r="K277">
        <v>22</v>
      </c>
      <c r="L277">
        <v>1</v>
      </c>
      <c r="M277">
        <v>836756</v>
      </c>
      <c r="N277">
        <v>836756</v>
      </c>
      <c r="O277">
        <v>696666</v>
      </c>
      <c r="P277">
        <v>140090</v>
      </c>
    </row>
    <row r="278" spans="1:16" x14ac:dyDescent="0.3">
      <c r="A278">
        <v>1277</v>
      </c>
      <c r="B278" t="s">
        <v>278</v>
      </c>
      <c r="C278">
        <v>2023</v>
      </c>
      <c r="D278" t="s">
        <v>50</v>
      </c>
      <c r="E278" t="s">
        <v>25</v>
      </c>
      <c r="F278" t="s">
        <v>77</v>
      </c>
      <c r="G278" t="s">
        <v>30</v>
      </c>
      <c r="H278" t="s">
        <v>79</v>
      </c>
      <c r="I278" t="s">
        <v>48</v>
      </c>
      <c r="J278">
        <v>2</v>
      </c>
      <c r="K278">
        <v>19</v>
      </c>
      <c r="L278">
        <v>1</v>
      </c>
      <c r="M278">
        <v>1416358</v>
      </c>
      <c r="N278">
        <v>1416358</v>
      </c>
      <c r="O278">
        <v>1099427</v>
      </c>
      <c r="P278">
        <v>316931</v>
      </c>
    </row>
    <row r="279" spans="1:16" x14ac:dyDescent="0.3">
      <c r="A279">
        <v>1278</v>
      </c>
      <c r="B279" t="s">
        <v>299</v>
      </c>
      <c r="C279">
        <v>2023</v>
      </c>
      <c r="D279" t="s">
        <v>67</v>
      </c>
      <c r="E279" t="s">
        <v>25</v>
      </c>
      <c r="F279" t="s">
        <v>26</v>
      </c>
      <c r="G279" t="s">
        <v>46</v>
      </c>
      <c r="H279" t="s">
        <v>21</v>
      </c>
      <c r="I279" t="s">
        <v>22</v>
      </c>
      <c r="J279">
        <v>2</v>
      </c>
      <c r="K279">
        <v>19</v>
      </c>
      <c r="L279">
        <v>3</v>
      </c>
      <c r="M279">
        <v>1162450</v>
      </c>
      <c r="N279">
        <v>3487350</v>
      </c>
      <c r="O279">
        <v>2875543</v>
      </c>
      <c r="P279">
        <v>611807</v>
      </c>
    </row>
    <row r="280" spans="1:16" x14ac:dyDescent="0.3">
      <c r="A280">
        <v>1279</v>
      </c>
      <c r="B280" t="s">
        <v>147</v>
      </c>
      <c r="C280">
        <v>2024</v>
      </c>
      <c r="D280" t="s">
        <v>34</v>
      </c>
      <c r="E280" t="s">
        <v>40</v>
      </c>
      <c r="F280" t="s">
        <v>68</v>
      </c>
      <c r="G280" t="s">
        <v>20</v>
      </c>
      <c r="H280" t="s">
        <v>21</v>
      </c>
      <c r="I280" t="s">
        <v>22</v>
      </c>
      <c r="J280">
        <v>1.2</v>
      </c>
      <c r="K280">
        <v>22</v>
      </c>
      <c r="L280">
        <v>6</v>
      </c>
      <c r="M280">
        <v>601353</v>
      </c>
      <c r="N280">
        <v>3608118</v>
      </c>
      <c r="O280">
        <v>3206175</v>
      </c>
      <c r="P280">
        <v>401943</v>
      </c>
    </row>
    <row r="281" spans="1:16" x14ac:dyDescent="0.3">
      <c r="A281">
        <v>1280</v>
      </c>
      <c r="B281" t="s">
        <v>301</v>
      </c>
      <c r="C281">
        <v>2023</v>
      </c>
      <c r="D281" t="s">
        <v>34</v>
      </c>
      <c r="E281" t="s">
        <v>44</v>
      </c>
      <c r="F281" t="s">
        <v>70</v>
      </c>
      <c r="G281" t="s">
        <v>20</v>
      </c>
      <c r="H281" t="s">
        <v>56</v>
      </c>
      <c r="I281" t="s">
        <v>48</v>
      </c>
      <c r="J281">
        <v>2</v>
      </c>
      <c r="K281">
        <v>23</v>
      </c>
      <c r="L281">
        <v>6</v>
      </c>
      <c r="M281">
        <v>865797</v>
      </c>
      <c r="N281">
        <v>5194782</v>
      </c>
      <c r="O281">
        <v>4520805</v>
      </c>
      <c r="P281">
        <v>673977</v>
      </c>
    </row>
    <row r="282" spans="1:16" x14ac:dyDescent="0.3">
      <c r="A282">
        <v>1281</v>
      </c>
      <c r="B282" t="s">
        <v>60</v>
      </c>
      <c r="C282">
        <v>2024</v>
      </c>
      <c r="D282" t="s">
        <v>61</v>
      </c>
      <c r="E282" t="s">
        <v>18</v>
      </c>
      <c r="F282" t="s">
        <v>107</v>
      </c>
      <c r="G282" t="s">
        <v>59</v>
      </c>
      <c r="H282" t="s">
        <v>79</v>
      </c>
      <c r="I282" t="s">
        <v>48</v>
      </c>
      <c r="J282">
        <v>1.2</v>
      </c>
      <c r="K282">
        <v>19</v>
      </c>
      <c r="L282">
        <v>1</v>
      </c>
      <c r="M282">
        <v>632455</v>
      </c>
      <c r="N282">
        <v>632455</v>
      </c>
      <c r="O282">
        <v>476481</v>
      </c>
      <c r="P282">
        <v>155974</v>
      </c>
    </row>
    <row r="283" spans="1:16" x14ac:dyDescent="0.3">
      <c r="A283">
        <v>1282</v>
      </c>
      <c r="B283" t="s">
        <v>302</v>
      </c>
      <c r="C283">
        <v>2023</v>
      </c>
      <c r="D283" t="s">
        <v>50</v>
      </c>
      <c r="E283" t="s">
        <v>40</v>
      </c>
      <c r="F283" t="s">
        <v>68</v>
      </c>
      <c r="G283" t="s">
        <v>59</v>
      </c>
      <c r="H283" t="s">
        <v>21</v>
      </c>
      <c r="I283" t="s">
        <v>22</v>
      </c>
      <c r="J283">
        <v>1</v>
      </c>
      <c r="K283">
        <v>22</v>
      </c>
      <c r="L283">
        <v>4</v>
      </c>
      <c r="M283">
        <v>919020</v>
      </c>
      <c r="N283">
        <v>3676080</v>
      </c>
      <c r="O283">
        <v>3219929</v>
      </c>
      <c r="P283">
        <v>456151</v>
      </c>
    </row>
    <row r="284" spans="1:16" x14ac:dyDescent="0.3">
      <c r="A284">
        <v>1283</v>
      </c>
      <c r="B284" t="s">
        <v>303</v>
      </c>
      <c r="C284">
        <v>2023</v>
      </c>
      <c r="D284" t="s">
        <v>74</v>
      </c>
      <c r="E284" t="s">
        <v>18</v>
      </c>
      <c r="F284" t="s">
        <v>107</v>
      </c>
      <c r="G284" t="s">
        <v>36</v>
      </c>
      <c r="H284" t="s">
        <v>47</v>
      </c>
      <c r="I284" t="s">
        <v>48</v>
      </c>
      <c r="J284">
        <v>2</v>
      </c>
      <c r="K284">
        <v>22</v>
      </c>
      <c r="L284">
        <v>8</v>
      </c>
      <c r="M284">
        <v>1044811</v>
      </c>
      <c r="N284">
        <v>8358488</v>
      </c>
      <c r="O284">
        <v>7277551</v>
      </c>
      <c r="P284">
        <v>1080937</v>
      </c>
    </row>
    <row r="285" spans="1:16" x14ac:dyDescent="0.3">
      <c r="A285">
        <v>1284</v>
      </c>
      <c r="B285" t="s">
        <v>304</v>
      </c>
      <c r="C285">
        <v>2023</v>
      </c>
      <c r="D285" t="s">
        <v>61</v>
      </c>
      <c r="E285" t="s">
        <v>44</v>
      </c>
      <c r="F285" t="s">
        <v>62</v>
      </c>
      <c r="G285" t="s">
        <v>46</v>
      </c>
      <c r="H285" t="s">
        <v>79</v>
      </c>
      <c r="I285" t="s">
        <v>48</v>
      </c>
      <c r="J285">
        <v>1.5</v>
      </c>
      <c r="K285">
        <v>21</v>
      </c>
      <c r="L285">
        <v>8</v>
      </c>
      <c r="M285">
        <v>1461750</v>
      </c>
      <c r="N285">
        <v>11694000</v>
      </c>
      <c r="O285">
        <v>9458509</v>
      </c>
      <c r="P285">
        <v>2235491</v>
      </c>
    </row>
    <row r="286" spans="1:16" x14ac:dyDescent="0.3">
      <c r="A286">
        <v>1285</v>
      </c>
      <c r="B286" t="s">
        <v>305</v>
      </c>
      <c r="C286">
        <v>2024</v>
      </c>
      <c r="D286" t="s">
        <v>43</v>
      </c>
      <c r="E286" t="s">
        <v>18</v>
      </c>
      <c r="F286" t="s">
        <v>19</v>
      </c>
      <c r="G286" t="s">
        <v>46</v>
      </c>
      <c r="H286" t="s">
        <v>37</v>
      </c>
      <c r="I286" t="s">
        <v>32</v>
      </c>
      <c r="J286">
        <v>2</v>
      </c>
      <c r="K286">
        <v>22</v>
      </c>
      <c r="L286">
        <v>5</v>
      </c>
      <c r="M286">
        <v>1034963</v>
      </c>
      <c r="N286">
        <v>5174815</v>
      </c>
      <c r="O286">
        <v>4148858</v>
      </c>
      <c r="P286">
        <v>1025957</v>
      </c>
    </row>
    <row r="287" spans="1:16" x14ac:dyDescent="0.3">
      <c r="A287">
        <v>1286</v>
      </c>
      <c r="B287" t="s">
        <v>306</v>
      </c>
      <c r="C287">
        <v>2024</v>
      </c>
      <c r="D287" t="s">
        <v>76</v>
      </c>
      <c r="E287" t="s">
        <v>25</v>
      </c>
      <c r="F287" t="s">
        <v>26</v>
      </c>
      <c r="G287" t="s">
        <v>27</v>
      </c>
      <c r="H287" t="s">
        <v>52</v>
      </c>
      <c r="I287" t="s">
        <v>22</v>
      </c>
      <c r="J287">
        <v>2</v>
      </c>
      <c r="K287">
        <v>22</v>
      </c>
      <c r="L287">
        <v>2</v>
      </c>
      <c r="M287">
        <v>895606</v>
      </c>
      <c r="N287">
        <v>1791212</v>
      </c>
      <c r="O287">
        <v>1608055</v>
      </c>
      <c r="P287">
        <v>183157</v>
      </c>
    </row>
    <row r="288" spans="1:16" x14ac:dyDescent="0.3">
      <c r="A288">
        <v>1287</v>
      </c>
      <c r="B288" t="s">
        <v>307</v>
      </c>
      <c r="C288">
        <v>2023</v>
      </c>
      <c r="D288" t="s">
        <v>97</v>
      </c>
      <c r="E288" t="s">
        <v>18</v>
      </c>
      <c r="F288" t="s">
        <v>107</v>
      </c>
      <c r="G288" t="s">
        <v>30</v>
      </c>
      <c r="H288" t="s">
        <v>54</v>
      </c>
      <c r="I288" t="s">
        <v>48</v>
      </c>
      <c r="J288">
        <v>2</v>
      </c>
      <c r="K288">
        <v>18</v>
      </c>
      <c r="L288">
        <v>6</v>
      </c>
      <c r="M288">
        <v>1399108</v>
      </c>
      <c r="N288">
        <v>8394648</v>
      </c>
      <c r="O288">
        <v>7096662</v>
      </c>
      <c r="P288">
        <v>1297986</v>
      </c>
    </row>
    <row r="289" spans="1:16" x14ac:dyDescent="0.3">
      <c r="A289">
        <v>1288</v>
      </c>
      <c r="B289" t="s">
        <v>308</v>
      </c>
      <c r="C289">
        <v>2023</v>
      </c>
      <c r="D289" t="s">
        <v>34</v>
      </c>
      <c r="E289" t="s">
        <v>25</v>
      </c>
      <c r="F289" t="s">
        <v>58</v>
      </c>
      <c r="G289" t="s">
        <v>51</v>
      </c>
      <c r="H289" t="s">
        <v>79</v>
      </c>
      <c r="I289" t="s">
        <v>48</v>
      </c>
      <c r="J289">
        <v>2</v>
      </c>
      <c r="K289">
        <v>20</v>
      </c>
      <c r="L289">
        <v>6</v>
      </c>
      <c r="M289">
        <v>910020</v>
      </c>
      <c r="N289">
        <v>5460120</v>
      </c>
      <c r="O289">
        <v>4838407</v>
      </c>
      <c r="P289">
        <v>621713</v>
      </c>
    </row>
    <row r="290" spans="1:16" x14ac:dyDescent="0.3">
      <c r="A290">
        <v>1289</v>
      </c>
      <c r="B290" t="s">
        <v>309</v>
      </c>
      <c r="C290">
        <v>2024</v>
      </c>
      <c r="D290" t="s">
        <v>17</v>
      </c>
      <c r="E290" t="s">
        <v>40</v>
      </c>
      <c r="F290" t="s">
        <v>120</v>
      </c>
      <c r="G290" t="s">
        <v>30</v>
      </c>
      <c r="H290" t="s">
        <v>63</v>
      </c>
      <c r="I290" t="s">
        <v>22</v>
      </c>
      <c r="J290">
        <v>2</v>
      </c>
      <c r="K290">
        <v>23</v>
      </c>
      <c r="L290">
        <v>5</v>
      </c>
      <c r="M290">
        <v>1446032</v>
      </c>
      <c r="N290">
        <v>7230160</v>
      </c>
      <c r="O290">
        <v>6220312</v>
      </c>
      <c r="P290">
        <v>1009848</v>
      </c>
    </row>
    <row r="291" spans="1:16" x14ac:dyDescent="0.3">
      <c r="A291">
        <v>1290</v>
      </c>
      <c r="B291" t="s">
        <v>310</v>
      </c>
      <c r="C291">
        <v>2024</v>
      </c>
      <c r="D291" t="s">
        <v>76</v>
      </c>
      <c r="E291" t="s">
        <v>44</v>
      </c>
      <c r="F291" t="s">
        <v>45</v>
      </c>
      <c r="G291" t="s">
        <v>20</v>
      </c>
      <c r="H291" t="s">
        <v>52</v>
      </c>
      <c r="I291" t="s">
        <v>22</v>
      </c>
      <c r="J291">
        <v>1.2</v>
      </c>
      <c r="K291">
        <v>23</v>
      </c>
      <c r="L291">
        <v>8</v>
      </c>
      <c r="M291">
        <v>1301182</v>
      </c>
      <c r="N291">
        <v>10409456</v>
      </c>
      <c r="O291">
        <v>8803504</v>
      </c>
      <c r="P291">
        <v>1605952</v>
      </c>
    </row>
    <row r="292" spans="1:16" x14ac:dyDescent="0.3">
      <c r="A292">
        <v>1291</v>
      </c>
      <c r="B292" t="s">
        <v>311</v>
      </c>
      <c r="C292">
        <v>2024</v>
      </c>
      <c r="D292" t="s">
        <v>34</v>
      </c>
      <c r="E292" t="s">
        <v>40</v>
      </c>
      <c r="F292" t="s">
        <v>41</v>
      </c>
      <c r="G292" t="s">
        <v>90</v>
      </c>
      <c r="H292" t="s">
        <v>56</v>
      </c>
      <c r="I292" t="s">
        <v>48</v>
      </c>
      <c r="J292">
        <v>1.5</v>
      </c>
      <c r="K292">
        <v>19</v>
      </c>
      <c r="L292">
        <v>1</v>
      </c>
      <c r="M292">
        <v>653448</v>
      </c>
      <c r="N292">
        <v>653448</v>
      </c>
      <c r="O292">
        <v>501974</v>
      </c>
      <c r="P292">
        <v>151474</v>
      </c>
    </row>
    <row r="293" spans="1:16" x14ac:dyDescent="0.3">
      <c r="A293">
        <v>1292</v>
      </c>
      <c r="B293" t="s">
        <v>312</v>
      </c>
      <c r="C293">
        <v>2024</v>
      </c>
      <c r="D293" t="s">
        <v>34</v>
      </c>
      <c r="E293" t="s">
        <v>44</v>
      </c>
      <c r="F293" t="s">
        <v>62</v>
      </c>
      <c r="G293" t="s">
        <v>30</v>
      </c>
      <c r="H293" t="s">
        <v>63</v>
      </c>
      <c r="I293" t="s">
        <v>22</v>
      </c>
      <c r="J293">
        <v>1.5</v>
      </c>
      <c r="K293">
        <v>20</v>
      </c>
      <c r="L293">
        <v>8</v>
      </c>
      <c r="M293">
        <v>808918</v>
      </c>
      <c r="N293">
        <v>6471344</v>
      </c>
      <c r="O293">
        <v>5426729</v>
      </c>
      <c r="P293">
        <v>1044615</v>
      </c>
    </row>
    <row r="294" spans="1:16" x14ac:dyDescent="0.3">
      <c r="A294">
        <v>1293</v>
      </c>
      <c r="B294" t="s">
        <v>313</v>
      </c>
      <c r="C294">
        <v>2023</v>
      </c>
      <c r="D294" t="s">
        <v>74</v>
      </c>
      <c r="E294" t="s">
        <v>40</v>
      </c>
      <c r="F294" t="s">
        <v>104</v>
      </c>
      <c r="G294" t="s">
        <v>90</v>
      </c>
      <c r="H294" t="s">
        <v>54</v>
      </c>
      <c r="I294" t="s">
        <v>48</v>
      </c>
      <c r="J294">
        <v>2</v>
      </c>
      <c r="K294">
        <v>16</v>
      </c>
      <c r="L294">
        <v>1</v>
      </c>
      <c r="M294">
        <v>824846</v>
      </c>
      <c r="N294">
        <v>824846</v>
      </c>
      <c r="O294">
        <v>732371</v>
      </c>
      <c r="P294">
        <v>92475</v>
      </c>
    </row>
    <row r="295" spans="1:16" x14ac:dyDescent="0.3">
      <c r="A295">
        <v>1294</v>
      </c>
      <c r="B295" t="s">
        <v>218</v>
      </c>
      <c r="C295">
        <v>2024</v>
      </c>
      <c r="D295" t="s">
        <v>97</v>
      </c>
      <c r="E295" t="s">
        <v>44</v>
      </c>
      <c r="F295" t="s">
        <v>45</v>
      </c>
      <c r="G295" t="s">
        <v>36</v>
      </c>
      <c r="H295" t="s">
        <v>63</v>
      </c>
      <c r="I295" t="s">
        <v>22</v>
      </c>
      <c r="J295">
        <v>2</v>
      </c>
      <c r="K295">
        <v>21</v>
      </c>
      <c r="L295">
        <v>3</v>
      </c>
      <c r="M295">
        <v>615667</v>
      </c>
      <c r="N295">
        <v>1847001</v>
      </c>
      <c r="O295">
        <v>1532718</v>
      </c>
      <c r="P295">
        <v>314283</v>
      </c>
    </row>
    <row r="296" spans="1:16" x14ac:dyDescent="0.3">
      <c r="A296">
        <v>1295</v>
      </c>
      <c r="B296" t="s">
        <v>314</v>
      </c>
      <c r="C296">
        <v>2024</v>
      </c>
      <c r="D296" t="s">
        <v>24</v>
      </c>
      <c r="E296" t="s">
        <v>44</v>
      </c>
      <c r="F296" t="s">
        <v>70</v>
      </c>
      <c r="G296" t="s">
        <v>90</v>
      </c>
      <c r="H296" t="s">
        <v>52</v>
      </c>
      <c r="I296" t="s">
        <v>22</v>
      </c>
      <c r="J296">
        <v>2</v>
      </c>
      <c r="K296">
        <v>21</v>
      </c>
      <c r="L296">
        <v>2</v>
      </c>
      <c r="M296">
        <v>830432</v>
      </c>
      <c r="N296">
        <v>1660864</v>
      </c>
      <c r="O296">
        <v>1470105</v>
      </c>
      <c r="P296">
        <v>190759</v>
      </c>
    </row>
    <row r="297" spans="1:16" x14ac:dyDescent="0.3">
      <c r="A297">
        <v>1296</v>
      </c>
      <c r="B297" t="s">
        <v>315</v>
      </c>
      <c r="C297">
        <v>2024</v>
      </c>
      <c r="D297" t="s">
        <v>76</v>
      </c>
      <c r="E297" t="s">
        <v>40</v>
      </c>
      <c r="F297" t="s">
        <v>41</v>
      </c>
      <c r="G297" t="s">
        <v>59</v>
      </c>
      <c r="H297" t="s">
        <v>31</v>
      </c>
      <c r="I297" t="s">
        <v>32</v>
      </c>
      <c r="J297">
        <v>1.5</v>
      </c>
      <c r="K297">
        <v>20</v>
      </c>
      <c r="L297">
        <v>5</v>
      </c>
      <c r="M297">
        <v>1069009</v>
      </c>
      <c r="N297">
        <v>5345045</v>
      </c>
      <c r="O297">
        <v>4311293</v>
      </c>
      <c r="P297">
        <v>1033752</v>
      </c>
    </row>
    <row r="298" spans="1:16" x14ac:dyDescent="0.3">
      <c r="A298">
        <v>1297</v>
      </c>
      <c r="B298" t="s">
        <v>316</v>
      </c>
      <c r="C298">
        <v>2023</v>
      </c>
      <c r="D298" t="s">
        <v>43</v>
      </c>
      <c r="E298" t="s">
        <v>18</v>
      </c>
      <c r="F298" t="s">
        <v>35</v>
      </c>
      <c r="G298" t="s">
        <v>20</v>
      </c>
      <c r="H298" t="s">
        <v>63</v>
      </c>
      <c r="I298" t="s">
        <v>22</v>
      </c>
      <c r="J298">
        <v>1.2</v>
      </c>
      <c r="K298">
        <v>21</v>
      </c>
      <c r="L298">
        <v>2</v>
      </c>
      <c r="M298">
        <v>1240429</v>
      </c>
      <c r="N298">
        <v>2480858</v>
      </c>
      <c r="O298">
        <v>2059430</v>
      </c>
      <c r="P298">
        <v>421428</v>
      </c>
    </row>
    <row r="299" spans="1:16" x14ac:dyDescent="0.3">
      <c r="A299">
        <v>1298</v>
      </c>
      <c r="B299" t="s">
        <v>317</v>
      </c>
      <c r="C299">
        <v>2024</v>
      </c>
      <c r="D299" t="s">
        <v>67</v>
      </c>
      <c r="E299" t="s">
        <v>25</v>
      </c>
      <c r="F299" t="s">
        <v>77</v>
      </c>
      <c r="G299" t="s">
        <v>27</v>
      </c>
      <c r="H299" t="s">
        <v>100</v>
      </c>
      <c r="I299" t="s">
        <v>22</v>
      </c>
      <c r="J299">
        <v>2</v>
      </c>
      <c r="K299">
        <v>23</v>
      </c>
      <c r="L299">
        <v>5</v>
      </c>
      <c r="M299">
        <v>1164660</v>
      </c>
      <c r="N299">
        <v>5823300</v>
      </c>
      <c r="O299">
        <v>4881686</v>
      </c>
      <c r="P299">
        <v>941614</v>
      </c>
    </row>
    <row r="300" spans="1:16" x14ac:dyDescent="0.3">
      <c r="A300">
        <v>1299</v>
      </c>
      <c r="B300" t="s">
        <v>318</v>
      </c>
      <c r="C300">
        <v>2023</v>
      </c>
      <c r="D300" t="s">
        <v>61</v>
      </c>
      <c r="E300" t="s">
        <v>18</v>
      </c>
      <c r="F300" t="s">
        <v>72</v>
      </c>
      <c r="G300" t="s">
        <v>90</v>
      </c>
      <c r="H300" t="s">
        <v>56</v>
      </c>
      <c r="I300" t="s">
        <v>48</v>
      </c>
      <c r="J300">
        <v>1.2</v>
      </c>
      <c r="K300">
        <v>18</v>
      </c>
      <c r="L300">
        <v>5</v>
      </c>
      <c r="M300">
        <v>1454291</v>
      </c>
      <c r="N300">
        <v>7271455</v>
      </c>
      <c r="O300">
        <v>6082126</v>
      </c>
      <c r="P300">
        <v>1189329</v>
      </c>
    </row>
    <row r="301" spans="1:16" x14ac:dyDescent="0.3">
      <c r="A301">
        <v>1300</v>
      </c>
      <c r="B301" t="s">
        <v>319</v>
      </c>
      <c r="C301">
        <v>2023</v>
      </c>
      <c r="D301" t="s">
        <v>76</v>
      </c>
      <c r="E301" t="s">
        <v>18</v>
      </c>
      <c r="F301" t="s">
        <v>107</v>
      </c>
      <c r="G301" t="s">
        <v>36</v>
      </c>
      <c r="H301" t="s">
        <v>21</v>
      </c>
      <c r="I301" t="s">
        <v>22</v>
      </c>
      <c r="J301">
        <v>1.5</v>
      </c>
      <c r="K301">
        <v>18</v>
      </c>
      <c r="L301">
        <v>8</v>
      </c>
      <c r="M301">
        <v>1156367</v>
      </c>
      <c r="N301">
        <v>9250936</v>
      </c>
      <c r="O301">
        <v>8037598</v>
      </c>
      <c r="P301">
        <v>1213338</v>
      </c>
    </row>
    <row r="302" spans="1:16" x14ac:dyDescent="0.3">
      <c r="A302">
        <v>1301</v>
      </c>
      <c r="B302" t="s">
        <v>320</v>
      </c>
      <c r="C302">
        <v>2023</v>
      </c>
      <c r="D302" t="s">
        <v>24</v>
      </c>
      <c r="E302" t="s">
        <v>40</v>
      </c>
      <c r="F302" t="s">
        <v>41</v>
      </c>
      <c r="G302" t="s">
        <v>51</v>
      </c>
      <c r="H302" t="s">
        <v>63</v>
      </c>
      <c r="I302" t="s">
        <v>22</v>
      </c>
      <c r="J302">
        <v>2</v>
      </c>
      <c r="K302">
        <v>19</v>
      </c>
      <c r="L302">
        <v>2</v>
      </c>
      <c r="M302">
        <v>993870</v>
      </c>
      <c r="N302">
        <v>1987740</v>
      </c>
      <c r="O302">
        <v>1632587</v>
      </c>
      <c r="P302">
        <v>355153</v>
      </c>
    </row>
    <row r="303" spans="1:16" x14ac:dyDescent="0.3">
      <c r="A303">
        <v>1302</v>
      </c>
      <c r="B303" t="s">
        <v>321</v>
      </c>
      <c r="C303">
        <v>2023</v>
      </c>
      <c r="D303" t="s">
        <v>97</v>
      </c>
      <c r="E303" t="s">
        <v>44</v>
      </c>
      <c r="F303" t="s">
        <v>45</v>
      </c>
      <c r="G303" t="s">
        <v>46</v>
      </c>
      <c r="H303" t="s">
        <v>52</v>
      </c>
      <c r="I303" t="s">
        <v>22</v>
      </c>
      <c r="J303">
        <v>1.2</v>
      </c>
      <c r="K303">
        <v>20</v>
      </c>
      <c r="L303">
        <v>1</v>
      </c>
      <c r="M303">
        <v>796040</v>
      </c>
      <c r="N303">
        <v>796040</v>
      </c>
      <c r="O303">
        <v>666099</v>
      </c>
      <c r="P303">
        <v>129941</v>
      </c>
    </row>
    <row r="304" spans="1:16" x14ac:dyDescent="0.3">
      <c r="A304">
        <v>1303</v>
      </c>
      <c r="B304" t="s">
        <v>322</v>
      </c>
      <c r="C304">
        <v>2024</v>
      </c>
      <c r="D304" t="s">
        <v>50</v>
      </c>
      <c r="E304" t="s">
        <v>25</v>
      </c>
      <c r="F304" t="s">
        <v>26</v>
      </c>
      <c r="G304" t="s">
        <v>59</v>
      </c>
      <c r="H304" t="s">
        <v>63</v>
      </c>
      <c r="I304" t="s">
        <v>22</v>
      </c>
      <c r="J304">
        <v>1.5</v>
      </c>
      <c r="K304">
        <v>21</v>
      </c>
      <c r="L304">
        <v>3</v>
      </c>
      <c r="M304">
        <v>1320366</v>
      </c>
      <c r="N304">
        <v>3961098</v>
      </c>
      <c r="O304">
        <v>3202050</v>
      </c>
      <c r="P304">
        <v>759048</v>
      </c>
    </row>
    <row r="305" spans="1:16" x14ac:dyDescent="0.3">
      <c r="A305">
        <v>1304</v>
      </c>
      <c r="B305" t="s">
        <v>306</v>
      </c>
      <c r="C305">
        <v>2024</v>
      </c>
      <c r="D305" t="s">
        <v>76</v>
      </c>
      <c r="E305" t="s">
        <v>40</v>
      </c>
      <c r="F305" t="s">
        <v>120</v>
      </c>
      <c r="G305" t="s">
        <v>36</v>
      </c>
      <c r="H305" t="s">
        <v>63</v>
      </c>
      <c r="I305" t="s">
        <v>22</v>
      </c>
      <c r="J305">
        <v>1.5</v>
      </c>
      <c r="K305">
        <v>21</v>
      </c>
      <c r="L305">
        <v>3</v>
      </c>
      <c r="M305">
        <v>1430399</v>
      </c>
      <c r="N305">
        <v>4291197</v>
      </c>
      <c r="O305">
        <v>3785074</v>
      </c>
      <c r="P305">
        <v>506123</v>
      </c>
    </row>
    <row r="306" spans="1:16" x14ac:dyDescent="0.3">
      <c r="A306">
        <v>1305</v>
      </c>
      <c r="B306" t="s">
        <v>323</v>
      </c>
      <c r="C306">
        <v>2024</v>
      </c>
      <c r="D306" t="s">
        <v>17</v>
      </c>
      <c r="E306" t="s">
        <v>44</v>
      </c>
      <c r="F306" t="s">
        <v>92</v>
      </c>
      <c r="G306" t="s">
        <v>46</v>
      </c>
      <c r="H306" t="s">
        <v>54</v>
      </c>
      <c r="I306" t="s">
        <v>48</v>
      </c>
      <c r="J306">
        <v>1.5</v>
      </c>
      <c r="K306">
        <v>19</v>
      </c>
      <c r="L306">
        <v>8</v>
      </c>
      <c r="M306">
        <v>830262</v>
      </c>
      <c r="N306">
        <v>6642096</v>
      </c>
      <c r="O306">
        <v>5605842</v>
      </c>
      <c r="P306">
        <v>1036254</v>
      </c>
    </row>
    <row r="307" spans="1:16" x14ac:dyDescent="0.3">
      <c r="A307">
        <v>1306</v>
      </c>
      <c r="B307" t="s">
        <v>324</v>
      </c>
      <c r="C307">
        <v>2024</v>
      </c>
      <c r="D307" t="s">
        <v>97</v>
      </c>
      <c r="E307" t="s">
        <v>44</v>
      </c>
      <c r="F307" t="s">
        <v>92</v>
      </c>
      <c r="G307" t="s">
        <v>46</v>
      </c>
      <c r="H307" t="s">
        <v>37</v>
      </c>
      <c r="I307" t="s">
        <v>32</v>
      </c>
      <c r="J307">
        <v>1.2</v>
      </c>
      <c r="K307">
        <v>19</v>
      </c>
      <c r="L307">
        <v>1</v>
      </c>
      <c r="M307">
        <v>1265096</v>
      </c>
      <c r="N307">
        <v>1265096</v>
      </c>
      <c r="O307">
        <v>1093129</v>
      </c>
      <c r="P307">
        <v>171967</v>
      </c>
    </row>
    <row r="308" spans="1:16" x14ac:dyDescent="0.3">
      <c r="A308">
        <v>1307</v>
      </c>
      <c r="B308" t="s">
        <v>243</v>
      </c>
      <c r="C308">
        <v>2023</v>
      </c>
      <c r="D308" t="s">
        <v>50</v>
      </c>
      <c r="E308" t="s">
        <v>40</v>
      </c>
      <c r="F308" t="s">
        <v>68</v>
      </c>
      <c r="G308" t="s">
        <v>59</v>
      </c>
      <c r="H308" t="s">
        <v>100</v>
      </c>
      <c r="I308" t="s">
        <v>22</v>
      </c>
      <c r="J308">
        <v>2</v>
      </c>
      <c r="K308">
        <v>22</v>
      </c>
      <c r="L308">
        <v>4</v>
      </c>
      <c r="M308">
        <v>1158782</v>
      </c>
      <c r="N308">
        <v>4635128</v>
      </c>
      <c r="O308">
        <v>4113787</v>
      </c>
      <c r="P308">
        <v>521341</v>
      </c>
    </row>
    <row r="309" spans="1:16" x14ac:dyDescent="0.3">
      <c r="A309">
        <v>1308</v>
      </c>
      <c r="B309" t="s">
        <v>325</v>
      </c>
      <c r="C309">
        <v>2023</v>
      </c>
      <c r="D309" t="s">
        <v>76</v>
      </c>
      <c r="E309" t="s">
        <v>44</v>
      </c>
      <c r="F309" t="s">
        <v>62</v>
      </c>
      <c r="G309" t="s">
        <v>51</v>
      </c>
      <c r="H309" t="s">
        <v>47</v>
      </c>
      <c r="I309" t="s">
        <v>48</v>
      </c>
      <c r="J309">
        <v>2</v>
      </c>
      <c r="K309">
        <v>22</v>
      </c>
      <c r="L309">
        <v>4</v>
      </c>
      <c r="M309">
        <v>691598</v>
      </c>
      <c r="N309">
        <v>2766392</v>
      </c>
      <c r="O309">
        <v>2263368</v>
      </c>
      <c r="P309">
        <v>503024</v>
      </c>
    </row>
    <row r="310" spans="1:16" x14ac:dyDescent="0.3">
      <c r="A310">
        <v>1309</v>
      </c>
      <c r="B310" t="s">
        <v>326</v>
      </c>
      <c r="C310">
        <v>2024</v>
      </c>
      <c r="D310" t="s">
        <v>76</v>
      </c>
      <c r="E310" t="s">
        <v>25</v>
      </c>
      <c r="F310" t="s">
        <v>26</v>
      </c>
      <c r="G310" t="s">
        <v>20</v>
      </c>
      <c r="H310" t="s">
        <v>100</v>
      </c>
      <c r="I310" t="s">
        <v>22</v>
      </c>
      <c r="J310">
        <v>2</v>
      </c>
      <c r="K310">
        <v>20</v>
      </c>
      <c r="L310">
        <v>8</v>
      </c>
      <c r="M310">
        <v>1493796</v>
      </c>
      <c r="N310">
        <v>11950368</v>
      </c>
      <c r="O310">
        <v>9182324</v>
      </c>
      <c r="P310">
        <v>2768044</v>
      </c>
    </row>
    <row r="311" spans="1:16" x14ac:dyDescent="0.3">
      <c r="A311">
        <v>1310</v>
      </c>
      <c r="B311" t="s">
        <v>327</v>
      </c>
      <c r="C311">
        <v>2023</v>
      </c>
      <c r="D311" t="s">
        <v>43</v>
      </c>
      <c r="E311" t="s">
        <v>44</v>
      </c>
      <c r="F311" t="s">
        <v>92</v>
      </c>
      <c r="G311" t="s">
        <v>90</v>
      </c>
      <c r="H311" t="s">
        <v>47</v>
      </c>
      <c r="I311" t="s">
        <v>48</v>
      </c>
      <c r="J311">
        <v>2</v>
      </c>
      <c r="K311">
        <v>22</v>
      </c>
      <c r="L311">
        <v>6</v>
      </c>
      <c r="M311">
        <v>1135597</v>
      </c>
      <c r="N311">
        <v>6813582</v>
      </c>
      <c r="O311">
        <v>5657938</v>
      </c>
      <c r="P311">
        <v>1155644</v>
      </c>
    </row>
    <row r="312" spans="1:16" x14ac:dyDescent="0.3">
      <c r="A312">
        <v>1311</v>
      </c>
      <c r="B312" t="s">
        <v>328</v>
      </c>
      <c r="C312">
        <v>2024</v>
      </c>
      <c r="D312" t="s">
        <v>97</v>
      </c>
      <c r="E312" t="s">
        <v>18</v>
      </c>
      <c r="F312" t="s">
        <v>19</v>
      </c>
      <c r="G312" t="s">
        <v>59</v>
      </c>
      <c r="H312" t="s">
        <v>52</v>
      </c>
      <c r="I312" t="s">
        <v>22</v>
      </c>
      <c r="J312">
        <v>2</v>
      </c>
      <c r="K312">
        <v>18</v>
      </c>
      <c r="L312">
        <v>6</v>
      </c>
      <c r="M312">
        <v>933382</v>
      </c>
      <c r="N312">
        <v>5600292</v>
      </c>
      <c r="O312">
        <v>4596739</v>
      </c>
      <c r="P312">
        <v>1003553</v>
      </c>
    </row>
    <row r="313" spans="1:16" x14ac:dyDescent="0.3">
      <c r="A313">
        <v>1312</v>
      </c>
      <c r="B313" t="s">
        <v>329</v>
      </c>
      <c r="C313">
        <v>2024</v>
      </c>
      <c r="D313" t="s">
        <v>29</v>
      </c>
      <c r="E313" t="s">
        <v>40</v>
      </c>
      <c r="F313" t="s">
        <v>104</v>
      </c>
      <c r="G313" t="s">
        <v>59</v>
      </c>
      <c r="H313" t="s">
        <v>37</v>
      </c>
      <c r="I313" t="s">
        <v>32</v>
      </c>
      <c r="J313">
        <v>1.5</v>
      </c>
      <c r="K313">
        <v>20</v>
      </c>
      <c r="L313">
        <v>4</v>
      </c>
      <c r="M313">
        <v>942845</v>
      </c>
      <c r="N313">
        <v>3771380</v>
      </c>
      <c r="O313">
        <v>3278849</v>
      </c>
      <c r="P313">
        <v>492531</v>
      </c>
    </row>
    <row r="314" spans="1:16" x14ac:dyDescent="0.3">
      <c r="A314">
        <v>1313</v>
      </c>
      <c r="B314" t="s">
        <v>321</v>
      </c>
      <c r="C314">
        <v>2023</v>
      </c>
      <c r="D314" t="s">
        <v>97</v>
      </c>
      <c r="E314" t="s">
        <v>18</v>
      </c>
      <c r="F314" t="s">
        <v>72</v>
      </c>
      <c r="G314" t="s">
        <v>90</v>
      </c>
      <c r="H314" t="s">
        <v>37</v>
      </c>
      <c r="I314" t="s">
        <v>32</v>
      </c>
      <c r="J314">
        <v>2</v>
      </c>
      <c r="K314">
        <v>21</v>
      </c>
      <c r="L314">
        <v>3</v>
      </c>
      <c r="M314">
        <v>846855</v>
      </c>
      <c r="N314">
        <v>2540565</v>
      </c>
      <c r="O314">
        <v>2000289</v>
      </c>
      <c r="P314">
        <v>540276</v>
      </c>
    </row>
    <row r="315" spans="1:16" x14ac:dyDescent="0.3">
      <c r="A315">
        <v>1314</v>
      </c>
      <c r="B315" t="s">
        <v>283</v>
      </c>
      <c r="C315">
        <v>2023</v>
      </c>
      <c r="D315" t="s">
        <v>43</v>
      </c>
      <c r="E315" t="s">
        <v>44</v>
      </c>
      <c r="F315" t="s">
        <v>62</v>
      </c>
      <c r="G315" t="s">
        <v>90</v>
      </c>
      <c r="H315" t="s">
        <v>21</v>
      </c>
      <c r="I315" t="s">
        <v>22</v>
      </c>
      <c r="J315">
        <v>1.5</v>
      </c>
      <c r="K315">
        <v>18</v>
      </c>
      <c r="L315">
        <v>1</v>
      </c>
      <c r="M315">
        <v>986453</v>
      </c>
      <c r="N315">
        <v>986453</v>
      </c>
      <c r="O315">
        <v>792764</v>
      </c>
      <c r="P315">
        <v>193689</v>
      </c>
    </row>
    <row r="316" spans="1:16" x14ac:dyDescent="0.3">
      <c r="A316">
        <v>1315</v>
      </c>
      <c r="B316" t="s">
        <v>330</v>
      </c>
      <c r="C316">
        <v>2024</v>
      </c>
      <c r="D316" t="s">
        <v>76</v>
      </c>
      <c r="E316" t="s">
        <v>40</v>
      </c>
      <c r="F316" t="s">
        <v>120</v>
      </c>
      <c r="G316" t="s">
        <v>51</v>
      </c>
      <c r="H316" t="s">
        <v>54</v>
      </c>
      <c r="I316" t="s">
        <v>48</v>
      </c>
      <c r="J316">
        <v>1.2</v>
      </c>
      <c r="K316">
        <v>23</v>
      </c>
      <c r="L316">
        <v>8</v>
      </c>
      <c r="M316">
        <v>1411471</v>
      </c>
      <c r="N316">
        <v>11291768</v>
      </c>
      <c r="O316">
        <v>9228224</v>
      </c>
      <c r="P316">
        <v>2063544</v>
      </c>
    </row>
    <row r="317" spans="1:16" x14ac:dyDescent="0.3">
      <c r="A317">
        <v>1316</v>
      </c>
      <c r="B317" t="s">
        <v>331</v>
      </c>
      <c r="C317">
        <v>2024</v>
      </c>
      <c r="D317" t="s">
        <v>74</v>
      </c>
      <c r="E317" t="s">
        <v>25</v>
      </c>
      <c r="F317" t="s">
        <v>58</v>
      </c>
      <c r="G317" t="s">
        <v>90</v>
      </c>
      <c r="H317" t="s">
        <v>54</v>
      </c>
      <c r="I317" t="s">
        <v>48</v>
      </c>
      <c r="J317">
        <v>2</v>
      </c>
      <c r="K317">
        <v>23</v>
      </c>
      <c r="L317">
        <v>1</v>
      </c>
      <c r="M317">
        <v>1286997</v>
      </c>
      <c r="N317">
        <v>1286997</v>
      </c>
      <c r="O317">
        <v>999576</v>
      </c>
      <c r="P317">
        <v>287421</v>
      </c>
    </row>
    <row r="318" spans="1:16" x14ac:dyDescent="0.3">
      <c r="A318">
        <v>1317</v>
      </c>
      <c r="B318" t="s">
        <v>173</v>
      </c>
      <c r="C318">
        <v>2023</v>
      </c>
      <c r="D318" t="s">
        <v>61</v>
      </c>
      <c r="E318" t="s">
        <v>18</v>
      </c>
      <c r="F318" t="s">
        <v>35</v>
      </c>
      <c r="G318" t="s">
        <v>30</v>
      </c>
      <c r="H318" t="s">
        <v>52</v>
      </c>
      <c r="I318" t="s">
        <v>22</v>
      </c>
      <c r="J318">
        <v>1.5</v>
      </c>
      <c r="K318">
        <v>16</v>
      </c>
      <c r="L318">
        <v>8</v>
      </c>
      <c r="M318">
        <v>828080</v>
      </c>
      <c r="N318">
        <v>6624640</v>
      </c>
      <c r="O318">
        <v>5280243</v>
      </c>
      <c r="P318">
        <v>1344397</v>
      </c>
    </row>
    <row r="319" spans="1:16" x14ac:dyDescent="0.3">
      <c r="A319">
        <v>1318</v>
      </c>
      <c r="B319" t="s">
        <v>332</v>
      </c>
      <c r="C319">
        <v>2024</v>
      </c>
      <c r="D319" t="s">
        <v>74</v>
      </c>
      <c r="E319" t="s">
        <v>40</v>
      </c>
      <c r="F319" t="s">
        <v>41</v>
      </c>
      <c r="G319" t="s">
        <v>51</v>
      </c>
      <c r="H319" t="s">
        <v>52</v>
      </c>
      <c r="I319" t="s">
        <v>22</v>
      </c>
      <c r="J319">
        <v>1.2</v>
      </c>
      <c r="K319">
        <v>21</v>
      </c>
      <c r="L319">
        <v>3</v>
      </c>
      <c r="M319">
        <v>1206092</v>
      </c>
      <c r="N319">
        <v>3618276</v>
      </c>
      <c r="O319">
        <v>2901414</v>
      </c>
      <c r="P319">
        <v>716862</v>
      </c>
    </row>
    <row r="320" spans="1:16" x14ac:dyDescent="0.3">
      <c r="A320">
        <v>1319</v>
      </c>
      <c r="B320" t="s">
        <v>273</v>
      </c>
      <c r="C320">
        <v>2023</v>
      </c>
      <c r="D320" t="s">
        <v>24</v>
      </c>
      <c r="E320" t="s">
        <v>25</v>
      </c>
      <c r="F320" t="s">
        <v>84</v>
      </c>
      <c r="G320" t="s">
        <v>36</v>
      </c>
      <c r="H320" t="s">
        <v>79</v>
      </c>
      <c r="I320" t="s">
        <v>48</v>
      </c>
      <c r="J320">
        <v>1.2</v>
      </c>
      <c r="K320">
        <v>22</v>
      </c>
      <c r="L320">
        <v>1</v>
      </c>
      <c r="M320">
        <v>1063922</v>
      </c>
      <c r="N320">
        <v>1063922</v>
      </c>
      <c r="O320">
        <v>889962</v>
      </c>
      <c r="P320">
        <v>173960</v>
      </c>
    </row>
    <row r="321" spans="1:16" x14ac:dyDescent="0.3">
      <c r="A321">
        <v>1320</v>
      </c>
      <c r="B321" t="s">
        <v>333</v>
      </c>
      <c r="C321">
        <v>2023</v>
      </c>
      <c r="D321" t="s">
        <v>67</v>
      </c>
      <c r="E321" t="s">
        <v>25</v>
      </c>
      <c r="F321" t="s">
        <v>26</v>
      </c>
      <c r="G321" t="s">
        <v>27</v>
      </c>
      <c r="H321" t="s">
        <v>31</v>
      </c>
      <c r="I321" t="s">
        <v>32</v>
      </c>
      <c r="J321">
        <v>1.5</v>
      </c>
      <c r="K321">
        <v>18</v>
      </c>
      <c r="L321">
        <v>8</v>
      </c>
      <c r="M321">
        <v>642307</v>
      </c>
      <c r="N321">
        <v>5138456</v>
      </c>
      <c r="O321">
        <v>4435235</v>
      </c>
      <c r="P321">
        <v>703221</v>
      </c>
    </row>
    <row r="322" spans="1:16" x14ac:dyDescent="0.3">
      <c r="A322">
        <v>1321</v>
      </c>
      <c r="B322" t="s">
        <v>334</v>
      </c>
      <c r="C322">
        <v>2024</v>
      </c>
      <c r="D322" t="s">
        <v>76</v>
      </c>
      <c r="E322" t="s">
        <v>18</v>
      </c>
      <c r="F322" t="s">
        <v>107</v>
      </c>
      <c r="G322" t="s">
        <v>51</v>
      </c>
      <c r="H322" t="s">
        <v>63</v>
      </c>
      <c r="I322" t="s">
        <v>22</v>
      </c>
      <c r="J322">
        <v>1.5</v>
      </c>
      <c r="K322">
        <v>20</v>
      </c>
      <c r="L322">
        <v>1</v>
      </c>
      <c r="M322">
        <v>1135982</v>
      </c>
      <c r="N322">
        <v>1135982</v>
      </c>
      <c r="O322">
        <v>883779</v>
      </c>
      <c r="P322">
        <v>252203</v>
      </c>
    </row>
    <row r="323" spans="1:16" x14ac:dyDescent="0.3">
      <c r="A323">
        <v>1322</v>
      </c>
      <c r="B323" t="s">
        <v>335</v>
      </c>
      <c r="C323">
        <v>2023</v>
      </c>
      <c r="D323" t="s">
        <v>61</v>
      </c>
      <c r="E323" t="s">
        <v>18</v>
      </c>
      <c r="F323" t="s">
        <v>19</v>
      </c>
      <c r="G323" t="s">
        <v>20</v>
      </c>
      <c r="H323" t="s">
        <v>47</v>
      </c>
      <c r="I323" t="s">
        <v>48</v>
      </c>
      <c r="J323">
        <v>1.5</v>
      </c>
      <c r="K323">
        <v>18</v>
      </c>
      <c r="L323">
        <v>6</v>
      </c>
      <c r="M323">
        <v>1020105</v>
      </c>
      <c r="N323">
        <v>6120630</v>
      </c>
      <c r="O323">
        <v>4893805</v>
      </c>
      <c r="P323">
        <v>1226825</v>
      </c>
    </row>
    <row r="324" spans="1:16" x14ac:dyDescent="0.3">
      <c r="A324">
        <v>1323</v>
      </c>
      <c r="B324" t="s">
        <v>185</v>
      </c>
      <c r="C324">
        <v>2023</v>
      </c>
      <c r="D324" t="s">
        <v>74</v>
      </c>
      <c r="E324" t="s">
        <v>44</v>
      </c>
      <c r="F324" t="s">
        <v>62</v>
      </c>
      <c r="G324" t="s">
        <v>90</v>
      </c>
      <c r="H324" t="s">
        <v>31</v>
      </c>
      <c r="I324" t="s">
        <v>32</v>
      </c>
      <c r="J324">
        <v>2</v>
      </c>
      <c r="K324">
        <v>20</v>
      </c>
      <c r="L324">
        <v>6</v>
      </c>
      <c r="M324">
        <v>1482259</v>
      </c>
      <c r="N324">
        <v>8893554</v>
      </c>
      <c r="O324">
        <v>6779423</v>
      </c>
      <c r="P324">
        <v>2114131</v>
      </c>
    </row>
    <row r="325" spans="1:16" x14ac:dyDescent="0.3">
      <c r="A325">
        <v>1324</v>
      </c>
      <c r="B325" t="s">
        <v>261</v>
      </c>
      <c r="C325">
        <v>2023</v>
      </c>
      <c r="D325" t="s">
        <v>76</v>
      </c>
      <c r="E325" t="s">
        <v>18</v>
      </c>
      <c r="F325" t="s">
        <v>19</v>
      </c>
      <c r="G325" t="s">
        <v>30</v>
      </c>
      <c r="H325" t="s">
        <v>63</v>
      </c>
      <c r="I325" t="s">
        <v>22</v>
      </c>
      <c r="J325">
        <v>1.2</v>
      </c>
      <c r="K325">
        <v>19</v>
      </c>
      <c r="L325">
        <v>2</v>
      </c>
      <c r="M325">
        <v>1498612</v>
      </c>
      <c r="N325">
        <v>2997224</v>
      </c>
      <c r="O325">
        <v>2539433</v>
      </c>
      <c r="P325">
        <v>457791</v>
      </c>
    </row>
    <row r="326" spans="1:16" x14ac:dyDescent="0.3">
      <c r="A326">
        <v>1325</v>
      </c>
      <c r="B326" t="s">
        <v>249</v>
      </c>
      <c r="C326">
        <v>2024</v>
      </c>
      <c r="D326" t="s">
        <v>17</v>
      </c>
      <c r="E326" t="s">
        <v>18</v>
      </c>
      <c r="F326" t="s">
        <v>72</v>
      </c>
      <c r="G326" t="s">
        <v>30</v>
      </c>
      <c r="H326" t="s">
        <v>54</v>
      </c>
      <c r="I326" t="s">
        <v>48</v>
      </c>
      <c r="J326">
        <v>1.2</v>
      </c>
      <c r="K326">
        <v>18</v>
      </c>
      <c r="L326">
        <v>1</v>
      </c>
      <c r="M326">
        <v>1314534</v>
      </c>
      <c r="N326">
        <v>1314534</v>
      </c>
      <c r="O326">
        <v>1067865</v>
      </c>
      <c r="P326">
        <v>246669</v>
      </c>
    </row>
    <row r="327" spans="1:16" x14ac:dyDescent="0.3">
      <c r="A327">
        <v>1326</v>
      </c>
      <c r="B327" t="s">
        <v>336</v>
      </c>
      <c r="C327">
        <v>2024</v>
      </c>
      <c r="D327" t="s">
        <v>34</v>
      </c>
      <c r="E327" t="s">
        <v>25</v>
      </c>
      <c r="F327" t="s">
        <v>26</v>
      </c>
      <c r="G327" t="s">
        <v>51</v>
      </c>
      <c r="H327" t="s">
        <v>79</v>
      </c>
      <c r="I327" t="s">
        <v>48</v>
      </c>
      <c r="J327">
        <v>1.2</v>
      </c>
      <c r="K327">
        <v>23</v>
      </c>
      <c r="L327">
        <v>7</v>
      </c>
      <c r="M327">
        <v>1358283</v>
      </c>
      <c r="N327">
        <v>9507981</v>
      </c>
      <c r="O327">
        <v>8458763</v>
      </c>
      <c r="P327">
        <v>1049218</v>
      </c>
    </row>
    <row r="328" spans="1:16" x14ac:dyDescent="0.3">
      <c r="A328">
        <v>1327</v>
      </c>
      <c r="B328" t="s">
        <v>337</v>
      </c>
      <c r="C328">
        <v>2023</v>
      </c>
      <c r="D328" t="s">
        <v>97</v>
      </c>
      <c r="E328" t="s">
        <v>40</v>
      </c>
      <c r="F328" t="s">
        <v>120</v>
      </c>
      <c r="G328" t="s">
        <v>59</v>
      </c>
      <c r="H328" t="s">
        <v>21</v>
      </c>
      <c r="I328" t="s">
        <v>22</v>
      </c>
      <c r="J328">
        <v>1</v>
      </c>
      <c r="K328">
        <v>21</v>
      </c>
      <c r="L328">
        <v>8</v>
      </c>
      <c r="M328">
        <v>1156972</v>
      </c>
      <c r="N328">
        <v>9255776</v>
      </c>
      <c r="O328">
        <v>7291324</v>
      </c>
      <c r="P328">
        <v>1964452</v>
      </c>
    </row>
    <row r="329" spans="1:16" x14ac:dyDescent="0.3">
      <c r="A329">
        <v>1328</v>
      </c>
      <c r="B329" t="s">
        <v>338</v>
      </c>
      <c r="C329">
        <v>2024</v>
      </c>
      <c r="D329" t="s">
        <v>50</v>
      </c>
      <c r="E329" t="s">
        <v>44</v>
      </c>
      <c r="F329" t="s">
        <v>70</v>
      </c>
      <c r="G329" t="s">
        <v>51</v>
      </c>
      <c r="H329" t="s">
        <v>56</v>
      </c>
      <c r="I329" t="s">
        <v>48</v>
      </c>
      <c r="J329">
        <v>1.2</v>
      </c>
      <c r="K329">
        <v>18</v>
      </c>
      <c r="L329">
        <v>2</v>
      </c>
      <c r="M329">
        <v>1278492</v>
      </c>
      <c r="N329">
        <v>2556984</v>
      </c>
      <c r="O329">
        <v>2271431</v>
      </c>
      <c r="P329">
        <v>285553</v>
      </c>
    </row>
    <row r="330" spans="1:16" x14ac:dyDescent="0.3">
      <c r="A330">
        <v>1329</v>
      </c>
      <c r="B330" t="s">
        <v>339</v>
      </c>
      <c r="C330">
        <v>2024</v>
      </c>
      <c r="D330" t="s">
        <v>76</v>
      </c>
      <c r="E330" t="s">
        <v>18</v>
      </c>
      <c r="F330" t="s">
        <v>35</v>
      </c>
      <c r="G330" t="s">
        <v>30</v>
      </c>
      <c r="H330" t="s">
        <v>47</v>
      </c>
      <c r="I330" t="s">
        <v>48</v>
      </c>
      <c r="J330">
        <v>1</v>
      </c>
      <c r="K330">
        <v>22</v>
      </c>
      <c r="L330">
        <v>7</v>
      </c>
      <c r="M330">
        <v>888293</v>
      </c>
      <c r="N330">
        <v>6218051</v>
      </c>
      <c r="O330">
        <v>5010870</v>
      </c>
      <c r="P330">
        <v>1207181</v>
      </c>
    </row>
    <row r="331" spans="1:16" x14ac:dyDescent="0.3">
      <c r="A331">
        <v>1330</v>
      </c>
      <c r="B331" t="s">
        <v>125</v>
      </c>
      <c r="C331">
        <v>2024</v>
      </c>
      <c r="D331" t="s">
        <v>43</v>
      </c>
      <c r="E331" t="s">
        <v>18</v>
      </c>
      <c r="F331" t="s">
        <v>35</v>
      </c>
      <c r="G331" t="s">
        <v>46</v>
      </c>
      <c r="H331" t="s">
        <v>47</v>
      </c>
      <c r="I331" t="s">
        <v>48</v>
      </c>
      <c r="J331">
        <v>1.5</v>
      </c>
      <c r="K331">
        <v>20</v>
      </c>
      <c r="L331">
        <v>3</v>
      </c>
      <c r="M331">
        <v>795845</v>
      </c>
      <c r="N331">
        <v>2387535</v>
      </c>
      <c r="O331">
        <v>1951862</v>
      </c>
      <c r="P331">
        <v>435673</v>
      </c>
    </row>
    <row r="332" spans="1:16" x14ac:dyDescent="0.3">
      <c r="A332">
        <v>1331</v>
      </c>
      <c r="B332" t="s">
        <v>328</v>
      </c>
      <c r="C332">
        <v>2024</v>
      </c>
      <c r="D332" t="s">
        <v>97</v>
      </c>
      <c r="E332" t="s">
        <v>40</v>
      </c>
      <c r="F332" t="s">
        <v>120</v>
      </c>
      <c r="G332" t="s">
        <v>27</v>
      </c>
      <c r="H332" t="s">
        <v>52</v>
      </c>
      <c r="I332" t="s">
        <v>22</v>
      </c>
      <c r="J332">
        <v>1.5</v>
      </c>
      <c r="K332">
        <v>18</v>
      </c>
      <c r="L332">
        <v>1</v>
      </c>
      <c r="M332">
        <v>603046</v>
      </c>
      <c r="N332">
        <v>603046</v>
      </c>
      <c r="O332">
        <v>500545</v>
      </c>
      <c r="P332">
        <v>102501</v>
      </c>
    </row>
    <row r="333" spans="1:16" x14ac:dyDescent="0.3">
      <c r="A333">
        <v>1332</v>
      </c>
      <c r="B333" t="s">
        <v>249</v>
      </c>
      <c r="C333">
        <v>2024</v>
      </c>
      <c r="D333" t="s">
        <v>17</v>
      </c>
      <c r="E333" t="s">
        <v>18</v>
      </c>
      <c r="F333" t="s">
        <v>107</v>
      </c>
      <c r="G333" t="s">
        <v>36</v>
      </c>
      <c r="H333" t="s">
        <v>54</v>
      </c>
      <c r="I333" t="s">
        <v>48</v>
      </c>
      <c r="J333">
        <v>1.2</v>
      </c>
      <c r="K333">
        <v>23</v>
      </c>
      <c r="L333">
        <v>4</v>
      </c>
      <c r="M333">
        <v>1110433</v>
      </c>
      <c r="N333">
        <v>4441732</v>
      </c>
      <c r="O333">
        <v>3594649</v>
      </c>
      <c r="P333">
        <v>847083</v>
      </c>
    </row>
    <row r="334" spans="1:16" x14ac:dyDescent="0.3">
      <c r="A334">
        <v>1333</v>
      </c>
      <c r="B334" t="s">
        <v>340</v>
      </c>
      <c r="C334">
        <v>2023</v>
      </c>
      <c r="D334" t="s">
        <v>43</v>
      </c>
      <c r="E334" t="s">
        <v>40</v>
      </c>
      <c r="F334" t="s">
        <v>68</v>
      </c>
      <c r="G334" t="s">
        <v>51</v>
      </c>
      <c r="H334" t="s">
        <v>100</v>
      </c>
      <c r="I334" t="s">
        <v>22</v>
      </c>
      <c r="J334">
        <v>2</v>
      </c>
      <c r="K334">
        <v>21</v>
      </c>
      <c r="L334">
        <v>3</v>
      </c>
      <c r="M334">
        <v>653686</v>
      </c>
      <c r="N334">
        <v>1961058</v>
      </c>
      <c r="O334">
        <v>1715240</v>
      </c>
      <c r="P334">
        <v>245818</v>
      </c>
    </row>
    <row r="335" spans="1:16" x14ac:dyDescent="0.3">
      <c r="A335">
        <v>1334</v>
      </c>
      <c r="B335" t="s">
        <v>182</v>
      </c>
      <c r="C335">
        <v>2024</v>
      </c>
      <c r="D335" t="s">
        <v>24</v>
      </c>
      <c r="E335" t="s">
        <v>44</v>
      </c>
      <c r="F335" t="s">
        <v>92</v>
      </c>
      <c r="G335" t="s">
        <v>90</v>
      </c>
      <c r="H335" t="s">
        <v>52</v>
      </c>
      <c r="I335" t="s">
        <v>22</v>
      </c>
      <c r="J335">
        <v>1.5</v>
      </c>
      <c r="K335">
        <v>19</v>
      </c>
      <c r="L335">
        <v>8</v>
      </c>
      <c r="M335">
        <v>1063118</v>
      </c>
      <c r="N335">
        <v>8504944</v>
      </c>
      <c r="O335">
        <v>6792301</v>
      </c>
      <c r="P335">
        <v>1712643</v>
      </c>
    </row>
    <row r="336" spans="1:16" x14ac:dyDescent="0.3">
      <c r="A336">
        <v>1335</v>
      </c>
      <c r="B336" t="s">
        <v>341</v>
      </c>
      <c r="C336">
        <v>2024</v>
      </c>
      <c r="D336" t="s">
        <v>39</v>
      </c>
      <c r="E336" t="s">
        <v>44</v>
      </c>
      <c r="F336" t="s">
        <v>70</v>
      </c>
      <c r="G336" t="s">
        <v>59</v>
      </c>
      <c r="H336" t="s">
        <v>21</v>
      </c>
      <c r="I336" t="s">
        <v>22</v>
      </c>
      <c r="J336">
        <v>1.5</v>
      </c>
      <c r="K336">
        <v>23</v>
      </c>
      <c r="L336">
        <v>2</v>
      </c>
      <c r="M336">
        <v>698910</v>
      </c>
      <c r="N336">
        <v>1397820</v>
      </c>
      <c r="O336">
        <v>1048405</v>
      </c>
      <c r="P336">
        <v>349415</v>
      </c>
    </row>
    <row r="337" spans="1:16" x14ac:dyDescent="0.3">
      <c r="A337">
        <v>1336</v>
      </c>
      <c r="B337" t="s">
        <v>342</v>
      </c>
      <c r="C337">
        <v>2023</v>
      </c>
      <c r="D337" t="s">
        <v>50</v>
      </c>
      <c r="E337" t="s">
        <v>40</v>
      </c>
      <c r="F337" t="s">
        <v>68</v>
      </c>
      <c r="G337" t="s">
        <v>59</v>
      </c>
      <c r="H337" t="s">
        <v>52</v>
      </c>
      <c r="I337" t="s">
        <v>22</v>
      </c>
      <c r="J337">
        <v>2</v>
      </c>
      <c r="K337">
        <v>16</v>
      </c>
      <c r="L337">
        <v>7</v>
      </c>
      <c r="M337">
        <v>1050034</v>
      </c>
      <c r="N337">
        <v>7350238</v>
      </c>
      <c r="O337">
        <v>6231225</v>
      </c>
      <c r="P337">
        <v>1119013</v>
      </c>
    </row>
    <row r="338" spans="1:16" x14ac:dyDescent="0.3">
      <c r="A338">
        <v>1337</v>
      </c>
      <c r="B338" t="s">
        <v>343</v>
      </c>
      <c r="C338">
        <v>2023</v>
      </c>
      <c r="D338" t="s">
        <v>76</v>
      </c>
      <c r="E338" t="s">
        <v>44</v>
      </c>
      <c r="F338" t="s">
        <v>70</v>
      </c>
      <c r="G338" t="s">
        <v>90</v>
      </c>
      <c r="H338" t="s">
        <v>21</v>
      </c>
      <c r="I338" t="s">
        <v>22</v>
      </c>
      <c r="J338">
        <v>1.2</v>
      </c>
      <c r="K338">
        <v>18</v>
      </c>
      <c r="L338">
        <v>6</v>
      </c>
      <c r="M338">
        <v>954599</v>
      </c>
      <c r="N338">
        <v>5727594</v>
      </c>
      <c r="O338">
        <v>4972408</v>
      </c>
      <c r="P338">
        <v>755186</v>
      </c>
    </row>
    <row r="339" spans="1:16" x14ac:dyDescent="0.3">
      <c r="A339">
        <v>1338</v>
      </c>
      <c r="B339" t="s">
        <v>344</v>
      </c>
      <c r="C339">
        <v>2023</v>
      </c>
      <c r="D339" t="s">
        <v>74</v>
      </c>
      <c r="E339" t="s">
        <v>25</v>
      </c>
      <c r="F339" t="s">
        <v>58</v>
      </c>
      <c r="G339" t="s">
        <v>30</v>
      </c>
      <c r="H339" t="s">
        <v>63</v>
      </c>
      <c r="I339" t="s">
        <v>22</v>
      </c>
      <c r="J339">
        <v>2</v>
      </c>
      <c r="K339">
        <v>16</v>
      </c>
      <c r="L339">
        <v>8</v>
      </c>
      <c r="M339">
        <v>1247288</v>
      </c>
      <c r="N339">
        <v>9978304</v>
      </c>
      <c r="O339">
        <v>7518294</v>
      </c>
      <c r="P339">
        <v>2460010</v>
      </c>
    </row>
    <row r="340" spans="1:16" x14ac:dyDescent="0.3">
      <c r="A340">
        <v>1339</v>
      </c>
      <c r="B340" t="s">
        <v>236</v>
      </c>
      <c r="C340">
        <v>2023</v>
      </c>
      <c r="D340" t="s">
        <v>50</v>
      </c>
      <c r="E340" t="s">
        <v>25</v>
      </c>
      <c r="F340" t="s">
        <v>58</v>
      </c>
      <c r="G340" t="s">
        <v>36</v>
      </c>
      <c r="H340" t="s">
        <v>54</v>
      </c>
      <c r="I340" t="s">
        <v>48</v>
      </c>
      <c r="J340">
        <v>2</v>
      </c>
      <c r="K340">
        <v>18</v>
      </c>
      <c r="L340">
        <v>6</v>
      </c>
      <c r="M340">
        <v>1259817</v>
      </c>
      <c r="N340">
        <v>7558902</v>
      </c>
      <c r="O340">
        <v>5745410</v>
      </c>
      <c r="P340">
        <v>1813492</v>
      </c>
    </row>
    <row r="341" spans="1:16" x14ac:dyDescent="0.3">
      <c r="A341">
        <v>1340</v>
      </c>
      <c r="B341" t="s">
        <v>161</v>
      </c>
      <c r="C341">
        <v>2023</v>
      </c>
      <c r="D341" t="s">
        <v>50</v>
      </c>
      <c r="E341" t="s">
        <v>40</v>
      </c>
      <c r="F341" t="s">
        <v>68</v>
      </c>
      <c r="G341" t="s">
        <v>59</v>
      </c>
      <c r="H341" t="s">
        <v>52</v>
      </c>
      <c r="I341" t="s">
        <v>22</v>
      </c>
      <c r="J341">
        <v>1.2</v>
      </c>
      <c r="K341">
        <v>18</v>
      </c>
      <c r="L341">
        <v>2</v>
      </c>
      <c r="M341">
        <v>1365589</v>
      </c>
      <c r="N341">
        <v>2731178</v>
      </c>
      <c r="O341">
        <v>2196702</v>
      </c>
      <c r="P341">
        <v>534476</v>
      </c>
    </row>
    <row r="342" spans="1:16" x14ac:dyDescent="0.3">
      <c r="A342">
        <v>1341</v>
      </c>
      <c r="B342" t="s">
        <v>345</v>
      </c>
      <c r="C342">
        <v>2023</v>
      </c>
      <c r="D342" t="s">
        <v>34</v>
      </c>
      <c r="E342" t="s">
        <v>18</v>
      </c>
      <c r="F342" t="s">
        <v>19</v>
      </c>
      <c r="G342" t="s">
        <v>90</v>
      </c>
      <c r="H342" t="s">
        <v>63</v>
      </c>
      <c r="I342" t="s">
        <v>22</v>
      </c>
      <c r="J342">
        <v>1.2</v>
      </c>
      <c r="K342">
        <v>21</v>
      </c>
      <c r="L342">
        <v>8</v>
      </c>
      <c r="M342">
        <v>882129</v>
      </c>
      <c r="N342">
        <v>7057032</v>
      </c>
      <c r="O342">
        <v>5343238</v>
      </c>
      <c r="P342">
        <v>1713794</v>
      </c>
    </row>
    <row r="343" spans="1:16" x14ac:dyDescent="0.3">
      <c r="A343">
        <v>1342</v>
      </c>
      <c r="B343" t="s">
        <v>346</v>
      </c>
      <c r="C343">
        <v>2023</v>
      </c>
      <c r="D343" t="s">
        <v>97</v>
      </c>
      <c r="E343" t="s">
        <v>18</v>
      </c>
      <c r="F343" t="s">
        <v>72</v>
      </c>
      <c r="G343" t="s">
        <v>59</v>
      </c>
      <c r="H343" t="s">
        <v>54</v>
      </c>
      <c r="I343" t="s">
        <v>48</v>
      </c>
      <c r="J343">
        <v>2</v>
      </c>
      <c r="K343">
        <v>23</v>
      </c>
      <c r="L343">
        <v>3</v>
      </c>
      <c r="M343">
        <v>617326</v>
      </c>
      <c r="N343">
        <v>1851978</v>
      </c>
      <c r="O343">
        <v>1565511</v>
      </c>
      <c r="P343">
        <v>286467</v>
      </c>
    </row>
    <row r="344" spans="1:16" x14ac:dyDescent="0.3">
      <c r="A344">
        <v>1343</v>
      </c>
      <c r="B344" t="s">
        <v>240</v>
      </c>
      <c r="C344">
        <v>2024</v>
      </c>
      <c r="D344" t="s">
        <v>43</v>
      </c>
      <c r="E344" t="s">
        <v>25</v>
      </c>
      <c r="F344" t="s">
        <v>58</v>
      </c>
      <c r="G344" t="s">
        <v>36</v>
      </c>
      <c r="H344" t="s">
        <v>47</v>
      </c>
      <c r="I344" t="s">
        <v>48</v>
      </c>
      <c r="J344">
        <v>1</v>
      </c>
      <c r="K344">
        <v>19</v>
      </c>
      <c r="L344">
        <v>2</v>
      </c>
      <c r="M344">
        <v>1458426</v>
      </c>
      <c r="N344">
        <v>2916852</v>
      </c>
      <c r="O344">
        <v>2201564</v>
      </c>
      <c r="P344">
        <v>715288</v>
      </c>
    </row>
    <row r="345" spans="1:16" x14ac:dyDescent="0.3">
      <c r="A345">
        <v>1344</v>
      </c>
      <c r="B345" t="s">
        <v>347</v>
      </c>
      <c r="C345">
        <v>2024</v>
      </c>
      <c r="D345" t="s">
        <v>17</v>
      </c>
      <c r="E345" t="s">
        <v>18</v>
      </c>
      <c r="F345" t="s">
        <v>35</v>
      </c>
      <c r="G345" t="s">
        <v>36</v>
      </c>
      <c r="H345" t="s">
        <v>52</v>
      </c>
      <c r="I345" t="s">
        <v>22</v>
      </c>
      <c r="J345">
        <v>1.5</v>
      </c>
      <c r="K345">
        <v>18</v>
      </c>
      <c r="L345">
        <v>6</v>
      </c>
      <c r="M345">
        <v>1241331</v>
      </c>
      <c r="N345">
        <v>7447986</v>
      </c>
      <c r="O345">
        <v>6605254</v>
      </c>
      <c r="P345">
        <v>842732</v>
      </c>
    </row>
    <row r="346" spans="1:16" x14ac:dyDescent="0.3">
      <c r="A346">
        <v>1345</v>
      </c>
      <c r="B346" t="s">
        <v>234</v>
      </c>
      <c r="C346">
        <v>2023</v>
      </c>
      <c r="D346" t="s">
        <v>97</v>
      </c>
      <c r="E346" t="s">
        <v>18</v>
      </c>
      <c r="F346" t="s">
        <v>35</v>
      </c>
      <c r="G346" t="s">
        <v>36</v>
      </c>
      <c r="H346" t="s">
        <v>56</v>
      </c>
      <c r="I346" t="s">
        <v>48</v>
      </c>
      <c r="J346">
        <v>2</v>
      </c>
      <c r="K346">
        <v>22</v>
      </c>
      <c r="L346">
        <v>3</v>
      </c>
      <c r="M346">
        <v>1346015</v>
      </c>
      <c r="N346">
        <v>4038045</v>
      </c>
      <c r="O346">
        <v>3340143</v>
      </c>
      <c r="P346">
        <v>697902</v>
      </c>
    </row>
    <row r="347" spans="1:16" x14ac:dyDescent="0.3">
      <c r="A347">
        <v>1346</v>
      </c>
      <c r="B347" t="s">
        <v>315</v>
      </c>
      <c r="C347">
        <v>2024</v>
      </c>
      <c r="D347" t="s">
        <v>76</v>
      </c>
      <c r="E347" t="s">
        <v>25</v>
      </c>
      <c r="F347" t="s">
        <v>26</v>
      </c>
      <c r="G347" t="s">
        <v>36</v>
      </c>
      <c r="H347" t="s">
        <v>79</v>
      </c>
      <c r="I347" t="s">
        <v>48</v>
      </c>
      <c r="J347">
        <v>1.5</v>
      </c>
      <c r="K347">
        <v>19</v>
      </c>
      <c r="L347">
        <v>3</v>
      </c>
      <c r="M347">
        <v>764027</v>
      </c>
      <c r="N347">
        <v>2292081</v>
      </c>
      <c r="O347">
        <v>1804964</v>
      </c>
      <c r="P347">
        <v>487117</v>
      </c>
    </row>
    <row r="348" spans="1:16" x14ac:dyDescent="0.3">
      <c r="A348">
        <v>1347</v>
      </c>
      <c r="B348" t="s">
        <v>193</v>
      </c>
      <c r="C348">
        <v>2023</v>
      </c>
      <c r="D348" t="s">
        <v>97</v>
      </c>
      <c r="E348" t="s">
        <v>25</v>
      </c>
      <c r="F348" t="s">
        <v>84</v>
      </c>
      <c r="G348" t="s">
        <v>51</v>
      </c>
      <c r="H348" t="s">
        <v>100</v>
      </c>
      <c r="I348" t="s">
        <v>22</v>
      </c>
      <c r="J348">
        <v>1</v>
      </c>
      <c r="K348">
        <v>21</v>
      </c>
      <c r="L348">
        <v>1</v>
      </c>
      <c r="M348">
        <v>1175384</v>
      </c>
      <c r="N348">
        <v>1175384</v>
      </c>
      <c r="O348">
        <v>1044513</v>
      </c>
      <c r="P348">
        <v>130871</v>
      </c>
    </row>
    <row r="349" spans="1:16" x14ac:dyDescent="0.3">
      <c r="A349">
        <v>1348</v>
      </c>
      <c r="B349" t="s">
        <v>267</v>
      </c>
      <c r="C349">
        <v>2023</v>
      </c>
      <c r="D349" t="s">
        <v>50</v>
      </c>
      <c r="E349" t="s">
        <v>44</v>
      </c>
      <c r="F349" t="s">
        <v>62</v>
      </c>
      <c r="G349" t="s">
        <v>30</v>
      </c>
      <c r="H349" t="s">
        <v>31</v>
      </c>
      <c r="I349" t="s">
        <v>32</v>
      </c>
      <c r="J349">
        <v>1</v>
      </c>
      <c r="K349">
        <v>20</v>
      </c>
      <c r="L349">
        <v>8</v>
      </c>
      <c r="M349">
        <v>1270860</v>
      </c>
      <c r="N349">
        <v>10166880</v>
      </c>
      <c r="O349">
        <v>9124102</v>
      </c>
      <c r="P349">
        <v>1042778</v>
      </c>
    </row>
    <row r="350" spans="1:16" x14ac:dyDescent="0.3">
      <c r="A350">
        <v>1349</v>
      </c>
      <c r="B350" t="s">
        <v>348</v>
      </c>
      <c r="C350">
        <v>2023</v>
      </c>
      <c r="D350" t="s">
        <v>24</v>
      </c>
      <c r="E350" t="s">
        <v>44</v>
      </c>
      <c r="F350" t="s">
        <v>62</v>
      </c>
      <c r="G350" t="s">
        <v>90</v>
      </c>
      <c r="H350" t="s">
        <v>31</v>
      </c>
      <c r="I350" t="s">
        <v>32</v>
      </c>
      <c r="J350">
        <v>2</v>
      </c>
      <c r="K350">
        <v>16</v>
      </c>
      <c r="L350">
        <v>6</v>
      </c>
      <c r="M350">
        <v>1120521</v>
      </c>
      <c r="N350">
        <v>6723126</v>
      </c>
      <c r="O350">
        <v>5116941</v>
      </c>
      <c r="P350">
        <v>1606185</v>
      </c>
    </row>
    <row r="351" spans="1:16" x14ac:dyDescent="0.3">
      <c r="A351">
        <v>1350</v>
      </c>
      <c r="B351" t="s">
        <v>28</v>
      </c>
      <c r="C351">
        <v>2024</v>
      </c>
      <c r="D351" t="s">
        <v>29</v>
      </c>
      <c r="E351" t="s">
        <v>18</v>
      </c>
      <c r="F351" t="s">
        <v>35</v>
      </c>
      <c r="G351" t="s">
        <v>30</v>
      </c>
      <c r="H351" t="s">
        <v>63</v>
      </c>
      <c r="I351" t="s">
        <v>22</v>
      </c>
      <c r="J351">
        <v>2</v>
      </c>
      <c r="K351">
        <v>20</v>
      </c>
      <c r="L351">
        <v>7</v>
      </c>
      <c r="M351">
        <v>743441</v>
      </c>
      <c r="N351">
        <v>5204087</v>
      </c>
      <c r="O351">
        <v>4601055</v>
      </c>
      <c r="P351">
        <v>603032</v>
      </c>
    </row>
    <row r="352" spans="1:16" x14ac:dyDescent="0.3">
      <c r="A352">
        <v>1351</v>
      </c>
      <c r="B352" t="s">
        <v>214</v>
      </c>
      <c r="C352">
        <v>2024</v>
      </c>
      <c r="D352" t="s">
        <v>76</v>
      </c>
      <c r="E352" t="s">
        <v>44</v>
      </c>
      <c r="F352" t="s">
        <v>70</v>
      </c>
      <c r="G352" t="s">
        <v>46</v>
      </c>
      <c r="H352" t="s">
        <v>63</v>
      </c>
      <c r="I352" t="s">
        <v>22</v>
      </c>
      <c r="J352">
        <v>1</v>
      </c>
      <c r="K352">
        <v>18</v>
      </c>
      <c r="L352">
        <v>5</v>
      </c>
      <c r="M352">
        <v>1343905</v>
      </c>
      <c r="N352">
        <v>6719525</v>
      </c>
      <c r="O352">
        <v>5818128</v>
      </c>
      <c r="P352">
        <v>901397</v>
      </c>
    </row>
    <row r="353" spans="1:16" x14ac:dyDescent="0.3">
      <c r="A353">
        <v>1352</v>
      </c>
      <c r="B353" t="s">
        <v>255</v>
      </c>
      <c r="C353">
        <v>2024</v>
      </c>
      <c r="D353" t="s">
        <v>67</v>
      </c>
      <c r="E353" t="s">
        <v>44</v>
      </c>
      <c r="F353" t="s">
        <v>70</v>
      </c>
      <c r="G353" t="s">
        <v>30</v>
      </c>
      <c r="H353" t="s">
        <v>79</v>
      </c>
      <c r="I353" t="s">
        <v>48</v>
      </c>
      <c r="J353">
        <v>1</v>
      </c>
      <c r="K353">
        <v>21</v>
      </c>
      <c r="L353">
        <v>7</v>
      </c>
      <c r="M353">
        <v>1460067</v>
      </c>
      <c r="N353">
        <v>10220469</v>
      </c>
      <c r="O353">
        <v>7819047</v>
      </c>
      <c r="P353">
        <v>2401422</v>
      </c>
    </row>
    <row r="354" spans="1:16" x14ac:dyDescent="0.3">
      <c r="A354">
        <v>1353</v>
      </c>
      <c r="B354" t="s">
        <v>334</v>
      </c>
      <c r="C354">
        <v>2024</v>
      </c>
      <c r="D354" t="s">
        <v>76</v>
      </c>
      <c r="E354" t="s">
        <v>25</v>
      </c>
      <c r="F354" t="s">
        <v>26</v>
      </c>
      <c r="G354" t="s">
        <v>51</v>
      </c>
      <c r="H354" t="s">
        <v>31</v>
      </c>
      <c r="I354" t="s">
        <v>32</v>
      </c>
      <c r="J354">
        <v>2</v>
      </c>
      <c r="K354">
        <v>20</v>
      </c>
      <c r="L354">
        <v>3</v>
      </c>
      <c r="M354">
        <v>1490724</v>
      </c>
      <c r="N354">
        <v>4472172</v>
      </c>
      <c r="O354">
        <v>3555049</v>
      </c>
      <c r="P354">
        <v>917123</v>
      </c>
    </row>
    <row r="355" spans="1:16" x14ac:dyDescent="0.3">
      <c r="A355">
        <v>1354</v>
      </c>
      <c r="B355" t="s">
        <v>73</v>
      </c>
      <c r="C355">
        <v>2024</v>
      </c>
      <c r="D355" t="s">
        <v>74</v>
      </c>
      <c r="E355" t="s">
        <v>44</v>
      </c>
      <c r="F355" t="s">
        <v>62</v>
      </c>
      <c r="G355" t="s">
        <v>20</v>
      </c>
      <c r="H355" t="s">
        <v>52</v>
      </c>
      <c r="I355" t="s">
        <v>22</v>
      </c>
      <c r="J355">
        <v>1.5</v>
      </c>
      <c r="K355">
        <v>22</v>
      </c>
      <c r="L355">
        <v>6</v>
      </c>
      <c r="M355">
        <v>996072</v>
      </c>
      <c r="N355">
        <v>5976432</v>
      </c>
      <c r="O355">
        <v>5259398</v>
      </c>
      <c r="P355">
        <v>717034</v>
      </c>
    </row>
    <row r="356" spans="1:16" x14ac:dyDescent="0.3">
      <c r="A356">
        <v>1355</v>
      </c>
      <c r="B356" t="s">
        <v>349</v>
      </c>
      <c r="C356">
        <v>2024</v>
      </c>
      <c r="D356" t="s">
        <v>50</v>
      </c>
      <c r="E356" t="s">
        <v>40</v>
      </c>
      <c r="F356" t="s">
        <v>120</v>
      </c>
      <c r="G356" t="s">
        <v>36</v>
      </c>
      <c r="H356" t="s">
        <v>79</v>
      </c>
      <c r="I356" t="s">
        <v>48</v>
      </c>
      <c r="J356">
        <v>2</v>
      </c>
      <c r="K356">
        <v>20</v>
      </c>
      <c r="L356">
        <v>3</v>
      </c>
      <c r="M356">
        <v>870271</v>
      </c>
      <c r="N356">
        <v>2610813</v>
      </c>
      <c r="O356">
        <v>2180102</v>
      </c>
      <c r="P356">
        <v>430711</v>
      </c>
    </row>
    <row r="357" spans="1:16" x14ac:dyDescent="0.3">
      <c r="A357">
        <v>1356</v>
      </c>
      <c r="B357" t="s">
        <v>350</v>
      </c>
      <c r="C357">
        <v>2023</v>
      </c>
      <c r="D357" t="s">
        <v>74</v>
      </c>
      <c r="E357" t="s">
        <v>40</v>
      </c>
      <c r="F357" t="s">
        <v>120</v>
      </c>
      <c r="G357" t="s">
        <v>90</v>
      </c>
      <c r="H357" t="s">
        <v>54</v>
      </c>
      <c r="I357" t="s">
        <v>48</v>
      </c>
      <c r="J357">
        <v>1.2</v>
      </c>
      <c r="K357">
        <v>22</v>
      </c>
      <c r="L357">
        <v>6</v>
      </c>
      <c r="M357">
        <v>1000222</v>
      </c>
      <c r="N357">
        <v>6001332</v>
      </c>
      <c r="O357">
        <v>4914119</v>
      </c>
      <c r="P357">
        <v>1087213</v>
      </c>
    </row>
    <row r="358" spans="1:16" x14ac:dyDescent="0.3">
      <c r="A358">
        <v>1357</v>
      </c>
      <c r="B358" t="s">
        <v>93</v>
      </c>
      <c r="C358">
        <v>2023</v>
      </c>
      <c r="D358" t="s">
        <v>34</v>
      </c>
      <c r="E358" t="s">
        <v>18</v>
      </c>
      <c r="F358" t="s">
        <v>72</v>
      </c>
      <c r="G358" t="s">
        <v>59</v>
      </c>
      <c r="H358" t="s">
        <v>21</v>
      </c>
      <c r="I358" t="s">
        <v>22</v>
      </c>
      <c r="J358">
        <v>1.5</v>
      </c>
      <c r="K358">
        <v>23</v>
      </c>
      <c r="L358">
        <v>1</v>
      </c>
      <c r="M358">
        <v>670387</v>
      </c>
      <c r="N358">
        <v>670387</v>
      </c>
      <c r="O358">
        <v>592444</v>
      </c>
      <c r="P358">
        <v>77943</v>
      </c>
    </row>
    <row r="359" spans="1:16" x14ac:dyDescent="0.3">
      <c r="A359">
        <v>1358</v>
      </c>
      <c r="B359" t="s">
        <v>95</v>
      </c>
      <c r="C359">
        <v>2023</v>
      </c>
      <c r="D359" t="s">
        <v>29</v>
      </c>
      <c r="E359" t="s">
        <v>25</v>
      </c>
      <c r="F359" t="s">
        <v>58</v>
      </c>
      <c r="G359" t="s">
        <v>30</v>
      </c>
      <c r="H359" t="s">
        <v>31</v>
      </c>
      <c r="I359" t="s">
        <v>32</v>
      </c>
      <c r="J359">
        <v>1.5</v>
      </c>
      <c r="K359">
        <v>19</v>
      </c>
      <c r="L359">
        <v>3</v>
      </c>
      <c r="M359">
        <v>1204578</v>
      </c>
      <c r="N359">
        <v>3613734</v>
      </c>
      <c r="O359">
        <v>3108433</v>
      </c>
      <c r="P359">
        <v>505301</v>
      </c>
    </row>
    <row r="360" spans="1:16" x14ac:dyDescent="0.3">
      <c r="A360">
        <v>1359</v>
      </c>
      <c r="B360" t="s">
        <v>351</v>
      </c>
      <c r="C360">
        <v>2024</v>
      </c>
      <c r="D360" t="s">
        <v>97</v>
      </c>
      <c r="E360" t="s">
        <v>25</v>
      </c>
      <c r="F360" t="s">
        <v>58</v>
      </c>
      <c r="G360" t="s">
        <v>27</v>
      </c>
      <c r="H360" t="s">
        <v>47</v>
      </c>
      <c r="I360" t="s">
        <v>48</v>
      </c>
      <c r="J360">
        <v>2</v>
      </c>
      <c r="K360">
        <v>19</v>
      </c>
      <c r="L360">
        <v>7</v>
      </c>
      <c r="M360">
        <v>1494720</v>
      </c>
      <c r="N360">
        <v>10463040</v>
      </c>
      <c r="O360">
        <v>8646828</v>
      </c>
      <c r="P360">
        <v>1816212</v>
      </c>
    </row>
    <row r="361" spans="1:16" x14ac:dyDescent="0.3">
      <c r="A361">
        <v>1360</v>
      </c>
      <c r="B361" t="s">
        <v>306</v>
      </c>
      <c r="C361">
        <v>2024</v>
      </c>
      <c r="D361" t="s">
        <v>76</v>
      </c>
      <c r="E361" t="s">
        <v>18</v>
      </c>
      <c r="F361" t="s">
        <v>35</v>
      </c>
      <c r="G361" t="s">
        <v>90</v>
      </c>
      <c r="H361" t="s">
        <v>47</v>
      </c>
      <c r="I361" t="s">
        <v>48</v>
      </c>
      <c r="J361">
        <v>1</v>
      </c>
      <c r="K361">
        <v>20</v>
      </c>
      <c r="L361">
        <v>8</v>
      </c>
      <c r="M361">
        <v>644545</v>
      </c>
      <c r="N361">
        <v>5156360</v>
      </c>
      <c r="O361">
        <v>4335216</v>
      </c>
      <c r="P361">
        <v>821144</v>
      </c>
    </row>
    <row r="362" spans="1:16" x14ac:dyDescent="0.3">
      <c r="A362">
        <v>1361</v>
      </c>
      <c r="B362" t="s">
        <v>205</v>
      </c>
      <c r="C362">
        <v>2024</v>
      </c>
      <c r="D362" t="s">
        <v>17</v>
      </c>
      <c r="E362" t="s">
        <v>18</v>
      </c>
      <c r="F362" t="s">
        <v>107</v>
      </c>
      <c r="G362" t="s">
        <v>20</v>
      </c>
      <c r="H362" t="s">
        <v>31</v>
      </c>
      <c r="I362" t="s">
        <v>32</v>
      </c>
      <c r="J362">
        <v>1</v>
      </c>
      <c r="K362">
        <v>18</v>
      </c>
      <c r="L362">
        <v>5</v>
      </c>
      <c r="M362">
        <v>1406630</v>
      </c>
      <c r="N362">
        <v>7033150</v>
      </c>
      <c r="O362">
        <v>5290405</v>
      </c>
      <c r="P362">
        <v>1742745</v>
      </c>
    </row>
    <row r="363" spans="1:16" x14ac:dyDescent="0.3">
      <c r="A363">
        <v>1362</v>
      </c>
      <c r="B363" t="s">
        <v>250</v>
      </c>
      <c r="C363">
        <v>2024</v>
      </c>
      <c r="D363" t="s">
        <v>50</v>
      </c>
      <c r="E363" t="s">
        <v>18</v>
      </c>
      <c r="F363" t="s">
        <v>19</v>
      </c>
      <c r="G363" t="s">
        <v>46</v>
      </c>
      <c r="H363" t="s">
        <v>63</v>
      </c>
      <c r="I363" t="s">
        <v>22</v>
      </c>
      <c r="J363">
        <v>2</v>
      </c>
      <c r="K363">
        <v>23</v>
      </c>
      <c r="L363">
        <v>3</v>
      </c>
      <c r="M363">
        <v>1020560</v>
      </c>
      <c r="N363">
        <v>3061680</v>
      </c>
      <c r="O363">
        <v>2555341</v>
      </c>
      <c r="P363">
        <v>506339</v>
      </c>
    </row>
    <row r="364" spans="1:16" x14ac:dyDescent="0.3">
      <c r="A364">
        <v>1363</v>
      </c>
      <c r="B364" t="s">
        <v>245</v>
      </c>
      <c r="C364">
        <v>2024</v>
      </c>
      <c r="D364" t="s">
        <v>29</v>
      </c>
      <c r="E364" t="s">
        <v>44</v>
      </c>
      <c r="F364" t="s">
        <v>92</v>
      </c>
      <c r="G364" t="s">
        <v>36</v>
      </c>
      <c r="H364" t="s">
        <v>79</v>
      </c>
      <c r="I364" t="s">
        <v>48</v>
      </c>
      <c r="J364">
        <v>1.5</v>
      </c>
      <c r="K364">
        <v>21</v>
      </c>
      <c r="L364">
        <v>7</v>
      </c>
      <c r="M364">
        <v>997515</v>
      </c>
      <c r="N364">
        <v>6982605</v>
      </c>
      <c r="O364">
        <v>5913757</v>
      </c>
      <c r="P364">
        <v>1068848</v>
      </c>
    </row>
    <row r="365" spans="1:16" x14ac:dyDescent="0.3">
      <c r="A365">
        <v>1364</v>
      </c>
      <c r="B365" t="s">
        <v>352</v>
      </c>
      <c r="C365">
        <v>2023</v>
      </c>
      <c r="D365" t="s">
        <v>39</v>
      </c>
      <c r="E365" t="s">
        <v>25</v>
      </c>
      <c r="F365" t="s">
        <v>58</v>
      </c>
      <c r="G365" t="s">
        <v>36</v>
      </c>
      <c r="H365" t="s">
        <v>63</v>
      </c>
      <c r="I365" t="s">
        <v>22</v>
      </c>
      <c r="J365">
        <v>1</v>
      </c>
      <c r="K365">
        <v>16</v>
      </c>
      <c r="L365">
        <v>3</v>
      </c>
      <c r="M365">
        <v>1271064</v>
      </c>
      <c r="N365">
        <v>3813192</v>
      </c>
      <c r="O365">
        <v>3161262</v>
      </c>
      <c r="P365">
        <v>651930</v>
      </c>
    </row>
    <row r="366" spans="1:16" x14ac:dyDescent="0.3">
      <c r="A366">
        <v>1365</v>
      </c>
      <c r="B366" t="s">
        <v>353</v>
      </c>
      <c r="C366">
        <v>2024</v>
      </c>
      <c r="D366" t="s">
        <v>24</v>
      </c>
      <c r="E366" t="s">
        <v>40</v>
      </c>
      <c r="F366" t="s">
        <v>120</v>
      </c>
      <c r="G366" t="s">
        <v>27</v>
      </c>
      <c r="H366" t="s">
        <v>37</v>
      </c>
      <c r="I366" t="s">
        <v>32</v>
      </c>
      <c r="J366">
        <v>1</v>
      </c>
      <c r="K366">
        <v>18</v>
      </c>
      <c r="L366">
        <v>2</v>
      </c>
      <c r="M366">
        <v>633235</v>
      </c>
      <c r="N366">
        <v>1266470</v>
      </c>
      <c r="O366">
        <v>1052536</v>
      </c>
      <c r="P366">
        <v>213934</v>
      </c>
    </row>
    <row r="367" spans="1:16" x14ac:dyDescent="0.3">
      <c r="A367">
        <v>1366</v>
      </c>
      <c r="B367" t="s">
        <v>354</v>
      </c>
      <c r="C367">
        <v>2023</v>
      </c>
      <c r="D367" t="s">
        <v>34</v>
      </c>
      <c r="E367" t="s">
        <v>25</v>
      </c>
      <c r="F367" t="s">
        <v>84</v>
      </c>
      <c r="G367" t="s">
        <v>27</v>
      </c>
      <c r="H367" t="s">
        <v>79</v>
      </c>
      <c r="I367" t="s">
        <v>48</v>
      </c>
      <c r="J367">
        <v>1</v>
      </c>
      <c r="K367">
        <v>23</v>
      </c>
      <c r="L367">
        <v>3</v>
      </c>
      <c r="M367">
        <v>1119122</v>
      </c>
      <c r="N367">
        <v>3357366</v>
      </c>
      <c r="O367">
        <v>2588773</v>
      </c>
      <c r="P367">
        <v>768593</v>
      </c>
    </row>
    <row r="368" spans="1:16" x14ac:dyDescent="0.3">
      <c r="A368">
        <v>1367</v>
      </c>
      <c r="B368" t="s">
        <v>187</v>
      </c>
      <c r="C368">
        <v>2024</v>
      </c>
      <c r="D368" t="s">
        <v>74</v>
      </c>
      <c r="E368" t="s">
        <v>40</v>
      </c>
      <c r="F368" t="s">
        <v>104</v>
      </c>
      <c r="G368" t="s">
        <v>36</v>
      </c>
      <c r="H368" t="s">
        <v>54</v>
      </c>
      <c r="I368" t="s">
        <v>48</v>
      </c>
      <c r="J368">
        <v>1</v>
      </c>
      <c r="K368">
        <v>18</v>
      </c>
      <c r="L368">
        <v>1</v>
      </c>
      <c r="M368">
        <v>715242</v>
      </c>
      <c r="N368">
        <v>715242</v>
      </c>
      <c r="O368">
        <v>537807</v>
      </c>
      <c r="P368">
        <v>177435</v>
      </c>
    </row>
    <row r="369" spans="1:16" x14ac:dyDescent="0.3">
      <c r="A369">
        <v>1368</v>
      </c>
      <c r="B369" t="s">
        <v>355</v>
      </c>
      <c r="C369">
        <v>2023</v>
      </c>
      <c r="D369" t="s">
        <v>97</v>
      </c>
      <c r="E369" t="s">
        <v>40</v>
      </c>
      <c r="F369" t="s">
        <v>120</v>
      </c>
      <c r="G369" t="s">
        <v>51</v>
      </c>
      <c r="H369" t="s">
        <v>52</v>
      </c>
      <c r="I369" t="s">
        <v>22</v>
      </c>
      <c r="J369">
        <v>1.5</v>
      </c>
      <c r="K369">
        <v>22</v>
      </c>
      <c r="L369">
        <v>8</v>
      </c>
      <c r="M369">
        <v>642570</v>
      </c>
      <c r="N369">
        <v>5140560</v>
      </c>
      <c r="O369">
        <v>3872734</v>
      </c>
      <c r="P369">
        <v>1267826</v>
      </c>
    </row>
    <row r="370" spans="1:16" x14ac:dyDescent="0.3">
      <c r="A370">
        <v>1369</v>
      </c>
      <c r="B370" t="s">
        <v>356</v>
      </c>
      <c r="C370">
        <v>2023</v>
      </c>
      <c r="D370" t="s">
        <v>74</v>
      </c>
      <c r="E370" t="s">
        <v>40</v>
      </c>
      <c r="F370" t="s">
        <v>68</v>
      </c>
      <c r="G370" t="s">
        <v>51</v>
      </c>
      <c r="H370" t="s">
        <v>63</v>
      </c>
      <c r="I370" t="s">
        <v>22</v>
      </c>
      <c r="J370">
        <v>1</v>
      </c>
      <c r="K370">
        <v>18</v>
      </c>
      <c r="L370">
        <v>3</v>
      </c>
      <c r="M370">
        <v>647095</v>
      </c>
      <c r="N370">
        <v>1941285</v>
      </c>
      <c r="O370">
        <v>1562946</v>
      </c>
      <c r="P370">
        <v>378339</v>
      </c>
    </row>
    <row r="371" spans="1:16" x14ac:dyDescent="0.3">
      <c r="A371">
        <v>1370</v>
      </c>
      <c r="B371" t="s">
        <v>315</v>
      </c>
      <c r="C371">
        <v>2024</v>
      </c>
      <c r="D371" t="s">
        <v>76</v>
      </c>
      <c r="E371" t="s">
        <v>18</v>
      </c>
      <c r="F371" t="s">
        <v>107</v>
      </c>
      <c r="G371" t="s">
        <v>51</v>
      </c>
      <c r="H371" t="s">
        <v>31</v>
      </c>
      <c r="I371" t="s">
        <v>32</v>
      </c>
      <c r="J371">
        <v>1</v>
      </c>
      <c r="K371">
        <v>20</v>
      </c>
      <c r="L371">
        <v>8</v>
      </c>
      <c r="M371">
        <v>1147037</v>
      </c>
      <c r="N371">
        <v>9176296</v>
      </c>
      <c r="O371">
        <v>7654228</v>
      </c>
      <c r="P371">
        <v>1522068</v>
      </c>
    </row>
    <row r="372" spans="1:16" x14ac:dyDescent="0.3">
      <c r="A372">
        <v>1371</v>
      </c>
      <c r="B372" t="s">
        <v>357</v>
      </c>
      <c r="C372">
        <v>2024</v>
      </c>
      <c r="D372" t="s">
        <v>97</v>
      </c>
      <c r="E372" t="s">
        <v>25</v>
      </c>
      <c r="F372" t="s">
        <v>77</v>
      </c>
      <c r="G372" t="s">
        <v>27</v>
      </c>
      <c r="H372" t="s">
        <v>31</v>
      </c>
      <c r="I372" t="s">
        <v>32</v>
      </c>
      <c r="J372">
        <v>1.2</v>
      </c>
      <c r="K372">
        <v>16</v>
      </c>
      <c r="L372">
        <v>8</v>
      </c>
      <c r="M372">
        <v>1203157</v>
      </c>
      <c r="N372">
        <v>9625256</v>
      </c>
      <c r="O372">
        <v>7464822</v>
      </c>
      <c r="P372">
        <v>2160434</v>
      </c>
    </row>
    <row r="373" spans="1:16" x14ac:dyDescent="0.3">
      <c r="A373">
        <v>1372</v>
      </c>
      <c r="B373" t="s">
        <v>358</v>
      </c>
      <c r="C373">
        <v>2023</v>
      </c>
      <c r="D373" t="s">
        <v>50</v>
      </c>
      <c r="E373" t="s">
        <v>25</v>
      </c>
      <c r="F373" t="s">
        <v>58</v>
      </c>
      <c r="G373" t="s">
        <v>30</v>
      </c>
      <c r="H373" t="s">
        <v>47</v>
      </c>
      <c r="I373" t="s">
        <v>48</v>
      </c>
      <c r="J373">
        <v>2</v>
      </c>
      <c r="K373">
        <v>21</v>
      </c>
      <c r="L373">
        <v>6</v>
      </c>
      <c r="M373">
        <v>915159</v>
      </c>
      <c r="N373">
        <v>5490954</v>
      </c>
      <c r="O373">
        <v>4834709</v>
      </c>
      <c r="P373">
        <v>656245</v>
      </c>
    </row>
    <row r="374" spans="1:16" x14ac:dyDescent="0.3">
      <c r="A374">
        <v>1373</v>
      </c>
      <c r="B374" t="s">
        <v>359</v>
      </c>
      <c r="C374">
        <v>2024</v>
      </c>
      <c r="D374" t="s">
        <v>43</v>
      </c>
      <c r="E374" t="s">
        <v>40</v>
      </c>
      <c r="F374" t="s">
        <v>104</v>
      </c>
      <c r="G374" t="s">
        <v>27</v>
      </c>
      <c r="H374" t="s">
        <v>52</v>
      </c>
      <c r="I374" t="s">
        <v>22</v>
      </c>
      <c r="J374">
        <v>1.2</v>
      </c>
      <c r="K374">
        <v>16</v>
      </c>
      <c r="L374">
        <v>3</v>
      </c>
      <c r="M374">
        <v>1229402</v>
      </c>
      <c r="N374">
        <v>3688206</v>
      </c>
      <c r="O374">
        <v>3136846</v>
      </c>
      <c r="P374">
        <v>551360</v>
      </c>
    </row>
    <row r="375" spans="1:16" x14ac:dyDescent="0.3">
      <c r="A375">
        <v>1374</v>
      </c>
      <c r="B375" t="s">
        <v>292</v>
      </c>
      <c r="C375">
        <v>2023</v>
      </c>
      <c r="D375" t="s">
        <v>97</v>
      </c>
      <c r="E375" t="s">
        <v>40</v>
      </c>
      <c r="F375" t="s">
        <v>120</v>
      </c>
      <c r="G375" t="s">
        <v>27</v>
      </c>
      <c r="H375" t="s">
        <v>21</v>
      </c>
      <c r="I375" t="s">
        <v>22</v>
      </c>
      <c r="J375">
        <v>1</v>
      </c>
      <c r="K375">
        <v>22</v>
      </c>
      <c r="L375">
        <v>4</v>
      </c>
      <c r="M375">
        <v>1149662</v>
      </c>
      <c r="N375">
        <v>4598648</v>
      </c>
      <c r="O375">
        <v>3636801</v>
      </c>
      <c r="P375">
        <v>961847</v>
      </c>
    </row>
    <row r="376" spans="1:16" x14ac:dyDescent="0.3">
      <c r="A376">
        <v>1375</v>
      </c>
      <c r="B376" t="s">
        <v>360</v>
      </c>
      <c r="C376">
        <v>2024</v>
      </c>
      <c r="D376" t="s">
        <v>61</v>
      </c>
      <c r="E376" t="s">
        <v>25</v>
      </c>
      <c r="F376" t="s">
        <v>26</v>
      </c>
      <c r="G376" t="s">
        <v>46</v>
      </c>
      <c r="H376" t="s">
        <v>37</v>
      </c>
      <c r="I376" t="s">
        <v>32</v>
      </c>
      <c r="J376">
        <v>2</v>
      </c>
      <c r="K376">
        <v>20</v>
      </c>
      <c r="L376">
        <v>5</v>
      </c>
      <c r="M376">
        <v>806638</v>
      </c>
      <c r="N376">
        <v>4033190</v>
      </c>
      <c r="O376">
        <v>3377180</v>
      </c>
      <c r="P376">
        <v>656010</v>
      </c>
    </row>
    <row r="377" spans="1:16" x14ac:dyDescent="0.3">
      <c r="A377">
        <v>1376</v>
      </c>
      <c r="B377" t="s">
        <v>361</v>
      </c>
      <c r="C377">
        <v>2024</v>
      </c>
      <c r="D377" t="s">
        <v>61</v>
      </c>
      <c r="E377" t="s">
        <v>44</v>
      </c>
      <c r="F377" t="s">
        <v>45</v>
      </c>
      <c r="G377" t="s">
        <v>59</v>
      </c>
      <c r="H377" t="s">
        <v>79</v>
      </c>
      <c r="I377" t="s">
        <v>48</v>
      </c>
      <c r="J377">
        <v>1</v>
      </c>
      <c r="K377">
        <v>20</v>
      </c>
      <c r="L377">
        <v>2</v>
      </c>
      <c r="M377">
        <v>819613</v>
      </c>
      <c r="N377">
        <v>1639226</v>
      </c>
      <c r="O377">
        <v>1351982</v>
      </c>
      <c r="P377">
        <v>287244</v>
      </c>
    </row>
    <row r="378" spans="1:16" x14ac:dyDescent="0.3">
      <c r="A378">
        <v>1377</v>
      </c>
      <c r="B378" t="s">
        <v>362</v>
      </c>
      <c r="C378">
        <v>2023</v>
      </c>
      <c r="D378" t="s">
        <v>39</v>
      </c>
      <c r="E378" t="s">
        <v>40</v>
      </c>
      <c r="F378" t="s">
        <v>41</v>
      </c>
      <c r="G378" t="s">
        <v>51</v>
      </c>
      <c r="H378" t="s">
        <v>56</v>
      </c>
      <c r="I378" t="s">
        <v>48</v>
      </c>
      <c r="J378">
        <v>1.5</v>
      </c>
      <c r="K378">
        <v>21</v>
      </c>
      <c r="L378">
        <v>8</v>
      </c>
      <c r="M378">
        <v>607220</v>
      </c>
      <c r="N378">
        <v>4857760</v>
      </c>
      <c r="O378">
        <v>4069459</v>
      </c>
      <c r="P378">
        <v>788301</v>
      </c>
    </row>
    <row r="379" spans="1:16" x14ac:dyDescent="0.3">
      <c r="A379">
        <v>1378</v>
      </c>
      <c r="B379" t="s">
        <v>363</v>
      </c>
      <c r="C379">
        <v>2024</v>
      </c>
      <c r="D379" t="s">
        <v>17</v>
      </c>
      <c r="E379" t="s">
        <v>40</v>
      </c>
      <c r="F379" t="s">
        <v>68</v>
      </c>
      <c r="G379" t="s">
        <v>59</v>
      </c>
      <c r="H379" t="s">
        <v>54</v>
      </c>
      <c r="I379" t="s">
        <v>48</v>
      </c>
      <c r="J379">
        <v>2</v>
      </c>
      <c r="K379">
        <v>19</v>
      </c>
      <c r="L379">
        <v>5</v>
      </c>
      <c r="M379">
        <v>601217</v>
      </c>
      <c r="N379">
        <v>3006085</v>
      </c>
      <c r="O379">
        <v>2474243</v>
      </c>
      <c r="P379">
        <v>531842</v>
      </c>
    </row>
    <row r="380" spans="1:16" x14ac:dyDescent="0.3">
      <c r="A380">
        <v>1379</v>
      </c>
      <c r="B380" t="s">
        <v>364</v>
      </c>
      <c r="C380">
        <v>2024</v>
      </c>
      <c r="D380" t="s">
        <v>50</v>
      </c>
      <c r="E380" t="s">
        <v>44</v>
      </c>
      <c r="F380" t="s">
        <v>70</v>
      </c>
      <c r="G380" t="s">
        <v>27</v>
      </c>
      <c r="H380" t="s">
        <v>31</v>
      </c>
      <c r="I380" t="s">
        <v>32</v>
      </c>
      <c r="J380">
        <v>1</v>
      </c>
      <c r="K380">
        <v>23</v>
      </c>
      <c r="L380">
        <v>1</v>
      </c>
      <c r="M380">
        <v>837793</v>
      </c>
      <c r="N380">
        <v>837793</v>
      </c>
      <c r="O380">
        <v>693690</v>
      </c>
      <c r="P380">
        <v>144103</v>
      </c>
    </row>
    <row r="381" spans="1:16" x14ac:dyDescent="0.3">
      <c r="A381">
        <v>1380</v>
      </c>
      <c r="B381" t="s">
        <v>322</v>
      </c>
      <c r="C381">
        <v>2024</v>
      </c>
      <c r="D381" t="s">
        <v>50</v>
      </c>
      <c r="E381" t="s">
        <v>40</v>
      </c>
      <c r="F381" t="s">
        <v>104</v>
      </c>
      <c r="G381" t="s">
        <v>51</v>
      </c>
      <c r="H381" t="s">
        <v>63</v>
      </c>
      <c r="I381" t="s">
        <v>22</v>
      </c>
      <c r="J381">
        <v>2</v>
      </c>
      <c r="K381">
        <v>21</v>
      </c>
      <c r="L381">
        <v>1</v>
      </c>
      <c r="M381">
        <v>685546</v>
      </c>
      <c r="N381">
        <v>685546</v>
      </c>
      <c r="O381">
        <v>579252</v>
      </c>
      <c r="P381">
        <v>106294</v>
      </c>
    </row>
    <row r="382" spans="1:16" x14ac:dyDescent="0.3">
      <c r="A382">
        <v>1381</v>
      </c>
      <c r="B382" t="s">
        <v>365</v>
      </c>
      <c r="C382">
        <v>2024</v>
      </c>
      <c r="D382" t="s">
        <v>61</v>
      </c>
      <c r="E382" t="s">
        <v>25</v>
      </c>
      <c r="F382" t="s">
        <v>77</v>
      </c>
      <c r="G382" t="s">
        <v>36</v>
      </c>
      <c r="H382" t="s">
        <v>100</v>
      </c>
      <c r="I382" t="s">
        <v>22</v>
      </c>
      <c r="J382">
        <v>1</v>
      </c>
      <c r="K382">
        <v>22</v>
      </c>
      <c r="L382">
        <v>6</v>
      </c>
      <c r="M382">
        <v>1399713</v>
      </c>
      <c r="N382">
        <v>8398278</v>
      </c>
      <c r="O382">
        <v>7327687</v>
      </c>
      <c r="P382">
        <v>1070591</v>
      </c>
    </row>
    <row r="383" spans="1:16" x14ac:dyDescent="0.3">
      <c r="A383">
        <v>1382</v>
      </c>
      <c r="B383" t="s">
        <v>366</v>
      </c>
      <c r="C383">
        <v>2024</v>
      </c>
      <c r="D383" t="s">
        <v>17</v>
      </c>
      <c r="E383" t="s">
        <v>44</v>
      </c>
      <c r="F383" t="s">
        <v>45</v>
      </c>
      <c r="G383" t="s">
        <v>27</v>
      </c>
      <c r="H383" t="s">
        <v>54</v>
      </c>
      <c r="I383" t="s">
        <v>48</v>
      </c>
      <c r="J383">
        <v>2</v>
      </c>
      <c r="K383">
        <v>20</v>
      </c>
      <c r="L383">
        <v>7</v>
      </c>
      <c r="M383">
        <v>1419551</v>
      </c>
      <c r="N383">
        <v>9936857</v>
      </c>
      <c r="O383">
        <v>8927234</v>
      </c>
      <c r="P383">
        <v>1009623</v>
      </c>
    </row>
    <row r="384" spans="1:16" x14ac:dyDescent="0.3">
      <c r="A384">
        <v>1383</v>
      </c>
      <c r="B384" t="s">
        <v>284</v>
      </c>
      <c r="C384">
        <v>2024</v>
      </c>
      <c r="D384" t="s">
        <v>67</v>
      </c>
      <c r="E384" t="s">
        <v>40</v>
      </c>
      <c r="F384" t="s">
        <v>41</v>
      </c>
      <c r="G384" t="s">
        <v>51</v>
      </c>
      <c r="H384" t="s">
        <v>47</v>
      </c>
      <c r="I384" t="s">
        <v>48</v>
      </c>
      <c r="J384">
        <v>1.5</v>
      </c>
      <c r="K384">
        <v>19</v>
      </c>
      <c r="L384">
        <v>1</v>
      </c>
      <c r="M384">
        <v>1074820</v>
      </c>
      <c r="N384">
        <v>1074820</v>
      </c>
      <c r="O384">
        <v>863245</v>
      </c>
      <c r="P384">
        <v>211575</v>
      </c>
    </row>
    <row r="385" spans="1:16" x14ac:dyDescent="0.3">
      <c r="A385">
        <v>1384</v>
      </c>
      <c r="B385" t="s">
        <v>226</v>
      </c>
      <c r="C385">
        <v>2024</v>
      </c>
      <c r="D385" t="s">
        <v>17</v>
      </c>
      <c r="E385" t="s">
        <v>25</v>
      </c>
      <c r="F385" t="s">
        <v>84</v>
      </c>
      <c r="G385" t="s">
        <v>90</v>
      </c>
      <c r="H385" t="s">
        <v>63</v>
      </c>
      <c r="I385" t="s">
        <v>22</v>
      </c>
      <c r="J385">
        <v>1.5</v>
      </c>
      <c r="K385">
        <v>18</v>
      </c>
      <c r="L385">
        <v>8</v>
      </c>
      <c r="M385">
        <v>1285616</v>
      </c>
      <c r="N385">
        <v>10284928</v>
      </c>
      <c r="O385">
        <v>8847345</v>
      </c>
      <c r="P385">
        <v>1437583</v>
      </c>
    </row>
    <row r="386" spans="1:16" x14ac:dyDescent="0.3">
      <c r="A386">
        <v>1385</v>
      </c>
      <c r="B386" t="s">
        <v>122</v>
      </c>
      <c r="C386">
        <v>2024</v>
      </c>
      <c r="D386" t="s">
        <v>67</v>
      </c>
      <c r="E386" t="s">
        <v>18</v>
      </c>
      <c r="F386" t="s">
        <v>107</v>
      </c>
      <c r="G386" t="s">
        <v>59</v>
      </c>
      <c r="H386" t="s">
        <v>54</v>
      </c>
      <c r="I386" t="s">
        <v>48</v>
      </c>
      <c r="J386">
        <v>1</v>
      </c>
      <c r="K386">
        <v>16</v>
      </c>
      <c r="L386">
        <v>8</v>
      </c>
      <c r="M386">
        <v>1317079</v>
      </c>
      <c r="N386">
        <v>10536632</v>
      </c>
      <c r="O386">
        <v>8370690</v>
      </c>
      <c r="P386">
        <v>2165942</v>
      </c>
    </row>
    <row r="387" spans="1:16" x14ac:dyDescent="0.3">
      <c r="A387">
        <v>1386</v>
      </c>
      <c r="B387" t="s">
        <v>367</v>
      </c>
      <c r="C387">
        <v>2023</v>
      </c>
      <c r="D387" t="s">
        <v>97</v>
      </c>
      <c r="E387" t="s">
        <v>25</v>
      </c>
      <c r="F387" t="s">
        <v>26</v>
      </c>
      <c r="G387" t="s">
        <v>46</v>
      </c>
      <c r="H387" t="s">
        <v>56</v>
      </c>
      <c r="I387" t="s">
        <v>48</v>
      </c>
      <c r="J387">
        <v>1</v>
      </c>
      <c r="K387">
        <v>18</v>
      </c>
      <c r="L387">
        <v>3</v>
      </c>
      <c r="M387">
        <v>1351852</v>
      </c>
      <c r="N387">
        <v>4055556</v>
      </c>
      <c r="O387">
        <v>3122077</v>
      </c>
      <c r="P387">
        <v>933479</v>
      </c>
    </row>
    <row r="388" spans="1:16" x14ac:dyDescent="0.3">
      <c r="A388">
        <v>1387</v>
      </c>
      <c r="B388" t="s">
        <v>368</v>
      </c>
      <c r="C388">
        <v>2023</v>
      </c>
      <c r="D388" t="s">
        <v>50</v>
      </c>
      <c r="E388" t="s">
        <v>18</v>
      </c>
      <c r="F388" t="s">
        <v>72</v>
      </c>
      <c r="G388" t="s">
        <v>90</v>
      </c>
      <c r="H388" t="s">
        <v>47</v>
      </c>
      <c r="I388" t="s">
        <v>48</v>
      </c>
      <c r="J388">
        <v>1.2</v>
      </c>
      <c r="K388">
        <v>19</v>
      </c>
      <c r="L388">
        <v>5</v>
      </c>
      <c r="M388">
        <v>792532</v>
      </c>
      <c r="N388">
        <v>3962660</v>
      </c>
      <c r="O388">
        <v>3336853</v>
      </c>
      <c r="P388">
        <v>625807</v>
      </c>
    </row>
    <row r="389" spans="1:16" x14ac:dyDescent="0.3">
      <c r="A389">
        <v>1388</v>
      </c>
      <c r="B389" t="s">
        <v>369</v>
      </c>
      <c r="C389">
        <v>2023</v>
      </c>
      <c r="D389" t="s">
        <v>43</v>
      </c>
      <c r="E389" t="s">
        <v>18</v>
      </c>
      <c r="F389" t="s">
        <v>35</v>
      </c>
      <c r="G389" t="s">
        <v>36</v>
      </c>
      <c r="H389" t="s">
        <v>100</v>
      </c>
      <c r="I389" t="s">
        <v>22</v>
      </c>
      <c r="J389">
        <v>1.5</v>
      </c>
      <c r="K389">
        <v>18</v>
      </c>
      <c r="L389">
        <v>1</v>
      </c>
      <c r="M389">
        <v>799889</v>
      </c>
      <c r="N389">
        <v>799889</v>
      </c>
      <c r="O389">
        <v>671693</v>
      </c>
      <c r="P389">
        <v>128196</v>
      </c>
    </row>
    <row r="390" spans="1:16" x14ac:dyDescent="0.3">
      <c r="A390">
        <v>1389</v>
      </c>
      <c r="B390" t="s">
        <v>146</v>
      </c>
      <c r="C390">
        <v>2023</v>
      </c>
      <c r="D390" t="s">
        <v>29</v>
      </c>
      <c r="E390" t="s">
        <v>18</v>
      </c>
      <c r="F390" t="s">
        <v>19</v>
      </c>
      <c r="G390" t="s">
        <v>90</v>
      </c>
      <c r="H390" t="s">
        <v>37</v>
      </c>
      <c r="I390" t="s">
        <v>32</v>
      </c>
      <c r="J390">
        <v>1</v>
      </c>
      <c r="K390">
        <v>23</v>
      </c>
      <c r="L390">
        <v>3</v>
      </c>
      <c r="M390">
        <v>997314</v>
      </c>
      <c r="N390">
        <v>2991942</v>
      </c>
      <c r="O390">
        <v>2568400</v>
      </c>
      <c r="P390">
        <v>423542</v>
      </c>
    </row>
    <row r="391" spans="1:16" x14ac:dyDescent="0.3">
      <c r="A391">
        <v>1390</v>
      </c>
      <c r="B391" t="s">
        <v>138</v>
      </c>
      <c r="C391">
        <v>2023</v>
      </c>
      <c r="D391" t="s">
        <v>17</v>
      </c>
      <c r="E391" t="s">
        <v>25</v>
      </c>
      <c r="F391" t="s">
        <v>26</v>
      </c>
      <c r="G391" t="s">
        <v>20</v>
      </c>
      <c r="H391" t="s">
        <v>21</v>
      </c>
      <c r="I391" t="s">
        <v>22</v>
      </c>
      <c r="J391">
        <v>1.5</v>
      </c>
      <c r="K391">
        <v>18</v>
      </c>
      <c r="L391">
        <v>8</v>
      </c>
      <c r="M391">
        <v>994632</v>
      </c>
      <c r="N391">
        <v>7957056</v>
      </c>
      <c r="O391">
        <v>7103492</v>
      </c>
      <c r="P391">
        <v>853564</v>
      </c>
    </row>
    <row r="392" spans="1:16" x14ac:dyDescent="0.3">
      <c r="A392">
        <v>1391</v>
      </c>
      <c r="B392" t="s">
        <v>370</v>
      </c>
      <c r="C392">
        <v>2024</v>
      </c>
      <c r="D392" t="s">
        <v>39</v>
      </c>
      <c r="E392" t="s">
        <v>44</v>
      </c>
      <c r="F392" t="s">
        <v>92</v>
      </c>
      <c r="G392" t="s">
        <v>46</v>
      </c>
      <c r="H392" t="s">
        <v>37</v>
      </c>
      <c r="I392" t="s">
        <v>32</v>
      </c>
      <c r="J392">
        <v>1.2</v>
      </c>
      <c r="K392">
        <v>18</v>
      </c>
      <c r="L392">
        <v>5</v>
      </c>
      <c r="M392">
        <v>1379569</v>
      </c>
      <c r="N392">
        <v>6897845</v>
      </c>
      <c r="O392">
        <v>5584854</v>
      </c>
      <c r="P392">
        <v>1312991</v>
      </c>
    </row>
    <row r="393" spans="1:16" x14ac:dyDescent="0.3">
      <c r="A393">
        <v>1392</v>
      </c>
      <c r="B393" t="s">
        <v>371</v>
      </c>
      <c r="C393">
        <v>2024</v>
      </c>
      <c r="D393" t="s">
        <v>29</v>
      </c>
      <c r="E393" t="s">
        <v>25</v>
      </c>
      <c r="F393" t="s">
        <v>26</v>
      </c>
      <c r="G393" t="s">
        <v>27</v>
      </c>
      <c r="H393" t="s">
        <v>56</v>
      </c>
      <c r="I393" t="s">
        <v>48</v>
      </c>
      <c r="J393">
        <v>1</v>
      </c>
      <c r="K393">
        <v>20</v>
      </c>
      <c r="L393">
        <v>4</v>
      </c>
      <c r="M393">
        <v>699237</v>
      </c>
      <c r="N393">
        <v>2796948</v>
      </c>
      <c r="O393">
        <v>2449343</v>
      </c>
      <c r="P393">
        <v>347605</v>
      </c>
    </row>
    <row r="394" spans="1:16" x14ac:dyDescent="0.3">
      <c r="A394">
        <v>1393</v>
      </c>
      <c r="B394" t="s">
        <v>334</v>
      </c>
      <c r="C394">
        <v>2024</v>
      </c>
      <c r="D394" t="s">
        <v>76</v>
      </c>
      <c r="E394" t="s">
        <v>18</v>
      </c>
      <c r="F394" t="s">
        <v>107</v>
      </c>
      <c r="G394" t="s">
        <v>46</v>
      </c>
      <c r="H394" t="s">
        <v>79</v>
      </c>
      <c r="I394" t="s">
        <v>48</v>
      </c>
      <c r="J394">
        <v>1</v>
      </c>
      <c r="K394">
        <v>23</v>
      </c>
      <c r="L394">
        <v>7</v>
      </c>
      <c r="M394">
        <v>850412</v>
      </c>
      <c r="N394">
        <v>5952884</v>
      </c>
      <c r="O394">
        <v>4978187</v>
      </c>
      <c r="P394">
        <v>974697</v>
      </c>
    </row>
    <row r="395" spans="1:16" x14ac:dyDescent="0.3">
      <c r="A395">
        <v>1394</v>
      </c>
      <c r="B395" t="s">
        <v>372</v>
      </c>
      <c r="C395">
        <v>2024</v>
      </c>
      <c r="D395" t="s">
        <v>61</v>
      </c>
      <c r="E395" t="s">
        <v>40</v>
      </c>
      <c r="F395" t="s">
        <v>41</v>
      </c>
      <c r="G395" t="s">
        <v>20</v>
      </c>
      <c r="H395" t="s">
        <v>100</v>
      </c>
      <c r="I395" t="s">
        <v>22</v>
      </c>
      <c r="J395">
        <v>2</v>
      </c>
      <c r="K395">
        <v>20</v>
      </c>
      <c r="L395">
        <v>4</v>
      </c>
      <c r="M395">
        <v>1250403</v>
      </c>
      <c r="N395">
        <v>5001612</v>
      </c>
      <c r="O395">
        <v>4432979</v>
      </c>
      <c r="P395">
        <v>568633</v>
      </c>
    </row>
    <row r="396" spans="1:16" x14ac:dyDescent="0.3">
      <c r="A396">
        <v>1395</v>
      </c>
      <c r="B396" t="s">
        <v>373</v>
      </c>
      <c r="C396">
        <v>2023</v>
      </c>
      <c r="D396" t="s">
        <v>39</v>
      </c>
      <c r="E396" t="s">
        <v>40</v>
      </c>
      <c r="F396" t="s">
        <v>120</v>
      </c>
      <c r="G396" t="s">
        <v>27</v>
      </c>
      <c r="H396" t="s">
        <v>37</v>
      </c>
      <c r="I396" t="s">
        <v>32</v>
      </c>
      <c r="J396">
        <v>1.5</v>
      </c>
      <c r="K396">
        <v>20</v>
      </c>
      <c r="L396">
        <v>5</v>
      </c>
      <c r="M396">
        <v>1255294</v>
      </c>
      <c r="N396">
        <v>6276470</v>
      </c>
      <c r="O396">
        <v>5506384</v>
      </c>
      <c r="P396">
        <v>770086</v>
      </c>
    </row>
    <row r="397" spans="1:16" x14ac:dyDescent="0.3">
      <c r="A397">
        <v>1396</v>
      </c>
      <c r="B397" t="s">
        <v>374</v>
      </c>
      <c r="C397">
        <v>2024</v>
      </c>
      <c r="D397" t="s">
        <v>61</v>
      </c>
      <c r="E397" t="s">
        <v>25</v>
      </c>
      <c r="F397" t="s">
        <v>26</v>
      </c>
      <c r="G397" t="s">
        <v>27</v>
      </c>
      <c r="H397" t="s">
        <v>37</v>
      </c>
      <c r="I397" t="s">
        <v>32</v>
      </c>
      <c r="J397">
        <v>1.2</v>
      </c>
      <c r="K397">
        <v>22</v>
      </c>
      <c r="L397">
        <v>8</v>
      </c>
      <c r="M397">
        <v>1348828</v>
      </c>
      <c r="N397">
        <v>10790624</v>
      </c>
      <c r="O397">
        <v>8752971</v>
      </c>
      <c r="P397">
        <v>2037653</v>
      </c>
    </row>
    <row r="398" spans="1:16" x14ac:dyDescent="0.3">
      <c r="A398">
        <v>1397</v>
      </c>
      <c r="B398" t="s">
        <v>309</v>
      </c>
      <c r="C398">
        <v>2024</v>
      </c>
      <c r="D398" t="s">
        <v>17</v>
      </c>
      <c r="E398" t="s">
        <v>40</v>
      </c>
      <c r="F398" t="s">
        <v>120</v>
      </c>
      <c r="G398" t="s">
        <v>27</v>
      </c>
      <c r="H398" t="s">
        <v>31</v>
      </c>
      <c r="I398" t="s">
        <v>32</v>
      </c>
      <c r="J398">
        <v>2</v>
      </c>
      <c r="K398">
        <v>16</v>
      </c>
      <c r="L398">
        <v>3</v>
      </c>
      <c r="M398">
        <v>828731</v>
      </c>
      <c r="N398">
        <v>2486193</v>
      </c>
      <c r="O398">
        <v>2231391</v>
      </c>
      <c r="P398">
        <v>254802</v>
      </c>
    </row>
    <row r="399" spans="1:16" x14ac:dyDescent="0.3">
      <c r="A399">
        <v>1398</v>
      </c>
      <c r="B399" t="s">
        <v>375</v>
      </c>
      <c r="C399">
        <v>2024</v>
      </c>
      <c r="D399" t="s">
        <v>24</v>
      </c>
      <c r="E399" t="s">
        <v>44</v>
      </c>
      <c r="F399" t="s">
        <v>62</v>
      </c>
      <c r="G399" t="s">
        <v>27</v>
      </c>
      <c r="H399" t="s">
        <v>31</v>
      </c>
      <c r="I399" t="s">
        <v>32</v>
      </c>
      <c r="J399">
        <v>2</v>
      </c>
      <c r="K399">
        <v>22</v>
      </c>
      <c r="L399">
        <v>1</v>
      </c>
      <c r="M399">
        <v>1007570</v>
      </c>
      <c r="N399">
        <v>1007570</v>
      </c>
      <c r="O399">
        <v>763474</v>
      </c>
      <c r="P399">
        <v>244096</v>
      </c>
    </row>
    <row r="400" spans="1:16" x14ac:dyDescent="0.3">
      <c r="A400">
        <v>1399</v>
      </c>
      <c r="B400" t="s">
        <v>78</v>
      </c>
      <c r="C400">
        <v>2024</v>
      </c>
      <c r="D400" t="s">
        <v>67</v>
      </c>
      <c r="E400" t="s">
        <v>18</v>
      </c>
      <c r="F400" t="s">
        <v>107</v>
      </c>
      <c r="G400" t="s">
        <v>46</v>
      </c>
      <c r="H400" t="s">
        <v>21</v>
      </c>
      <c r="I400" t="s">
        <v>22</v>
      </c>
      <c r="J400">
        <v>1.5</v>
      </c>
      <c r="K400">
        <v>19</v>
      </c>
      <c r="L400">
        <v>2</v>
      </c>
      <c r="M400">
        <v>1076561</v>
      </c>
      <c r="N400">
        <v>2153122</v>
      </c>
      <c r="O400">
        <v>1731744</v>
      </c>
      <c r="P400">
        <v>421378</v>
      </c>
    </row>
    <row r="401" spans="1:16" x14ac:dyDescent="0.3">
      <c r="A401">
        <v>1400</v>
      </c>
      <c r="B401" t="s">
        <v>376</v>
      </c>
      <c r="C401">
        <v>2023</v>
      </c>
      <c r="D401" t="s">
        <v>50</v>
      </c>
      <c r="E401" t="s">
        <v>18</v>
      </c>
      <c r="F401" t="s">
        <v>107</v>
      </c>
      <c r="G401" t="s">
        <v>51</v>
      </c>
      <c r="H401" t="s">
        <v>37</v>
      </c>
      <c r="I401" t="s">
        <v>32</v>
      </c>
      <c r="J401">
        <v>1</v>
      </c>
      <c r="K401">
        <v>18</v>
      </c>
      <c r="L401">
        <v>1</v>
      </c>
      <c r="M401">
        <v>986814</v>
      </c>
      <c r="N401">
        <v>986814</v>
      </c>
      <c r="O401">
        <v>794573</v>
      </c>
      <c r="P401">
        <v>192241</v>
      </c>
    </row>
    <row r="402" spans="1:16" x14ac:dyDescent="0.3">
      <c r="A402">
        <v>1401</v>
      </c>
      <c r="B402" t="s">
        <v>377</v>
      </c>
      <c r="C402">
        <v>2023</v>
      </c>
      <c r="D402" t="s">
        <v>74</v>
      </c>
      <c r="E402" t="s">
        <v>18</v>
      </c>
      <c r="F402" t="s">
        <v>107</v>
      </c>
      <c r="G402" t="s">
        <v>27</v>
      </c>
      <c r="H402" t="s">
        <v>37</v>
      </c>
      <c r="I402" t="s">
        <v>32</v>
      </c>
      <c r="J402">
        <v>1.2</v>
      </c>
      <c r="K402">
        <v>16</v>
      </c>
      <c r="L402">
        <v>1</v>
      </c>
      <c r="M402">
        <v>1261071</v>
      </c>
      <c r="N402">
        <v>1261071</v>
      </c>
      <c r="O402">
        <v>974887</v>
      </c>
      <c r="P402">
        <v>286184</v>
      </c>
    </row>
    <row r="403" spans="1:16" x14ac:dyDescent="0.3">
      <c r="A403">
        <v>1402</v>
      </c>
      <c r="B403" t="s">
        <v>378</v>
      </c>
      <c r="C403">
        <v>2023</v>
      </c>
      <c r="D403" t="s">
        <v>29</v>
      </c>
      <c r="E403" t="s">
        <v>18</v>
      </c>
      <c r="F403" t="s">
        <v>19</v>
      </c>
      <c r="G403" t="s">
        <v>46</v>
      </c>
      <c r="H403" t="s">
        <v>37</v>
      </c>
      <c r="I403" t="s">
        <v>32</v>
      </c>
      <c r="J403">
        <v>2</v>
      </c>
      <c r="K403">
        <v>19</v>
      </c>
      <c r="L403">
        <v>7</v>
      </c>
      <c r="M403">
        <v>608236</v>
      </c>
      <c r="N403">
        <v>4257652</v>
      </c>
      <c r="O403">
        <v>3354554</v>
      </c>
      <c r="P403">
        <v>903098</v>
      </c>
    </row>
    <row r="404" spans="1:16" x14ac:dyDescent="0.3">
      <c r="A404">
        <v>1403</v>
      </c>
      <c r="B404" t="s">
        <v>379</v>
      </c>
      <c r="C404">
        <v>2024</v>
      </c>
      <c r="D404" t="s">
        <v>39</v>
      </c>
      <c r="E404" t="s">
        <v>44</v>
      </c>
      <c r="F404" t="s">
        <v>92</v>
      </c>
      <c r="G404" t="s">
        <v>59</v>
      </c>
      <c r="H404" t="s">
        <v>54</v>
      </c>
      <c r="I404" t="s">
        <v>48</v>
      </c>
      <c r="J404">
        <v>1</v>
      </c>
      <c r="K404">
        <v>19</v>
      </c>
      <c r="L404">
        <v>3</v>
      </c>
      <c r="M404">
        <v>1485829</v>
      </c>
      <c r="N404">
        <v>4457487</v>
      </c>
      <c r="O404">
        <v>3591292</v>
      </c>
      <c r="P404">
        <v>866195</v>
      </c>
    </row>
    <row r="405" spans="1:16" x14ac:dyDescent="0.3">
      <c r="A405">
        <v>1404</v>
      </c>
      <c r="B405" t="s">
        <v>380</v>
      </c>
      <c r="C405">
        <v>2023</v>
      </c>
      <c r="D405" t="s">
        <v>34</v>
      </c>
      <c r="E405" t="s">
        <v>25</v>
      </c>
      <c r="F405" t="s">
        <v>58</v>
      </c>
      <c r="G405" t="s">
        <v>36</v>
      </c>
      <c r="H405" t="s">
        <v>56</v>
      </c>
      <c r="I405" t="s">
        <v>48</v>
      </c>
      <c r="J405">
        <v>1</v>
      </c>
      <c r="K405">
        <v>20</v>
      </c>
      <c r="L405">
        <v>7</v>
      </c>
      <c r="M405">
        <v>746089</v>
      </c>
      <c r="N405">
        <v>5222623</v>
      </c>
      <c r="O405">
        <v>4094756</v>
      </c>
      <c r="P405">
        <v>1127867</v>
      </c>
    </row>
    <row r="406" spans="1:16" x14ac:dyDescent="0.3">
      <c r="A406">
        <v>1405</v>
      </c>
      <c r="B406" t="s">
        <v>381</v>
      </c>
      <c r="C406">
        <v>2024</v>
      </c>
      <c r="D406" t="s">
        <v>74</v>
      </c>
      <c r="E406" t="s">
        <v>44</v>
      </c>
      <c r="F406" t="s">
        <v>92</v>
      </c>
      <c r="G406" t="s">
        <v>27</v>
      </c>
      <c r="H406" t="s">
        <v>63</v>
      </c>
      <c r="I406" t="s">
        <v>22</v>
      </c>
      <c r="J406">
        <v>1.5</v>
      </c>
      <c r="K406">
        <v>18</v>
      </c>
      <c r="L406">
        <v>1</v>
      </c>
      <c r="M406">
        <v>688300</v>
      </c>
      <c r="N406">
        <v>688300</v>
      </c>
      <c r="O406">
        <v>581581</v>
      </c>
      <c r="P406">
        <v>106719</v>
      </c>
    </row>
    <row r="407" spans="1:16" x14ac:dyDescent="0.3">
      <c r="A407">
        <v>1406</v>
      </c>
      <c r="B407" t="s">
        <v>382</v>
      </c>
      <c r="C407">
        <v>2023</v>
      </c>
      <c r="D407" t="s">
        <v>76</v>
      </c>
      <c r="E407" t="s">
        <v>18</v>
      </c>
      <c r="F407" t="s">
        <v>19</v>
      </c>
      <c r="G407" t="s">
        <v>51</v>
      </c>
      <c r="H407" t="s">
        <v>79</v>
      </c>
      <c r="I407" t="s">
        <v>48</v>
      </c>
      <c r="J407">
        <v>1.5</v>
      </c>
      <c r="K407">
        <v>20</v>
      </c>
      <c r="L407">
        <v>2</v>
      </c>
      <c r="M407">
        <v>881579</v>
      </c>
      <c r="N407">
        <v>1763158</v>
      </c>
      <c r="O407">
        <v>1458953</v>
      </c>
      <c r="P407">
        <v>304205</v>
      </c>
    </row>
    <row r="408" spans="1:16" x14ac:dyDescent="0.3">
      <c r="A408">
        <v>1407</v>
      </c>
      <c r="B408" t="s">
        <v>383</v>
      </c>
      <c r="C408">
        <v>2023</v>
      </c>
      <c r="D408" t="s">
        <v>76</v>
      </c>
      <c r="E408" t="s">
        <v>44</v>
      </c>
      <c r="F408" t="s">
        <v>70</v>
      </c>
      <c r="G408" t="s">
        <v>20</v>
      </c>
      <c r="H408" t="s">
        <v>79</v>
      </c>
      <c r="I408" t="s">
        <v>48</v>
      </c>
      <c r="J408">
        <v>1</v>
      </c>
      <c r="K408">
        <v>23</v>
      </c>
      <c r="L408">
        <v>4</v>
      </c>
      <c r="M408">
        <v>865511</v>
      </c>
      <c r="N408">
        <v>3462044</v>
      </c>
      <c r="O408">
        <v>2767801</v>
      </c>
      <c r="P408">
        <v>694243</v>
      </c>
    </row>
    <row r="409" spans="1:16" x14ac:dyDescent="0.3">
      <c r="A409">
        <v>1408</v>
      </c>
      <c r="B409" t="s">
        <v>384</v>
      </c>
      <c r="C409">
        <v>2023</v>
      </c>
      <c r="D409" t="s">
        <v>39</v>
      </c>
      <c r="E409" t="s">
        <v>18</v>
      </c>
      <c r="F409" t="s">
        <v>72</v>
      </c>
      <c r="G409" t="s">
        <v>36</v>
      </c>
      <c r="H409" t="s">
        <v>56</v>
      </c>
      <c r="I409" t="s">
        <v>48</v>
      </c>
      <c r="J409">
        <v>1.5</v>
      </c>
      <c r="K409">
        <v>22</v>
      </c>
      <c r="L409">
        <v>1</v>
      </c>
      <c r="M409">
        <v>900627</v>
      </c>
      <c r="N409">
        <v>900627</v>
      </c>
      <c r="O409">
        <v>741578</v>
      </c>
      <c r="P409">
        <v>159049</v>
      </c>
    </row>
    <row r="410" spans="1:16" x14ac:dyDescent="0.3">
      <c r="A410">
        <v>1409</v>
      </c>
      <c r="B410" t="s">
        <v>385</v>
      </c>
      <c r="C410">
        <v>2023</v>
      </c>
      <c r="D410" t="s">
        <v>50</v>
      </c>
      <c r="E410" t="s">
        <v>25</v>
      </c>
      <c r="F410" t="s">
        <v>26</v>
      </c>
      <c r="G410" t="s">
        <v>27</v>
      </c>
      <c r="H410" t="s">
        <v>100</v>
      </c>
      <c r="I410" t="s">
        <v>22</v>
      </c>
      <c r="J410">
        <v>1.5</v>
      </c>
      <c r="K410">
        <v>22</v>
      </c>
      <c r="L410">
        <v>5</v>
      </c>
      <c r="M410">
        <v>1142895</v>
      </c>
      <c r="N410">
        <v>5714475</v>
      </c>
      <c r="O410">
        <v>4439878</v>
      </c>
      <c r="P410">
        <v>1274597</v>
      </c>
    </row>
    <row r="411" spans="1:16" x14ac:dyDescent="0.3">
      <c r="A411">
        <v>1410</v>
      </c>
      <c r="B411" t="s">
        <v>386</v>
      </c>
      <c r="C411">
        <v>2023</v>
      </c>
      <c r="D411" t="s">
        <v>61</v>
      </c>
      <c r="E411" t="s">
        <v>25</v>
      </c>
      <c r="F411" t="s">
        <v>58</v>
      </c>
      <c r="G411" t="s">
        <v>27</v>
      </c>
      <c r="H411" t="s">
        <v>54</v>
      </c>
      <c r="I411" t="s">
        <v>48</v>
      </c>
      <c r="J411">
        <v>1</v>
      </c>
      <c r="K411">
        <v>19</v>
      </c>
      <c r="L411">
        <v>4</v>
      </c>
      <c r="M411">
        <v>1322994</v>
      </c>
      <c r="N411">
        <v>5291976</v>
      </c>
      <c r="O411">
        <v>4450132</v>
      </c>
      <c r="P411">
        <v>841844</v>
      </c>
    </row>
    <row r="412" spans="1:16" x14ac:dyDescent="0.3">
      <c r="A412">
        <v>1411</v>
      </c>
      <c r="B412" t="s">
        <v>235</v>
      </c>
      <c r="C412">
        <v>2023</v>
      </c>
      <c r="D412" t="s">
        <v>61</v>
      </c>
      <c r="E412" t="s">
        <v>44</v>
      </c>
      <c r="F412" t="s">
        <v>45</v>
      </c>
      <c r="G412" t="s">
        <v>36</v>
      </c>
      <c r="H412" t="s">
        <v>31</v>
      </c>
      <c r="I412" t="s">
        <v>32</v>
      </c>
      <c r="J412">
        <v>1</v>
      </c>
      <c r="K412">
        <v>22</v>
      </c>
      <c r="L412">
        <v>5</v>
      </c>
      <c r="M412">
        <v>883451</v>
      </c>
      <c r="N412">
        <v>4417255</v>
      </c>
      <c r="O412">
        <v>3490102</v>
      </c>
      <c r="P412">
        <v>927153</v>
      </c>
    </row>
    <row r="413" spans="1:16" x14ac:dyDescent="0.3">
      <c r="A413">
        <v>1412</v>
      </c>
      <c r="B413" t="s">
        <v>387</v>
      </c>
      <c r="C413">
        <v>2024</v>
      </c>
      <c r="D413" t="s">
        <v>97</v>
      </c>
      <c r="E413" t="s">
        <v>40</v>
      </c>
      <c r="F413" t="s">
        <v>41</v>
      </c>
      <c r="G413" t="s">
        <v>46</v>
      </c>
      <c r="H413" t="s">
        <v>37</v>
      </c>
      <c r="I413" t="s">
        <v>32</v>
      </c>
      <c r="J413">
        <v>2</v>
      </c>
      <c r="K413">
        <v>20</v>
      </c>
      <c r="L413">
        <v>5</v>
      </c>
      <c r="M413">
        <v>1318305</v>
      </c>
      <c r="N413">
        <v>6591525</v>
      </c>
      <c r="O413">
        <v>5415520</v>
      </c>
      <c r="P413">
        <v>1176005</v>
      </c>
    </row>
    <row r="414" spans="1:16" x14ac:dyDescent="0.3">
      <c r="A414">
        <v>1413</v>
      </c>
      <c r="B414" t="s">
        <v>111</v>
      </c>
      <c r="C414">
        <v>2024</v>
      </c>
      <c r="D414" t="s">
        <v>39</v>
      </c>
      <c r="E414" t="s">
        <v>44</v>
      </c>
      <c r="F414" t="s">
        <v>70</v>
      </c>
      <c r="G414" t="s">
        <v>20</v>
      </c>
      <c r="H414" t="s">
        <v>47</v>
      </c>
      <c r="I414" t="s">
        <v>48</v>
      </c>
      <c r="J414">
        <v>1.2</v>
      </c>
      <c r="K414">
        <v>20</v>
      </c>
      <c r="L414">
        <v>2</v>
      </c>
      <c r="M414">
        <v>1129896</v>
      </c>
      <c r="N414">
        <v>2259792</v>
      </c>
      <c r="O414">
        <v>1739957</v>
      </c>
      <c r="P414">
        <v>519835</v>
      </c>
    </row>
    <row r="415" spans="1:16" x14ac:dyDescent="0.3">
      <c r="A415">
        <v>1414</v>
      </c>
      <c r="B415" t="s">
        <v>388</v>
      </c>
      <c r="C415">
        <v>2023</v>
      </c>
      <c r="D415" t="s">
        <v>17</v>
      </c>
      <c r="E415" t="s">
        <v>44</v>
      </c>
      <c r="F415" t="s">
        <v>45</v>
      </c>
      <c r="G415" t="s">
        <v>27</v>
      </c>
      <c r="H415" t="s">
        <v>52</v>
      </c>
      <c r="I415" t="s">
        <v>22</v>
      </c>
      <c r="J415">
        <v>1</v>
      </c>
      <c r="K415">
        <v>16</v>
      </c>
      <c r="L415">
        <v>4</v>
      </c>
      <c r="M415">
        <v>683005</v>
      </c>
      <c r="N415">
        <v>2732020</v>
      </c>
      <c r="O415">
        <v>2433380</v>
      </c>
      <c r="P415">
        <v>298640</v>
      </c>
    </row>
    <row r="416" spans="1:16" x14ac:dyDescent="0.3">
      <c r="A416">
        <v>1415</v>
      </c>
      <c r="B416" t="s">
        <v>94</v>
      </c>
      <c r="C416">
        <v>2024</v>
      </c>
      <c r="D416" t="s">
        <v>43</v>
      </c>
      <c r="E416" t="s">
        <v>25</v>
      </c>
      <c r="F416" t="s">
        <v>84</v>
      </c>
      <c r="G416" t="s">
        <v>90</v>
      </c>
      <c r="H416" t="s">
        <v>52</v>
      </c>
      <c r="I416" t="s">
        <v>22</v>
      </c>
      <c r="J416">
        <v>1.2</v>
      </c>
      <c r="K416">
        <v>16</v>
      </c>
      <c r="L416">
        <v>3</v>
      </c>
      <c r="M416">
        <v>957022</v>
      </c>
      <c r="N416">
        <v>2871066</v>
      </c>
      <c r="O416">
        <v>2462569</v>
      </c>
      <c r="P416">
        <v>408497</v>
      </c>
    </row>
    <row r="417" spans="1:16" x14ac:dyDescent="0.3">
      <c r="A417">
        <v>1416</v>
      </c>
      <c r="B417" t="s">
        <v>366</v>
      </c>
      <c r="C417">
        <v>2024</v>
      </c>
      <c r="D417" t="s">
        <v>17</v>
      </c>
      <c r="E417" t="s">
        <v>40</v>
      </c>
      <c r="F417" t="s">
        <v>104</v>
      </c>
      <c r="G417" t="s">
        <v>46</v>
      </c>
      <c r="H417" t="s">
        <v>54</v>
      </c>
      <c r="I417" t="s">
        <v>48</v>
      </c>
      <c r="J417">
        <v>1</v>
      </c>
      <c r="K417">
        <v>20</v>
      </c>
      <c r="L417">
        <v>4</v>
      </c>
      <c r="M417">
        <v>1221323</v>
      </c>
      <c r="N417">
        <v>4885292</v>
      </c>
      <c r="O417">
        <v>3705700</v>
      </c>
      <c r="P417">
        <v>1179592</v>
      </c>
    </row>
    <row r="418" spans="1:16" x14ac:dyDescent="0.3">
      <c r="A418">
        <v>1417</v>
      </c>
      <c r="B418" t="s">
        <v>389</v>
      </c>
      <c r="C418">
        <v>2024</v>
      </c>
      <c r="D418" t="s">
        <v>97</v>
      </c>
      <c r="E418" t="s">
        <v>25</v>
      </c>
      <c r="F418" t="s">
        <v>77</v>
      </c>
      <c r="G418" t="s">
        <v>36</v>
      </c>
      <c r="H418" t="s">
        <v>52</v>
      </c>
      <c r="I418" t="s">
        <v>22</v>
      </c>
      <c r="J418">
        <v>1.2</v>
      </c>
      <c r="K418">
        <v>23</v>
      </c>
      <c r="L418">
        <v>6</v>
      </c>
      <c r="M418">
        <v>889166</v>
      </c>
      <c r="N418">
        <v>5334996</v>
      </c>
      <c r="O418">
        <v>4422905</v>
      </c>
      <c r="P418">
        <v>912091</v>
      </c>
    </row>
    <row r="419" spans="1:16" x14ac:dyDescent="0.3">
      <c r="A419">
        <v>1418</v>
      </c>
      <c r="B419" t="s">
        <v>390</v>
      </c>
      <c r="C419">
        <v>2024</v>
      </c>
      <c r="D419" t="s">
        <v>24</v>
      </c>
      <c r="E419" t="s">
        <v>44</v>
      </c>
      <c r="F419" t="s">
        <v>62</v>
      </c>
      <c r="G419" t="s">
        <v>46</v>
      </c>
      <c r="H419" t="s">
        <v>52</v>
      </c>
      <c r="I419" t="s">
        <v>22</v>
      </c>
      <c r="J419">
        <v>1.2</v>
      </c>
      <c r="K419">
        <v>22</v>
      </c>
      <c r="L419">
        <v>8</v>
      </c>
      <c r="M419">
        <v>1009364</v>
      </c>
      <c r="N419">
        <v>8074912</v>
      </c>
      <c r="O419">
        <v>6703639</v>
      </c>
      <c r="P419">
        <v>1371273</v>
      </c>
    </row>
    <row r="420" spans="1:16" x14ac:dyDescent="0.3">
      <c r="A420">
        <v>1419</v>
      </c>
      <c r="B420" t="s">
        <v>146</v>
      </c>
      <c r="C420">
        <v>2023</v>
      </c>
      <c r="D420" t="s">
        <v>29</v>
      </c>
      <c r="E420" t="s">
        <v>44</v>
      </c>
      <c r="F420" t="s">
        <v>62</v>
      </c>
      <c r="G420" t="s">
        <v>46</v>
      </c>
      <c r="H420" t="s">
        <v>21</v>
      </c>
      <c r="I420" t="s">
        <v>22</v>
      </c>
      <c r="J420">
        <v>1</v>
      </c>
      <c r="K420">
        <v>22</v>
      </c>
      <c r="L420">
        <v>1</v>
      </c>
      <c r="M420">
        <v>1205657</v>
      </c>
      <c r="N420">
        <v>1205657</v>
      </c>
      <c r="O420">
        <v>987817</v>
      </c>
      <c r="P420">
        <v>217840</v>
      </c>
    </row>
    <row r="421" spans="1:16" x14ac:dyDescent="0.3">
      <c r="A421">
        <v>1420</v>
      </c>
      <c r="B421" t="s">
        <v>341</v>
      </c>
      <c r="C421">
        <v>2024</v>
      </c>
      <c r="D421" t="s">
        <v>39</v>
      </c>
      <c r="E421" t="s">
        <v>40</v>
      </c>
      <c r="F421" t="s">
        <v>68</v>
      </c>
      <c r="G421" t="s">
        <v>46</v>
      </c>
      <c r="H421" t="s">
        <v>100</v>
      </c>
      <c r="I421" t="s">
        <v>22</v>
      </c>
      <c r="J421">
        <v>2</v>
      </c>
      <c r="K421">
        <v>22</v>
      </c>
      <c r="L421">
        <v>8</v>
      </c>
      <c r="M421">
        <v>1311846</v>
      </c>
      <c r="N421">
        <v>10494768</v>
      </c>
      <c r="O421">
        <v>8255420</v>
      </c>
      <c r="P421">
        <v>2239348</v>
      </c>
    </row>
    <row r="422" spans="1:16" x14ac:dyDescent="0.3">
      <c r="A422">
        <v>1421</v>
      </c>
      <c r="B422" t="s">
        <v>65</v>
      </c>
      <c r="C422">
        <v>2023</v>
      </c>
      <c r="D422" t="s">
        <v>17</v>
      </c>
      <c r="E422" t="s">
        <v>25</v>
      </c>
      <c r="F422" t="s">
        <v>84</v>
      </c>
      <c r="G422" t="s">
        <v>36</v>
      </c>
      <c r="H422" t="s">
        <v>31</v>
      </c>
      <c r="I422" t="s">
        <v>32</v>
      </c>
      <c r="J422">
        <v>1.2</v>
      </c>
      <c r="K422">
        <v>19</v>
      </c>
      <c r="L422">
        <v>1</v>
      </c>
      <c r="M422">
        <v>1239674</v>
      </c>
      <c r="N422">
        <v>1239674</v>
      </c>
      <c r="O422">
        <v>950930</v>
      </c>
      <c r="P422">
        <v>288744</v>
      </c>
    </row>
    <row r="423" spans="1:16" x14ac:dyDescent="0.3">
      <c r="A423">
        <v>1422</v>
      </c>
      <c r="B423" t="s">
        <v>133</v>
      </c>
      <c r="C423">
        <v>2024</v>
      </c>
      <c r="D423" t="s">
        <v>39</v>
      </c>
      <c r="E423" t="s">
        <v>25</v>
      </c>
      <c r="F423" t="s">
        <v>84</v>
      </c>
      <c r="G423" t="s">
        <v>30</v>
      </c>
      <c r="H423" t="s">
        <v>54</v>
      </c>
      <c r="I423" t="s">
        <v>48</v>
      </c>
      <c r="J423">
        <v>2</v>
      </c>
      <c r="K423">
        <v>16</v>
      </c>
      <c r="L423">
        <v>5</v>
      </c>
      <c r="M423">
        <v>1298831</v>
      </c>
      <c r="N423">
        <v>6494155</v>
      </c>
      <c r="O423">
        <v>5236241</v>
      </c>
      <c r="P423">
        <v>1257914</v>
      </c>
    </row>
    <row r="424" spans="1:16" x14ac:dyDescent="0.3">
      <c r="A424">
        <v>1423</v>
      </c>
      <c r="B424" t="s">
        <v>234</v>
      </c>
      <c r="C424">
        <v>2023</v>
      </c>
      <c r="D424" t="s">
        <v>97</v>
      </c>
      <c r="E424" t="s">
        <v>18</v>
      </c>
      <c r="F424" t="s">
        <v>19</v>
      </c>
      <c r="G424" t="s">
        <v>46</v>
      </c>
      <c r="H424" t="s">
        <v>47</v>
      </c>
      <c r="I424" t="s">
        <v>48</v>
      </c>
      <c r="J424">
        <v>2</v>
      </c>
      <c r="K424">
        <v>20</v>
      </c>
      <c r="L424">
        <v>4</v>
      </c>
      <c r="M424">
        <v>1174843</v>
      </c>
      <c r="N424">
        <v>4699372</v>
      </c>
      <c r="O424">
        <v>3936848</v>
      </c>
      <c r="P424">
        <v>762524</v>
      </c>
    </row>
    <row r="425" spans="1:16" x14ac:dyDescent="0.3">
      <c r="A425">
        <v>1424</v>
      </c>
      <c r="B425" t="s">
        <v>335</v>
      </c>
      <c r="C425">
        <v>2023</v>
      </c>
      <c r="D425" t="s">
        <v>61</v>
      </c>
      <c r="E425" t="s">
        <v>40</v>
      </c>
      <c r="F425" t="s">
        <v>120</v>
      </c>
      <c r="G425" t="s">
        <v>30</v>
      </c>
      <c r="H425" t="s">
        <v>100</v>
      </c>
      <c r="I425" t="s">
        <v>22</v>
      </c>
      <c r="J425">
        <v>1.5</v>
      </c>
      <c r="K425">
        <v>20</v>
      </c>
      <c r="L425">
        <v>4</v>
      </c>
      <c r="M425">
        <v>703167</v>
      </c>
      <c r="N425">
        <v>2812668</v>
      </c>
      <c r="O425">
        <v>2228776</v>
      </c>
      <c r="P425">
        <v>583892</v>
      </c>
    </row>
    <row r="426" spans="1:16" x14ac:dyDescent="0.3">
      <c r="A426">
        <v>1425</v>
      </c>
      <c r="B426" t="s">
        <v>153</v>
      </c>
      <c r="C426">
        <v>2024</v>
      </c>
      <c r="D426" t="s">
        <v>43</v>
      </c>
      <c r="E426" t="s">
        <v>40</v>
      </c>
      <c r="F426" t="s">
        <v>104</v>
      </c>
      <c r="G426" t="s">
        <v>46</v>
      </c>
      <c r="H426" t="s">
        <v>47</v>
      </c>
      <c r="I426" t="s">
        <v>48</v>
      </c>
      <c r="J426">
        <v>1.5</v>
      </c>
      <c r="K426">
        <v>19</v>
      </c>
      <c r="L426">
        <v>2</v>
      </c>
      <c r="M426">
        <v>1114337</v>
      </c>
      <c r="N426">
        <v>2228674</v>
      </c>
      <c r="O426">
        <v>1978493</v>
      </c>
      <c r="P426">
        <v>250181</v>
      </c>
    </row>
    <row r="427" spans="1:16" x14ac:dyDescent="0.3">
      <c r="A427">
        <v>1426</v>
      </c>
      <c r="B427" t="s">
        <v>115</v>
      </c>
      <c r="C427">
        <v>2024</v>
      </c>
      <c r="D427" t="s">
        <v>50</v>
      </c>
      <c r="E427" t="s">
        <v>25</v>
      </c>
      <c r="F427" t="s">
        <v>77</v>
      </c>
      <c r="G427" t="s">
        <v>46</v>
      </c>
      <c r="H427" t="s">
        <v>47</v>
      </c>
      <c r="I427" t="s">
        <v>48</v>
      </c>
      <c r="J427">
        <v>1.5</v>
      </c>
      <c r="K427">
        <v>18</v>
      </c>
      <c r="L427">
        <v>5</v>
      </c>
      <c r="M427">
        <v>1024119</v>
      </c>
      <c r="N427">
        <v>5120595</v>
      </c>
      <c r="O427">
        <v>4111070</v>
      </c>
      <c r="P427">
        <v>1009525</v>
      </c>
    </row>
    <row r="428" spans="1:16" x14ac:dyDescent="0.3">
      <c r="A428">
        <v>1427</v>
      </c>
      <c r="B428" t="s">
        <v>391</v>
      </c>
      <c r="C428">
        <v>2024</v>
      </c>
      <c r="D428" t="s">
        <v>74</v>
      </c>
      <c r="E428" t="s">
        <v>44</v>
      </c>
      <c r="F428" t="s">
        <v>92</v>
      </c>
      <c r="G428" t="s">
        <v>30</v>
      </c>
      <c r="H428" t="s">
        <v>21</v>
      </c>
      <c r="I428" t="s">
        <v>22</v>
      </c>
      <c r="J428">
        <v>1</v>
      </c>
      <c r="K428">
        <v>23</v>
      </c>
      <c r="L428">
        <v>1</v>
      </c>
      <c r="M428">
        <v>1128260</v>
      </c>
      <c r="N428">
        <v>1128260</v>
      </c>
      <c r="O428">
        <v>862892</v>
      </c>
      <c r="P428">
        <v>265368</v>
      </c>
    </row>
    <row r="429" spans="1:16" x14ac:dyDescent="0.3">
      <c r="A429">
        <v>1428</v>
      </c>
      <c r="B429" t="s">
        <v>392</v>
      </c>
      <c r="C429">
        <v>2023</v>
      </c>
      <c r="D429" t="s">
        <v>61</v>
      </c>
      <c r="E429" t="s">
        <v>18</v>
      </c>
      <c r="F429" t="s">
        <v>19</v>
      </c>
      <c r="G429" t="s">
        <v>20</v>
      </c>
      <c r="H429" t="s">
        <v>79</v>
      </c>
      <c r="I429" t="s">
        <v>48</v>
      </c>
      <c r="J429">
        <v>1.5</v>
      </c>
      <c r="K429">
        <v>18</v>
      </c>
      <c r="L429">
        <v>8</v>
      </c>
      <c r="M429">
        <v>1326082</v>
      </c>
      <c r="N429">
        <v>10608656</v>
      </c>
      <c r="O429">
        <v>8937956</v>
      </c>
      <c r="P429">
        <v>1670700</v>
      </c>
    </row>
    <row r="430" spans="1:16" x14ac:dyDescent="0.3">
      <c r="A430">
        <v>1429</v>
      </c>
      <c r="B430" t="s">
        <v>33</v>
      </c>
      <c r="C430">
        <v>2024</v>
      </c>
      <c r="D430" t="s">
        <v>34</v>
      </c>
      <c r="E430" t="s">
        <v>44</v>
      </c>
      <c r="F430" t="s">
        <v>70</v>
      </c>
      <c r="G430" t="s">
        <v>90</v>
      </c>
      <c r="H430" t="s">
        <v>47</v>
      </c>
      <c r="I430" t="s">
        <v>48</v>
      </c>
      <c r="J430">
        <v>1</v>
      </c>
      <c r="K430">
        <v>18</v>
      </c>
      <c r="L430">
        <v>3</v>
      </c>
      <c r="M430">
        <v>721664</v>
      </c>
      <c r="N430">
        <v>2164992</v>
      </c>
      <c r="O430">
        <v>1887292</v>
      </c>
      <c r="P430">
        <v>277700</v>
      </c>
    </row>
    <row r="431" spans="1:16" x14ac:dyDescent="0.3">
      <c r="A431">
        <v>1430</v>
      </c>
      <c r="B431" t="s">
        <v>201</v>
      </c>
      <c r="C431">
        <v>2023</v>
      </c>
      <c r="D431" t="s">
        <v>50</v>
      </c>
      <c r="E431" t="s">
        <v>25</v>
      </c>
      <c r="F431" t="s">
        <v>84</v>
      </c>
      <c r="G431" t="s">
        <v>90</v>
      </c>
      <c r="H431" t="s">
        <v>63</v>
      </c>
      <c r="I431" t="s">
        <v>22</v>
      </c>
      <c r="J431">
        <v>2</v>
      </c>
      <c r="K431">
        <v>22</v>
      </c>
      <c r="L431">
        <v>1</v>
      </c>
      <c r="M431">
        <v>962394</v>
      </c>
      <c r="N431">
        <v>962394</v>
      </c>
      <c r="O431">
        <v>732742</v>
      </c>
      <c r="P431">
        <v>229652</v>
      </c>
    </row>
    <row r="432" spans="1:16" x14ac:dyDescent="0.3">
      <c r="A432">
        <v>1431</v>
      </c>
      <c r="B432" t="s">
        <v>393</v>
      </c>
      <c r="C432">
        <v>2023</v>
      </c>
      <c r="D432" t="s">
        <v>76</v>
      </c>
      <c r="E432" t="s">
        <v>44</v>
      </c>
      <c r="F432" t="s">
        <v>45</v>
      </c>
      <c r="G432" t="s">
        <v>27</v>
      </c>
      <c r="H432" t="s">
        <v>63</v>
      </c>
      <c r="I432" t="s">
        <v>22</v>
      </c>
      <c r="J432">
        <v>2</v>
      </c>
      <c r="K432">
        <v>21</v>
      </c>
      <c r="L432">
        <v>8</v>
      </c>
      <c r="M432">
        <v>689766</v>
      </c>
      <c r="N432">
        <v>5518128</v>
      </c>
      <c r="O432">
        <v>4783091</v>
      </c>
      <c r="P432">
        <v>735037</v>
      </c>
    </row>
    <row r="433" spans="1:16" x14ac:dyDescent="0.3">
      <c r="A433">
        <v>1432</v>
      </c>
      <c r="B433" t="s">
        <v>394</v>
      </c>
      <c r="C433">
        <v>2024</v>
      </c>
      <c r="D433" t="s">
        <v>29</v>
      </c>
      <c r="E433" t="s">
        <v>40</v>
      </c>
      <c r="F433" t="s">
        <v>68</v>
      </c>
      <c r="G433" t="s">
        <v>27</v>
      </c>
      <c r="H433" t="s">
        <v>79</v>
      </c>
      <c r="I433" t="s">
        <v>48</v>
      </c>
      <c r="J433">
        <v>1</v>
      </c>
      <c r="K433">
        <v>22</v>
      </c>
      <c r="L433">
        <v>1</v>
      </c>
      <c r="M433">
        <v>1067695</v>
      </c>
      <c r="N433">
        <v>1067695</v>
      </c>
      <c r="O433">
        <v>842895</v>
      </c>
      <c r="P433">
        <v>224800</v>
      </c>
    </row>
    <row r="434" spans="1:16" x14ac:dyDescent="0.3">
      <c r="A434">
        <v>1433</v>
      </c>
      <c r="B434" t="s">
        <v>395</v>
      </c>
      <c r="C434">
        <v>2023</v>
      </c>
      <c r="D434" t="s">
        <v>43</v>
      </c>
      <c r="E434" t="s">
        <v>18</v>
      </c>
      <c r="F434" t="s">
        <v>72</v>
      </c>
      <c r="G434" t="s">
        <v>36</v>
      </c>
      <c r="H434" t="s">
        <v>47</v>
      </c>
      <c r="I434" t="s">
        <v>48</v>
      </c>
      <c r="J434">
        <v>2</v>
      </c>
      <c r="K434">
        <v>19</v>
      </c>
      <c r="L434">
        <v>8</v>
      </c>
      <c r="M434">
        <v>1415371</v>
      </c>
      <c r="N434">
        <v>11322968</v>
      </c>
      <c r="O434">
        <v>9792211</v>
      </c>
      <c r="P434">
        <v>1530757</v>
      </c>
    </row>
    <row r="435" spans="1:16" x14ac:dyDescent="0.3">
      <c r="A435">
        <v>1434</v>
      </c>
      <c r="B435" t="s">
        <v>119</v>
      </c>
      <c r="C435">
        <v>2024</v>
      </c>
      <c r="D435" t="s">
        <v>43</v>
      </c>
      <c r="E435" t="s">
        <v>25</v>
      </c>
      <c r="F435" t="s">
        <v>58</v>
      </c>
      <c r="G435" t="s">
        <v>20</v>
      </c>
      <c r="H435" t="s">
        <v>56</v>
      </c>
      <c r="I435" t="s">
        <v>48</v>
      </c>
      <c r="J435">
        <v>1</v>
      </c>
      <c r="K435">
        <v>19</v>
      </c>
      <c r="L435">
        <v>6</v>
      </c>
      <c r="M435">
        <v>1125859</v>
      </c>
      <c r="N435">
        <v>6755154</v>
      </c>
      <c r="O435">
        <v>5339765</v>
      </c>
      <c r="P435">
        <v>1415389</v>
      </c>
    </row>
    <row r="436" spans="1:16" x14ac:dyDescent="0.3">
      <c r="A436">
        <v>1435</v>
      </c>
      <c r="B436" t="s">
        <v>396</v>
      </c>
      <c r="C436">
        <v>2023</v>
      </c>
      <c r="D436" t="s">
        <v>74</v>
      </c>
      <c r="E436" t="s">
        <v>40</v>
      </c>
      <c r="F436" t="s">
        <v>68</v>
      </c>
      <c r="G436" t="s">
        <v>20</v>
      </c>
      <c r="H436" t="s">
        <v>37</v>
      </c>
      <c r="I436" t="s">
        <v>32</v>
      </c>
      <c r="J436">
        <v>2</v>
      </c>
      <c r="K436">
        <v>18</v>
      </c>
      <c r="L436">
        <v>4</v>
      </c>
      <c r="M436">
        <v>1395148</v>
      </c>
      <c r="N436">
        <v>5580592</v>
      </c>
      <c r="O436">
        <v>5017054</v>
      </c>
      <c r="P436">
        <v>563538</v>
      </c>
    </row>
    <row r="437" spans="1:16" x14ac:dyDescent="0.3">
      <c r="A437">
        <v>1436</v>
      </c>
      <c r="B437" t="s">
        <v>108</v>
      </c>
      <c r="C437">
        <v>2024</v>
      </c>
      <c r="D437" t="s">
        <v>43</v>
      </c>
      <c r="E437" t="s">
        <v>44</v>
      </c>
      <c r="F437" t="s">
        <v>70</v>
      </c>
      <c r="G437" t="s">
        <v>59</v>
      </c>
      <c r="H437" t="s">
        <v>21</v>
      </c>
      <c r="I437" t="s">
        <v>22</v>
      </c>
      <c r="J437">
        <v>1.5</v>
      </c>
      <c r="K437">
        <v>20</v>
      </c>
      <c r="L437">
        <v>2</v>
      </c>
      <c r="M437">
        <v>969402</v>
      </c>
      <c r="N437">
        <v>1938804</v>
      </c>
      <c r="O437">
        <v>1697614</v>
      </c>
      <c r="P437">
        <v>241190</v>
      </c>
    </row>
    <row r="438" spans="1:16" x14ac:dyDescent="0.3">
      <c r="A438">
        <v>1437</v>
      </c>
      <c r="B438" t="s">
        <v>371</v>
      </c>
      <c r="C438">
        <v>2024</v>
      </c>
      <c r="D438" t="s">
        <v>29</v>
      </c>
      <c r="E438" t="s">
        <v>25</v>
      </c>
      <c r="F438" t="s">
        <v>84</v>
      </c>
      <c r="G438" t="s">
        <v>90</v>
      </c>
      <c r="H438" t="s">
        <v>56</v>
      </c>
      <c r="I438" t="s">
        <v>48</v>
      </c>
      <c r="J438">
        <v>1.5</v>
      </c>
      <c r="K438">
        <v>20</v>
      </c>
      <c r="L438">
        <v>8</v>
      </c>
      <c r="M438">
        <v>1200535</v>
      </c>
      <c r="N438">
        <v>9604280</v>
      </c>
      <c r="O438">
        <v>7614132</v>
      </c>
      <c r="P438">
        <v>1990148</v>
      </c>
    </row>
    <row r="439" spans="1:16" x14ac:dyDescent="0.3">
      <c r="A439">
        <v>1438</v>
      </c>
      <c r="B439" t="s">
        <v>397</v>
      </c>
      <c r="C439">
        <v>2023</v>
      </c>
      <c r="D439" t="s">
        <v>97</v>
      </c>
      <c r="E439" t="s">
        <v>18</v>
      </c>
      <c r="F439" t="s">
        <v>107</v>
      </c>
      <c r="G439" t="s">
        <v>27</v>
      </c>
      <c r="H439" t="s">
        <v>56</v>
      </c>
      <c r="I439" t="s">
        <v>48</v>
      </c>
      <c r="J439">
        <v>1.5</v>
      </c>
      <c r="K439">
        <v>23</v>
      </c>
      <c r="L439">
        <v>1</v>
      </c>
      <c r="M439">
        <v>676069</v>
      </c>
      <c r="N439">
        <v>676069</v>
      </c>
      <c r="O439">
        <v>512233</v>
      </c>
      <c r="P439">
        <v>163836</v>
      </c>
    </row>
    <row r="440" spans="1:16" x14ac:dyDescent="0.3">
      <c r="A440">
        <v>1439</v>
      </c>
      <c r="B440" t="s">
        <v>151</v>
      </c>
      <c r="C440">
        <v>2024</v>
      </c>
      <c r="D440" t="s">
        <v>61</v>
      </c>
      <c r="E440" t="s">
        <v>40</v>
      </c>
      <c r="F440" t="s">
        <v>41</v>
      </c>
      <c r="G440" t="s">
        <v>30</v>
      </c>
      <c r="H440" t="s">
        <v>52</v>
      </c>
      <c r="I440" t="s">
        <v>22</v>
      </c>
      <c r="J440">
        <v>1.5</v>
      </c>
      <c r="K440">
        <v>16</v>
      </c>
      <c r="L440">
        <v>8</v>
      </c>
      <c r="M440">
        <v>921834</v>
      </c>
      <c r="N440">
        <v>7374672</v>
      </c>
      <c r="O440">
        <v>6545166</v>
      </c>
      <c r="P440">
        <v>829506</v>
      </c>
    </row>
    <row r="441" spans="1:16" x14ac:dyDescent="0.3">
      <c r="A441">
        <v>1440</v>
      </c>
      <c r="B441" t="s">
        <v>299</v>
      </c>
      <c r="C441">
        <v>2023</v>
      </c>
      <c r="D441" t="s">
        <v>67</v>
      </c>
      <c r="E441" t="s">
        <v>25</v>
      </c>
      <c r="F441" t="s">
        <v>26</v>
      </c>
      <c r="G441" t="s">
        <v>27</v>
      </c>
      <c r="H441" t="s">
        <v>56</v>
      </c>
      <c r="I441" t="s">
        <v>48</v>
      </c>
      <c r="J441">
        <v>1.2</v>
      </c>
      <c r="K441">
        <v>19</v>
      </c>
      <c r="L441">
        <v>8</v>
      </c>
      <c r="M441">
        <v>1366054</v>
      </c>
      <c r="N441">
        <v>10928432</v>
      </c>
      <c r="O441">
        <v>8392088</v>
      </c>
      <c r="P441">
        <v>2536344</v>
      </c>
    </row>
    <row r="442" spans="1:16" x14ac:dyDescent="0.3">
      <c r="A442">
        <v>1441</v>
      </c>
      <c r="B442" t="s">
        <v>398</v>
      </c>
      <c r="C442">
        <v>2024</v>
      </c>
      <c r="D442" t="s">
        <v>39</v>
      </c>
      <c r="E442" t="s">
        <v>44</v>
      </c>
      <c r="F442" t="s">
        <v>92</v>
      </c>
      <c r="G442" t="s">
        <v>36</v>
      </c>
      <c r="H442" t="s">
        <v>47</v>
      </c>
      <c r="I442" t="s">
        <v>48</v>
      </c>
      <c r="J442">
        <v>2</v>
      </c>
      <c r="K442">
        <v>20</v>
      </c>
      <c r="L442">
        <v>4</v>
      </c>
      <c r="M442">
        <v>1192505</v>
      </c>
      <c r="N442">
        <v>4770020</v>
      </c>
      <c r="O442">
        <v>4190565</v>
      </c>
      <c r="P442">
        <v>579455</v>
      </c>
    </row>
    <row r="443" spans="1:16" x14ac:dyDescent="0.3">
      <c r="A443">
        <v>1442</v>
      </c>
      <c r="B443" t="s">
        <v>213</v>
      </c>
      <c r="C443">
        <v>2024</v>
      </c>
      <c r="D443" t="s">
        <v>24</v>
      </c>
      <c r="E443" t="s">
        <v>44</v>
      </c>
      <c r="F443" t="s">
        <v>70</v>
      </c>
      <c r="G443" t="s">
        <v>20</v>
      </c>
      <c r="H443" t="s">
        <v>63</v>
      </c>
      <c r="I443" t="s">
        <v>22</v>
      </c>
      <c r="J443">
        <v>1.2</v>
      </c>
      <c r="K443">
        <v>22</v>
      </c>
      <c r="L443">
        <v>1</v>
      </c>
      <c r="M443">
        <v>726418</v>
      </c>
      <c r="N443">
        <v>726418</v>
      </c>
      <c r="O443">
        <v>561972</v>
      </c>
      <c r="P443">
        <v>164446</v>
      </c>
    </row>
    <row r="444" spans="1:16" x14ac:dyDescent="0.3">
      <c r="A444">
        <v>1443</v>
      </c>
      <c r="B444" t="s">
        <v>114</v>
      </c>
      <c r="C444">
        <v>2023</v>
      </c>
      <c r="D444" t="s">
        <v>39</v>
      </c>
      <c r="E444" t="s">
        <v>40</v>
      </c>
      <c r="F444" t="s">
        <v>104</v>
      </c>
      <c r="G444" t="s">
        <v>51</v>
      </c>
      <c r="H444" t="s">
        <v>54</v>
      </c>
      <c r="I444" t="s">
        <v>48</v>
      </c>
      <c r="J444">
        <v>1.5</v>
      </c>
      <c r="K444">
        <v>16</v>
      </c>
      <c r="L444">
        <v>6</v>
      </c>
      <c r="M444">
        <v>850955</v>
      </c>
      <c r="N444">
        <v>5105730</v>
      </c>
      <c r="O444">
        <v>4101484</v>
      </c>
      <c r="P444">
        <v>1004246</v>
      </c>
    </row>
    <row r="445" spans="1:16" x14ac:dyDescent="0.3">
      <c r="A445">
        <v>1444</v>
      </c>
      <c r="B445" t="s">
        <v>173</v>
      </c>
      <c r="C445">
        <v>2023</v>
      </c>
      <c r="D445" t="s">
        <v>61</v>
      </c>
      <c r="E445" t="s">
        <v>25</v>
      </c>
      <c r="F445" t="s">
        <v>84</v>
      </c>
      <c r="G445" t="s">
        <v>20</v>
      </c>
      <c r="H445" t="s">
        <v>47</v>
      </c>
      <c r="I445" t="s">
        <v>48</v>
      </c>
      <c r="J445">
        <v>2</v>
      </c>
      <c r="K445">
        <v>18</v>
      </c>
      <c r="L445">
        <v>2</v>
      </c>
      <c r="M445">
        <v>910880</v>
      </c>
      <c r="N445">
        <v>1821760</v>
      </c>
      <c r="O445">
        <v>1520440</v>
      </c>
      <c r="P445">
        <v>301320</v>
      </c>
    </row>
    <row r="446" spans="1:16" x14ac:dyDescent="0.3">
      <c r="A446">
        <v>1445</v>
      </c>
      <c r="B446" t="s">
        <v>399</v>
      </c>
      <c r="C446">
        <v>2024</v>
      </c>
      <c r="D446" t="s">
        <v>29</v>
      </c>
      <c r="E446" t="s">
        <v>44</v>
      </c>
      <c r="F446" t="s">
        <v>92</v>
      </c>
      <c r="G446" t="s">
        <v>20</v>
      </c>
      <c r="H446" t="s">
        <v>47</v>
      </c>
      <c r="I446" t="s">
        <v>48</v>
      </c>
      <c r="J446">
        <v>2</v>
      </c>
      <c r="K446">
        <v>20</v>
      </c>
      <c r="L446">
        <v>5</v>
      </c>
      <c r="M446">
        <v>1172959</v>
      </c>
      <c r="N446">
        <v>5864795</v>
      </c>
      <c r="O446">
        <v>4710262</v>
      </c>
      <c r="P446">
        <v>1154533</v>
      </c>
    </row>
    <row r="447" spans="1:16" x14ac:dyDescent="0.3">
      <c r="A447">
        <v>1446</v>
      </c>
      <c r="B447" t="s">
        <v>274</v>
      </c>
      <c r="C447">
        <v>2024</v>
      </c>
      <c r="D447" t="s">
        <v>29</v>
      </c>
      <c r="E447" t="s">
        <v>25</v>
      </c>
      <c r="F447" t="s">
        <v>77</v>
      </c>
      <c r="G447" t="s">
        <v>30</v>
      </c>
      <c r="H447" t="s">
        <v>47</v>
      </c>
      <c r="I447" t="s">
        <v>48</v>
      </c>
      <c r="J447">
        <v>1.5</v>
      </c>
      <c r="K447">
        <v>16</v>
      </c>
      <c r="L447">
        <v>6</v>
      </c>
      <c r="M447">
        <v>1152112</v>
      </c>
      <c r="N447">
        <v>6912672</v>
      </c>
      <c r="O447">
        <v>6106274</v>
      </c>
      <c r="P447">
        <v>806398</v>
      </c>
    </row>
    <row r="448" spans="1:16" x14ac:dyDescent="0.3">
      <c r="A448">
        <v>1447</v>
      </c>
      <c r="B448" t="s">
        <v>221</v>
      </c>
      <c r="C448">
        <v>2023</v>
      </c>
      <c r="D448" t="s">
        <v>17</v>
      </c>
      <c r="E448" t="s">
        <v>44</v>
      </c>
      <c r="F448" t="s">
        <v>45</v>
      </c>
      <c r="G448" t="s">
        <v>59</v>
      </c>
      <c r="H448" t="s">
        <v>100</v>
      </c>
      <c r="I448" t="s">
        <v>22</v>
      </c>
      <c r="J448">
        <v>1.2</v>
      </c>
      <c r="K448">
        <v>18</v>
      </c>
      <c r="L448">
        <v>8</v>
      </c>
      <c r="M448">
        <v>704846</v>
      </c>
      <c r="N448">
        <v>5638768</v>
      </c>
      <c r="O448">
        <v>4522256</v>
      </c>
      <c r="P448">
        <v>1116512</v>
      </c>
    </row>
    <row r="449" spans="1:16" x14ac:dyDescent="0.3">
      <c r="A449">
        <v>1448</v>
      </c>
      <c r="B449" t="s">
        <v>400</v>
      </c>
      <c r="C449">
        <v>2024</v>
      </c>
      <c r="D449" t="s">
        <v>61</v>
      </c>
      <c r="E449" t="s">
        <v>44</v>
      </c>
      <c r="F449" t="s">
        <v>92</v>
      </c>
      <c r="G449" t="s">
        <v>20</v>
      </c>
      <c r="H449" t="s">
        <v>56</v>
      </c>
      <c r="I449" t="s">
        <v>48</v>
      </c>
      <c r="J449">
        <v>1.2</v>
      </c>
      <c r="K449">
        <v>20</v>
      </c>
      <c r="L449">
        <v>5</v>
      </c>
      <c r="M449">
        <v>1155931</v>
      </c>
      <c r="N449">
        <v>5779655</v>
      </c>
      <c r="O449">
        <v>5051787</v>
      </c>
      <c r="P449">
        <v>727868</v>
      </c>
    </row>
    <row r="450" spans="1:16" x14ac:dyDescent="0.3">
      <c r="A450">
        <v>1449</v>
      </c>
      <c r="B450" t="s">
        <v>401</v>
      </c>
      <c r="C450">
        <v>2024</v>
      </c>
      <c r="D450" t="s">
        <v>24</v>
      </c>
      <c r="E450" t="s">
        <v>25</v>
      </c>
      <c r="F450" t="s">
        <v>58</v>
      </c>
      <c r="G450" t="s">
        <v>46</v>
      </c>
      <c r="H450" t="s">
        <v>52</v>
      </c>
      <c r="I450" t="s">
        <v>22</v>
      </c>
      <c r="J450">
        <v>2</v>
      </c>
      <c r="K450">
        <v>23</v>
      </c>
      <c r="L450">
        <v>7</v>
      </c>
      <c r="M450">
        <v>826231</v>
      </c>
      <c r="N450">
        <v>5783617</v>
      </c>
      <c r="O450">
        <v>4811919</v>
      </c>
      <c r="P450">
        <v>971698</v>
      </c>
    </row>
    <row r="451" spans="1:16" x14ac:dyDescent="0.3">
      <c r="A451">
        <v>1450</v>
      </c>
      <c r="B451" t="s">
        <v>55</v>
      </c>
      <c r="C451">
        <v>2023</v>
      </c>
      <c r="D451" t="s">
        <v>50</v>
      </c>
      <c r="E451" t="s">
        <v>18</v>
      </c>
      <c r="F451" t="s">
        <v>72</v>
      </c>
      <c r="G451" t="s">
        <v>30</v>
      </c>
      <c r="H451" t="s">
        <v>37</v>
      </c>
      <c r="I451" t="s">
        <v>32</v>
      </c>
      <c r="J451">
        <v>1.2</v>
      </c>
      <c r="K451">
        <v>20</v>
      </c>
      <c r="L451">
        <v>6</v>
      </c>
      <c r="M451">
        <v>982808</v>
      </c>
      <c r="N451">
        <v>5896848</v>
      </c>
      <c r="O451">
        <v>4760517</v>
      </c>
      <c r="P451">
        <v>1136331</v>
      </c>
    </row>
    <row r="452" spans="1:16" x14ac:dyDescent="0.3">
      <c r="A452">
        <v>1451</v>
      </c>
      <c r="B452" t="s">
        <v>190</v>
      </c>
      <c r="C452">
        <v>2023</v>
      </c>
      <c r="D452" t="s">
        <v>61</v>
      </c>
      <c r="E452" t="s">
        <v>25</v>
      </c>
      <c r="F452" t="s">
        <v>26</v>
      </c>
      <c r="G452" t="s">
        <v>20</v>
      </c>
      <c r="H452" t="s">
        <v>52</v>
      </c>
      <c r="I452" t="s">
        <v>22</v>
      </c>
      <c r="J452">
        <v>1.5</v>
      </c>
      <c r="K452">
        <v>19</v>
      </c>
      <c r="L452">
        <v>7</v>
      </c>
      <c r="M452">
        <v>1452714</v>
      </c>
      <c r="N452">
        <v>10168998</v>
      </c>
      <c r="O452">
        <v>8812384</v>
      </c>
      <c r="P452">
        <v>1356614</v>
      </c>
    </row>
    <row r="453" spans="1:16" x14ac:dyDescent="0.3">
      <c r="A453">
        <v>1452</v>
      </c>
      <c r="B453" t="s">
        <v>402</v>
      </c>
      <c r="C453">
        <v>2024</v>
      </c>
      <c r="D453" t="s">
        <v>74</v>
      </c>
      <c r="E453" t="s">
        <v>40</v>
      </c>
      <c r="F453" t="s">
        <v>41</v>
      </c>
      <c r="G453" t="s">
        <v>36</v>
      </c>
      <c r="H453" t="s">
        <v>100</v>
      </c>
      <c r="I453" t="s">
        <v>22</v>
      </c>
      <c r="J453">
        <v>1</v>
      </c>
      <c r="K453">
        <v>22</v>
      </c>
      <c r="L453">
        <v>1</v>
      </c>
      <c r="M453">
        <v>1214863</v>
      </c>
      <c r="N453">
        <v>1214863</v>
      </c>
      <c r="O453">
        <v>1065724</v>
      </c>
      <c r="P453">
        <v>149139</v>
      </c>
    </row>
    <row r="454" spans="1:16" x14ac:dyDescent="0.3">
      <c r="A454">
        <v>1453</v>
      </c>
      <c r="B454" t="s">
        <v>268</v>
      </c>
      <c r="C454">
        <v>2023</v>
      </c>
      <c r="D454" t="s">
        <v>74</v>
      </c>
      <c r="E454" t="s">
        <v>18</v>
      </c>
      <c r="F454" t="s">
        <v>19</v>
      </c>
      <c r="G454" t="s">
        <v>30</v>
      </c>
      <c r="H454" t="s">
        <v>54</v>
      </c>
      <c r="I454" t="s">
        <v>48</v>
      </c>
      <c r="J454">
        <v>2</v>
      </c>
      <c r="K454">
        <v>18</v>
      </c>
      <c r="L454">
        <v>8</v>
      </c>
      <c r="M454">
        <v>1328692</v>
      </c>
      <c r="N454">
        <v>10629536</v>
      </c>
      <c r="O454">
        <v>8555100</v>
      </c>
      <c r="P454">
        <v>2074436</v>
      </c>
    </row>
    <row r="455" spans="1:16" x14ac:dyDescent="0.3">
      <c r="A455">
        <v>1454</v>
      </c>
      <c r="B455" t="s">
        <v>384</v>
      </c>
      <c r="C455">
        <v>2023</v>
      </c>
      <c r="D455" t="s">
        <v>39</v>
      </c>
      <c r="E455" t="s">
        <v>40</v>
      </c>
      <c r="F455" t="s">
        <v>104</v>
      </c>
      <c r="G455" t="s">
        <v>59</v>
      </c>
      <c r="H455" t="s">
        <v>63</v>
      </c>
      <c r="I455" t="s">
        <v>22</v>
      </c>
      <c r="J455">
        <v>2</v>
      </c>
      <c r="K455">
        <v>18</v>
      </c>
      <c r="L455">
        <v>5</v>
      </c>
      <c r="M455">
        <v>1374192</v>
      </c>
      <c r="N455">
        <v>6870960</v>
      </c>
      <c r="O455">
        <v>5853929</v>
      </c>
      <c r="P455">
        <v>1017031</v>
      </c>
    </row>
    <row r="456" spans="1:16" x14ac:dyDescent="0.3">
      <c r="A456">
        <v>1455</v>
      </c>
      <c r="B456" t="s">
        <v>403</v>
      </c>
      <c r="C456">
        <v>2024</v>
      </c>
      <c r="D456" t="s">
        <v>97</v>
      </c>
      <c r="E456" t="s">
        <v>25</v>
      </c>
      <c r="F456" t="s">
        <v>84</v>
      </c>
      <c r="G456" t="s">
        <v>36</v>
      </c>
      <c r="H456" t="s">
        <v>79</v>
      </c>
      <c r="I456" t="s">
        <v>48</v>
      </c>
      <c r="J456">
        <v>1</v>
      </c>
      <c r="K456">
        <v>19</v>
      </c>
      <c r="L456">
        <v>6</v>
      </c>
      <c r="M456">
        <v>1194233</v>
      </c>
      <c r="N456">
        <v>7165398</v>
      </c>
      <c r="O456">
        <v>5441791</v>
      </c>
      <c r="P456">
        <v>1723607</v>
      </c>
    </row>
    <row r="457" spans="1:16" x14ac:dyDescent="0.3">
      <c r="A457">
        <v>1456</v>
      </c>
      <c r="B457" t="s">
        <v>404</v>
      </c>
      <c r="C457">
        <v>2024</v>
      </c>
      <c r="D457" t="s">
        <v>50</v>
      </c>
      <c r="E457" t="s">
        <v>18</v>
      </c>
      <c r="F457" t="s">
        <v>19</v>
      </c>
      <c r="G457" t="s">
        <v>27</v>
      </c>
      <c r="H457" t="s">
        <v>100</v>
      </c>
      <c r="I457" t="s">
        <v>22</v>
      </c>
      <c r="J457">
        <v>1</v>
      </c>
      <c r="K457">
        <v>21</v>
      </c>
      <c r="L457">
        <v>6</v>
      </c>
      <c r="M457">
        <v>1420667</v>
      </c>
      <c r="N457">
        <v>8524002</v>
      </c>
      <c r="O457">
        <v>6973558</v>
      </c>
      <c r="P457">
        <v>1550444</v>
      </c>
    </row>
    <row r="458" spans="1:16" x14ac:dyDescent="0.3">
      <c r="A458">
        <v>1457</v>
      </c>
      <c r="B458" t="s">
        <v>405</v>
      </c>
      <c r="C458">
        <v>2024</v>
      </c>
      <c r="D458" t="s">
        <v>17</v>
      </c>
      <c r="E458" t="s">
        <v>44</v>
      </c>
      <c r="F458" t="s">
        <v>92</v>
      </c>
      <c r="G458" t="s">
        <v>20</v>
      </c>
      <c r="H458" t="s">
        <v>100</v>
      </c>
      <c r="I458" t="s">
        <v>22</v>
      </c>
      <c r="J458">
        <v>1.2</v>
      </c>
      <c r="K458">
        <v>22</v>
      </c>
      <c r="L458">
        <v>3</v>
      </c>
      <c r="M458">
        <v>938644</v>
      </c>
      <c r="N458">
        <v>2815932</v>
      </c>
      <c r="O458">
        <v>2478048</v>
      </c>
      <c r="P458">
        <v>337884</v>
      </c>
    </row>
    <row r="459" spans="1:16" x14ac:dyDescent="0.3">
      <c r="A459">
        <v>1458</v>
      </c>
      <c r="B459" t="s">
        <v>386</v>
      </c>
      <c r="C459">
        <v>2023</v>
      </c>
      <c r="D459" t="s">
        <v>61</v>
      </c>
      <c r="E459" t="s">
        <v>25</v>
      </c>
      <c r="F459" t="s">
        <v>84</v>
      </c>
      <c r="G459" t="s">
        <v>46</v>
      </c>
      <c r="H459" t="s">
        <v>52</v>
      </c>
      <c r="I459" t="s">
        <v>22</v>
      </c>
      <c r="J459">
        <v>2</v>
      </c>
      <c r="K459">
        <v>19</v>
      </c>
      <c r="L459">
        <v>4</v>
      </c>
      <c r="M459">
        <v>862398</v>
      </c>
      <c r="N459">
        <v>3449592</v>
      </c>
      <c r="O459">
        <v>3087790</v>
      </c>
      <c r="P459">
        <v>361802</v>
      </c>
    </row>
    <row r="460" spans="1:16" x14ac:dyDescent="0.3">
      <c r="A460">
        <v>1459</v>
      </c>
      <c r="B460" t="s">
        <v>335</v>
      </c>
      <c r="C460">
        <v>2023</v>
      </c>
      <c r="D460" t="s">
        <v>61</v>
      </c>
      <c r="E460" t="s">
        <v>40</v>
      </c>
      <c r="F460" t="s">
        <v>41</v>
      </c>
      <c r="G460" t="s">
        <v>46</v>
      </c>
      <c r="H460" t="s">
        <v>63</v>
      </c>
      <c r="I460" t="s">
        <v>22</v>
      </c>
      <c r="J460">
        <v>1</v>
      </c>
      <c r="K460">
        <v>18</v>
      </c>
      <c r="L460">
        <v>3</v>
      </c>
      <c r="M460">
        <v>777431</v>
      </c>
      <c r="N460">
        <v>2332293</v>
      </c>
      <c r="O460">
        <v>2031915</v>
      </c>
      <c r="P460">
        <v>300378</v>
      </c>
    </row>
    <row r="461" spans="1:16" x14ac:dyDescent="0.3">
      <c r="A461">
        <v>1460</v>
      </c>
      <c r="B461" t="s">
        <v>406</v>
      </c>
      <c r="C461">
        <v>2024</v>
      </c>
      <c r="D461" t="s">
        <v>43</v>
      </c>
      <c r="E461" t="s">
        <v>44</v>
      </c>
      <c r="F461" t="s">
        <v>70</v>
      </c>
      <c r="G461" t="s">
        <v>20</v>
      </c>
      <c r="H461" t="s">
        <v>56</v>
      </c>
      <c r="I461" t="s">
        <v>48</v>
      </c>
      <c r="J461">
        <v>1.2</v>
      </c>
      <c r="K461">
        <v>19</v>
      </c>
      <c r="L461">
        <v>1</v>
      </c>
      <c r="M461">
        <v>684599</v>
      </c>
      <c r="N461">
        <v>684599</v>
      </c>
      <c r="O461">
        <v>516574</v>
      </c>
      <c r="P461">
        <v>168025</v>
      </c>
    </row>
    <row r="462" spans="1:16" x14ac:dyDescent="0.3">
      <c r="A462">
        <v>1461</v>
      </c>
      <c r="B462" t="s">
        <v>201</v>
      </c>
      <c r="C462">
        <v>2023</v>
      </c>
      <c r="D462" t="s">
        <v>50</v>
      </c>
      <c r="E462" t="s">
        <v>18</v>
      </c>
      <c r="F462" t="s">
        <v>107</v>
      </c>
      <c r="G462" t="s">
        <v>36</v>
      </c>
      <c r="H462" t="s">
        <v>37</v>
      </c>
      <c r="I462" t="s">
        <v>32</v>
      </c>
      <c r="J462">
        <v>2</v>
      </c>
      <c r="K462">
        <v>22</v>
      </c>
      <c r="L462">
        <v>7</v>
      </c>
      <c r="M462">
        <v>1045657</v>
      </c>
      <c r="N462">
        <v>7319599</v>
      </c>
      <c r="O462">
        <v>5561597</v>
      </c>
      <c r="P462">
        <v>1758002</v>
      </c>
    </row>
    <row r="463" spans="1:16" x14ac:dyDescent="0.3">
      <c r="A463">
        <v>1462</v>
      </c>
      <c r="B463" t="s">
        <v>407</v>
      </c>
      <c r="C463">
        <v>2024</v>
      </c>
      <c r="D463" t="s">
        <v>67</v>
      </c>
      <c r="E463" t="s">
        <v>25</v>
      </c>
      <c r="F463" t="s">
        <v>84</v>
      </c>
      <c r="G463" t="s">
        <v>59</v>
      </c>
      <c r="H463" t="s">
        <v>56</v>
      </c>
      <c r="I463" t="s">
        <v>48</v>
      </c>
      <c r="J463">
        <v>1</v>
      </c>
      <c r="K463">
        <v>22</v>
      </c>
      <c r="L463">
        <v>6</v>
      </c>
      <c r="M463">
        <v>1368633</v>
      </c>
      <c r="N463">
        <v>8211798</v>
      </c>
      <c r="O463">
        <v>7196687</v>
      </c>
      <c r="P463">
        <v>1015111</v>
      </c>
    </row>
    <row r="464" spans="1:16" x14ac:dyDescent="0.3">
      <c r="A464">
        <v>1463</v>
      </c>
      <c r="B464" t="s">
        <v>87</v>
      </c>
      <c r="C464">
        <v>2024</v>
      </c>
      <c r="D464" t="s">
        <v>67</v>
      </c>
      <c r="E464" t="s">
        <v>44</v>
      </c>
      <c r="F464" t="s">
        <v>70</v>
      </c>
      <c r="G464" t="s">
        <v>27</v>
      </c>
      <c r="H464" t="s">
        <v>52</v>
      </c>
      <c r="I464" t="s">
        <v>22</v>
      </c>
      <c r="J464">
        <v>1.5</v>
      </c>
      <c r="K464">
        <v>18</v>
      </c>
      <c r="L464">
        <v>4</v>
      </c>
      <c r="M464">
        <v>1153856</v>
      </c>
      <c r="N464">
        <v>4615424</v>
      </c>
      <c r="O464">
        <v>3657217</v>
      </c>
      <c r="P464">
        <v>958207</v>
      </c>
    </row>
    <row r="465" spans="1:16" x14ac:dyDescent="0.3">
      <c r="A465">
        <v>1464</v>
      </c>
      <c r="B465" t="s">
        <v>285</v>
      </c>
      <c r="C465">
        <v>2024</v>
      </c>
      <c r="D465" t="s">
        <v>24</v>
      </c>
      <c r="E465" t="s">
        <v>44</v>
      </c>
      <c r="F465" t="s">
        <v>45</v>
      </c>
      <c r="G465" t="s">
        <v>30</v>
      </c>
      <c r="H465" t="s">
        <v>56</v>
      </c>
      <c r="I465" t="s">
        <v>48</v>
      </c>
      <c r="J465">
        <v>1.5</v>
      </c>
      <c r="K465">
        <v>21</v>
      </c>
      <c r="L465">
        <v>4</v>
      </c>
      <c r="M465">
        <v>1066233</v>
      </c>
      <c r="N465">
        <v>4264932</v>
      </c>
      <c r="O465">
        <v>3489058</v>
      </c>
      <c r="P465">
        <v>775874</v>
      </c>
    </row>
    <row r="466" spans="1:16" x14ac:dyDescent="0.3">
      <c r="A466">
        <v>1465</v>
      </c>
      <c r="B466" t="s">
        <v>408</v>
      </c>
      <c r="C466">
        <v>2024</v>
      </c>
      <c r="D466" t="s">
        <v>50</v>
      </c>
      <c r="E466" t="s">
        <v>44</v>
      </c>
      <c r="F466" t="s">
        <v>45</v>
      </c>
      <c r="G466" t="s">
        <v>51</v>
      </c>
      <c r="H466" t="s">
        <v>63</v>
      </c>
      <c r="I466" t="s">
        <v>22</v>
      </c>
      <c r="J466">
        <v>2</v>
      </c>
      <c r="K466">
        <v>18</v>
      </c>
      <c r="L466">
        <v>1</v>
      </c>
      <c r="M466">
        <v>1476708</v>
      </c>
      <c r="N466">
        <v>1476708</v>
      </c>
      <c r="O466">
        <v>1180246</v>
      </c>
      <c r="P466">
        <v>296462</v>
      </c>
    </row>
    <row r="467" spans="1:16" x14ac:dyDescent="0.3">
      <c r="A467">
        <v>1466</v>
      </c>
      <c r="B467" t="s">
        <v>216</v>
      </c>
      <c r="C467">
        <v>2024</v>
      </c>
      <c r="D467" t="s">
        <v>74</v>
      </c>
      <c r="E467" t="s">
        <v>18</v>
      </c>
      <c r="F467" t="s">
        <v>107</v>
      </c>
      <c r="G467" t="s">
        <v>20</v>
      </c>
      <c r="H467" t="s">
        <v>100</v>
      </c>
      <c r="I467" t="s">
        <v>22</v>
      </c>
      <c r="J467">
        <v>1.2</v>
      </c>
      <c r="K467">
        <v>19</v>
      </c>
      <c r="L467">
        <v>1</v>
      </c>
      <c r="M467">
        <v>949129</v>
      </c>
      <c r="N467">
        <v>949129</v>
      </c>
      <c r="O467">
        <v>756494</v>
      </c>
      <c r="P467">
        <v>192635</v>
      </c>
    </row>
    <row r="468" spans="1:16" x14ac:dyDescent="0.3">
      <c r="A468">
        <v>1467</v>
      </c>
      <c r="B468" t="s">
        <v>57</v>
      </c>
      <c r="C468">
        <v>2024</v>
      </c>
      <c r="D468" t="s">
        <v>34</v>
      </c>
      <c r="E468" t="s">
        <v>40</v>
      </c>
      <c r="F468" t="s">
        <v>104</v>
      </c>
      <c r="G468" t="s">
        <v>20</v>
      </c>
      <c r="H468" t="s">
        <v>79</v>
      </c>
      <c r="I468" t="s">
        <v>48</v>
      </c>
      <c r="J468">
        <v>1.5</v>
      </c>
      <c r="K468">
        <v>23</v>
      </c>
      <c r="L468">
        <v>2</v>
      </c>
      <c r="M468">
        <v>639922</v>
      </c>
      <c r="N468">
        <v>1279844</v>
      </c>
      <c r="O468">
        <v>985719</v>
      </c>
      <c r="P468">
        <v>294125</v>
      </c>
    </row>
    <row r="469" spans="1:16" x14ac:dyDescent="0.3">
      <c r="A469">
        <v>1468</v>
      </c>
      <c r="B469" t="s">
        <v>409</v>
      </c>
      <c r="C469">
        <v>2024</v>
      </c>
      <c r="D469" t="s">
        <v>67</v>
      </c>
      <c r="E469" t="s">
        <v>18</v>
      </c>
      <c r="F469" t="s">
        <v>35</v>
      </c>
      <c r="G469" t="s">
        <v>30</v>
      </c>
      <c r="H469" t="s">
        <v>56</v>
      </c>
      <c r="I469" t="s">
        <v>48</v>
      </c>
      <c r="J469">
        <v>2</v>
      </c>
      <c r="K469">
        <v>20</v>
      </c>
      <c r="L469">
        <v>3</v>
      </c>
      <c r="M469">
        <v>803763</v>
      </c>
      <c r="N469">
        <v>2411289</v>
      </c>
      <c r="O469">
        <v>2118034</v>
      </c>
      <c r="P469">
        <v>293255</v>
      </c>
    </row>
    <row r="470" spans="1:16" x14ac:dyDescent="0.3">
      <c r="A470">
        <v>1469</v>
      </c>
      <c r="B470" t="s">
        <v>138</v>
      </c>
      <c r="C470">
        <v>2023</v>
      </c>
      <c r="D470" t="s">
        <v>17</v>
      </c>
      <c r="E470" t="s">
        <v>44</v>
      </c>
      <c r="F470" t="s">
        <v>92</v>
      </c>
      <c r="G470" t="s">
        <v>59</v>
      </c>
      <c r="H470" t="s">
        <v>79</v>
      </c>
      <c r="I470" t="s">
        <v>48</v>
      </c>
      <c r="J470">
        <v>1.2</v>
      </c>
      <c r="K470">
        <v>22</v>
      </c>
      <c r="L470">
        <v>7</v>
      </c>
      <c r="M470">
        <v>824622</v>
      </c>
      <c r="N470">
        <v>5772354</v>
      </c>
      <c r="O470">
        <v>4559288</v>
      </c>
      <c r="P470">
        <v>1213066</v>
      </c>
    </row>
    <row r="471" spans="1:16" x14ac:dyDescent="0.3">
      <c r="A471">
        <v>1470</v>
      </c>
      <c r="B471" t="s">
        <v>386</v>
      </c>
      <c r="C471">
        <v>2023</v>
      </c>
      <c r="D471" t="s">
        <v>61</v>
      </c>
      <c r="E471" t="s">
        <v>18</v>
      </c>
      <c r="F471" t="s">
        <v>19</v>
      </c>
      <c r="G471" t="s">
        <v>59</v>
      </c>
      <c r="H471" t="s">
        <v>100</v>
      </c>
      <c r="I471" t="s">
        <v>22</v>
      </c>
      <c r="J471">
        <v>1.5</v>
      </c>
      <c r="K471">
        <v>22</v>
      </c>
      <c r="L471">
        <v>6</v>
      </c>
      <c r="M471">
        <v>652717</v>
      </c>
      <c r="N471">
        <v>3916302</v>
      </c>
      <c r="O471">
        <v>3503160</v>
      </c>
      <c r="P471">
        <v>413142</v>
      </c>
    </row>
    <row r="472" spans="1:16" x14ac:dyDescent="0.3">
      <c r="A472">
        <v>1471</v>
      </c>
      <c r="B472" t="s">
        <v>410</v>
      </c>
      <c r="C472">
        <v>2023</v>
      </c>
      <c r="D472" t="s">
        <v>39</v>
      </c>
      <c r="E472" t="s">
        <v>18</v>
      </c>
      <c r="F472" t="s">
        <v>72</v>
      </c>
      <c r="G472" t="s">
        <v>20</v>
      </c>
      <c r="H472" t="s">
        <v>56</v>
      </c>
      <c r="I472" t="s">
        <v>48</v>
      </c>
      <c r="J472">
        <v>1</v>
      </c>
      <c r="K472">
        <v>23</v>
      </c>
      <c r="L472">
        <v>6</v>
      </c>
      <c r="M472">
        <v>1161635</v>
      </c>
      <c r="N472">
        <v>6969810</v>
      </c>
      <c r="O472">
        <v>5374818</v>
      </c>
      <c r="P472">
        <v>1594992</v>
      </c>
    </row>
    <row r="473" spans="1:16" x14ac:dyDescent="0.3">
      <c r="A473">
        <v>1472</v>
      </c>
      <c r="B473" t="s">
        <v>271</v>
      </c>
      <c r="C473">
        <v>2023</v>
      </c>
      <c r="D473" t="s">
        <v>97</v>
      </c>
      <c r="E473" t="s">
        <v>44</v>
      </c>
      <c r="F473" t="s">
        <v>45</v>
      </c>
      <c r="G473" t="s">
        <v>20</v>
      </c>
      <c r="H473" t="s">
        <v>56</v>
      </c>
      <c r="I473" t="s">
        <v>48</v>
      </c>
      <c r="J473">
        <v>1.2</v>
      </c>
      <c r="K473">
        <v>21</v>
      </c>
      <c r="L473">
        <v>1</v>
      </c>
      <c r="M473">
        <v>905027</v>
      </c>
      <c r="N473">
        <v>905027</v>
      </c>
      <c r="O473">
        <v>760621</v>
      </c>
      <c r="P473">
        <v>144406</v>
      </c>
    </row>
    <row r="474" spans="1:16" x14ac:dyDescent="0.3">
      <c r="A474">
        <v>1473</v>
      </c>
      <c r="B474" t="s">
        <v>411</v>
      </c>
      <c r="C474">
        <v>2023</v>
      </c>
      <c r="D474" t="s">
        <v>61</v>
      </c>
      <c r="E474" t="s">
        <v>44</v>
      </c>
      <c r="F474" t="s">
        <v>45</v>
      </c>
      <c r="G474" t="s">
        <v>51</v>
      </c>
      <c r="H474" t="s">
        <v>63</v>
      </c>
      <c r="I474" t="s">
        <v>22</v>
      </c>
      <c r="J474">
        <v>1</v>
      </c>
      <c r="K474">
        <v>22</v>
      </c>
      <c r="L474">
        <v>6</v>
      </c>
      <c r="M474">
        <v>1212701</v>
      </c>
      <c r="N474">
        <v>7276206</v>
      </c>
      <c r="O474">
        <v>6290917</v>
      </c>
      <c r="P474">
        <v>985289</v>
      </c>
    </row>
    <row r="475" spans="1:16" x14ac:dyDescent="0.3">
      <c r="A475">
        <v>1474</v>
      </c>
      <c r="B475" t="s">
        <v>220</v>
      </c>
      <c r="C475">
        <v>2024</v>
      </c>
      <c r="D475" t="s">
        <v>43</v>
      </c>
      <c r="E475" t="s">
        <v>44</v>
      </c>
      <c r="F475" t="s">
        <v>70</v>
      </c>
      <c r="G475" t="s">
        <v>51</v>
      </c>
      <c r="H475" t="s">
        <v>54</v>
      </c>
      <c r="I475" t="s">
        <v>48</v>
      </c>
      <c r="J475">
        <v>1</v>
      </c>
      <c r="K475">
        <v>18</v>
      </c>
      <c r="L475">
        <v>6</v>
      </c>
      <c r="M475">
        <v>1245005</v>
      </c>
      <c r="N475">
        <v>7470030</v>
      </c>
      <c r="O475">
        <v>6033316</v>
      </c>
      <c r="P475">
        <v>1436714</v>
      </c>
    </row>
    <row r="476" spans="1:16" x14ac:dyDescent="0.3">
      <c r="A476">
        <v>1475</v>
      </c>
      <c r="B476" t="s">
        <v>412</v>
      </c>
      <c r="C476">
        <v>2023</v>
      </c>
      <c r="D476" t="s">
        <v>50</v>
      </c>
      <c r="E476" t="s">
        <v>18</v>
      </c>
      <c r="F476" t="s">
        <v>107</v>
      </c>
      <c r="G476" t="s">
        <v>27</v>
      </c>
      <c r="H476" t="s">
        <v>31</v>
      </c>
      <c r="I476" t="s">
        <v>32</v>
      </c>
      <c r="J476">
        <v>1</v>
      </c>
      <c r="K476">
        <v>20</v>
      </c>
      <c r="L476">
        <v>6</v>
      </c>
      <c r="M476">
        <v>1272068</v>
      </c>
      <c r="N476">
        <v>7632408</v>
      </c>
      <c r="O476">
        <v>6319150</v>
      </c>
      <c r="P476">
        <v>1313258</v>
      </c>
    </row>
    <row r="477" spans="1:16" x14ac:dyDescent="0.3">
      <c r="A477">
        <v>1476</v>
      </c>
      <c r="B477" t="s">
        <v>413</v>
      </c>
      <c r="C477">
        <v>2023</v>
      </c>
      <c r="D477" t="s">
        <v>76</v>
      </c>
      <c r="E477" t="s">
        <v>25</v>
      </c>
      <c r="F477" t="s">
        <v>84</v>
      </c>
      <c r="G477" t="s">
        <v>59</v>
      </c>
      <c r="H477" t="s">
        <v>54</v>
      </c>
      <c r="I477" t="s">
        <v>48</v>
      </c>
      <c r="J477">
        <v>2</v>
      </c>
      <c r="K477">
        <v>16</v>
      </c>
      <c r="L477">
        <v>2</v>
      </c>
      <c r="M477">
        <v>704352</v>
      </c>
      <c r="N477">
        <v>1408704</v>
      </c>
      <c r="O477">
        <v>1243970</v>
      </c>
      <c r="P477">
        <v>164734</v>
      </c>
    </row>
    <row r="478" spans="1:16" x14ac:dyDescent="0.3">
      <c r="A478">
        <v>1477</v>
      </c>
      <c r="B478" t="s">
        <v>414</v>
      </c>
      <c r="C478">
        <v>2024</v>
      </c>
      <c r="D478" t="s">
        <v>50</v>
      </c>
      <c r="E478" t="s">
        <v>18</v>
      </c>
      <c r="F478" t="s">
        <v>72</v>
      </c>
      <c r="G478" t="s">
        <v>90</v>
      </c>
      <c r="H478" t="s">
        <v>79</v>
      </c>
      <c r="I478" t="s">
        <v>48</v>
      </c>
      <c r="J478">
        <v>2</v>
      </c>
      <c r="K478">
        <v>16</v>
      </c>
      <c r="L478">
        <v>7</v>
      </c>
      <c r="M478">
        <v>936077</v>
      </c>
      <c r="N478">
        <v>6552539</v>
      </c>
      <c r="O478">
        <v>5851702</v>
      </c>
      <c r="P478">
        <v>700837</v>
      </c>
    </row>
    <row r="479" spans="1:16" x14ac:dyDescent="0.3">
      <c r="A479">
        <v>1478</v>
      </c>
      <c r="B479" t="s">
        <v>415</v>
      </c>
      <c r="C479">
        <v>2023</v>
      </c>
      <c r="D479" t="s">
        <v>24</v>
      </c>
      <c r="E479" t="s">
        <v>44</v>
      </c>
      <c r="F479" t="s">
        <v>62</v>
      </c>
      <c r="G479" t="s">
        <v>36</v>
      </c>
      <c r="H479" t="s">
        <v>52</v>
      </c>
      <c r="I479" t="s">
        <v>22</v>
      </c>
      <c r="J479">
        <v>1.5</v>
      </c>
      <c r="K479">
        <v>20</v>
      </c>
      <c r="L479">
        <v>3</v>
      </c>
      <c r="M479">
        <v>766580</v>
      </c>
      <c r="N479">
        <v>2299740</v>
      </c>
      <c r="O479">
        <v>1940425</v>
      </c>
      <c r="P479">
        <v>359315</v>
      </c>
    </row>
    <row r="480" spans="1:16" x14ac:dyDescent="0.3">
      <c r="A480">
        <v>1479</v>
      </c>
      <c r="B480" t="s">
        <v>416</v>
      </c>
      <c r="C480">
        <v>2023</v>
      </c>
      <c r="D480" t="s">
        <v>39</v>
      </c>
      <c r="E480" t="s">
        <v>18</v>
      </c>
      <c r="F480" t="s">
        <v>72</v>
      </c>
      <c r="G480" t="s">
        <v>46</v>
      </c>
      <c r="H480" t="s">
        <v>63</v>
      </c>
      <c r="I480" t="s">
        <v>22</v>
      </c>
      <c r="J480">
        <v>2</v>
      </c>
      <c r="K480">
        <v>16</v>
      </c>
      <c r="L480">
        <v>3</v>
      </c>
      <c r="M480">
        <v>962275</v>
      </c>
      <c r="N480">
        <v>2886825</v>
      </c>
      <c r="O480">
        <v>2332766</v>
      </c>
      <c r="P480">
        <v>554059</v>
      </c>
    </row>
    <row r="481" spans="1:16" x14ac:dyDescent="0.3">
      <c r="A481">
        <v>1480</v>
      </c>
      <c r="B481" t="s">
        <v>417</v>
      </c>
      <c r="C481">
        <v>2024</v>
      </c>
      <c r="D481" t="s">
        <v>34</v>
      </c>
      <c r="E481" t="s">
        <v>25</v>
      </c>
      <c r="F481" t="s">
        <v>26</v>
      </c>
      <c r="G481" t="s">
        <v>20</v>
      </c>
      <c r="H481" t="s">
        <v>63</v>
      </c>
      <c r="I481" t="s">
        <v>22</v>
      </c>
      <c r="J481">
        <v>1.5</v>
      </c>
      <c r="K481">
        <v>20</v>
      </c>
      <c r="L481">
        <v>5</v>
      </c>
      <c r="M481">
        <v>1243901</v>
      </c>
      <c r="N481">
        <v>6219505</v>
      </c>
      <c r="O481">
        <v>5467944</v>
      </c>
      <c r="P481">
        <v>751561</v>
      </c>
    </row>
    <row r="482" spans="1:16" x14ac:dyDescent="0.3">
      <c r="A482">
        <v>1481</v>
      </c>
      <c r="B482" t="s">
        <v>106</v>
      </c>
      <c r="C482">
        <v>2024</v>
      </c>
      <c r="D482" t="s">
        <v>74</v>
      </c>
      <c r="E482" t="s">
        <v>40</v>
      </c>
      <c r="F482" t="s">
        <v>41</v>
      </c>
      <c r="G482" t="s">
        <v>36</v>
      </c>
      <c r="H482" t="s">
        <v>79</v>
      </c>
      <c r="I482" t="s">
        <v>48</v>
      </c>
      <c r="J482">
        <v>1</v>
      </c>
      <c r="K482">
        <v>16</v>
      </c>
      <c r="L482">
        <v>1</v>
      </c>
      <c r="M482">
        <v>1344744</v>
      </c>
      <c r="N482">
        <v>1344744</v>
      </c>
      <c r="O482">
        <v>1185238</v>
      </c>
      <c r="P482">
        <v>159506</v>
      </c>
    </row>
    <row r="483" spans="1:16" x14ac:dyDescent="0.3">
      <c r="A483">
        <v>1482</v>
      </c>
      <c r="B483" t="s">
        <v>418</v>
      </c>
      <c r="C483">
        <v>2023</v>
      </c>
      <c r="D483" t="s">
        <v>43</v>
      </c>
      <c r="E483" t="s">
        <v>25</v>
      </c>
      <c r="F483" t="s">
        <v>58</v>
      </c>
      <c r="G483" t="s">
        <v>27</v>
      </c>
      <c r="H483" t="s">
        <v>31</v>
      </c>
      <c r="I483" t="s">
        <v>32</v>
      </c>
      <c r="J483">
        <v>1</v>
      </c>
      <c r="K483">
        <v>19</v>
      </c>
      <c r="L483">
        <v>1</v>
      </c>
      <c r="M483">
        <v>905514</v>
      </c>
      <c r="N483">
        <v>905514</v>
      </c>
      <c r="O483">
        <v>796229</v>
      </c>
      <c r="P483">
        <v>109285</v>
      </c>
    </row>
    <row r="484" spans="1:16" x14ac:dyDescent="0.3">
      <c r="A484">
        <v>1483</v>
      </c>
      <c r="B484" t="s">
        <v>419</v>
      </c>
      <c r="C484">
        <v>2024</v>
      </c>
      <c r="D484" t="s">
        <v>39</v>
      </c>
      <c r="E484" t="s">
        <v>44</v>
      </c>
      <c r="F484" t="s">
        <v>62</v>
      </c>
      <c r="G484" t="s">
        <v>27</v>
      </c>
      <c r="H484" t="s">
        <v>31</v>
      </c>
      <c r="I484" t="s">
        <v>32</v>
      </c>
      <c r="J484">
        <v>2</v>
      </c>
      <c r="K484">
        <v>16</v>
      </c>
      <c r="L484">
        <v>7</v>
      </c>
      <c r="M484">
        <v>615130</v>
      </c>
      <c r="N484">
        <v>4305910</v>
      </c>
      <c r="O484">
        <v>3581028</v>
      </c>
      <c r="P484">
        <v>724882</v>
      </c>
    </row>
    <row r="485" spans="1:16" x14ac:dyDescent="0.3">
      <c r="A485">
        <v>1484</v>
      </c>
      <c r="B485" t="s">
        <v>420</v>
      </c>
      <c r="C485">
        <v>2023</v>
      </c>
      <c r="D485" t="s">
        <v>29</v>
      </c>
      <c r="E485" t="s">
        <v>18</v>
      </c>
      <c r="F485" t="s">
        <v>72</v>
      </c>
      <c r="G485" t="s">
        <v>90</v>
      </c>
      <c r="H485" t="s">
        <v>63</v>
      </c>
      <c r="I485" t="s">
        <v>22</v>
      </c>
      <c r="J485">
        <v>1</v>
      </c>
      <c r="K485">
        <v>20</v>
      </c>
      <c r="L485">
        <v>1</v>
      </c>
      <c r="M485">
        <v>909700</v>
      </c>
      <c r="N485">
        <v>909700</v>
      </c>
      <c r="O485">
        <v>794244</v>
      </c>
      <c r="P485">
        <v>115456</v>
      </c>
    </row>
    <row r="486" spans="1:16" x14ac:dyDescent="0.3">
      <c r="A486">
        <v>1485</v>
      </c>
      <c r="B486" t="s">
        <v>421</v>
      </c>
      <c r="C486">
        <v>2024</v>
      </c>
      <c r="D486" t="s">
        <v>61</v>
      </c>
      <c r="E486" t="s">
        <v>40</v>
      </c>
      <c r="F486" t="s">
        <v>41</v>
      </c>
      <c r="G486" t="s">
        <v>46</v>
      </c>
      <c r="H486" t="s">
        <v>56</v>
      </c>
      <c r="I486" t="s">
        <v>48</v>
      </c>
      <c r="J486">
        <v>1.2</v>
      </c>
      <c r="K486">
        <v>18</v>
      </c>
      <c r="L486">
        <v>6</v>
      </c>
      <c r="M486">
        <v>793504</v>
      </c>
      <c r="N486">
        <v>4761024</v>
      </c>
      <c r="O486">
        <v>4067186</v>
      </c>
      <c r="P486">
        <v>693838</v>
      </c>
    </row>
    <row r="487" spans="1:16" x14ac:dyDescent="0.3">
      <c r="A487">
        <v>1486</v>
      </c>
      <c r="B487" t="s">
        <v>422</v>
      </c>
      <c r="C487">
        <v>2023</v>
      </c>
      <c r="D487" t="s">
        <v>67</v>
      </c>
      <c r="E487" t="s">
        <v>44</v>
      </c>
      <c r="F487" t="s">
        <v>92</v>
      </c>
      <c r="G487" t="s">
        <v>46</v>
      </c>
      <c r="H487" t="s">
        <v>100</v>
      </c>
      <c r="I487" t="s">
        <v>22</v>
      </c>
      <c r="J487">
        <v>1.2</v>
      </c>
      <c r="K487">
        <v>21</v>
      </c>
      <c r="L487">
        <v>6</v>
      </c>
      <c r="M487">
        <v>1219312</v>
      </c>
      <c r="N487">
        <v>7315872</v>
      </c>
      <c r="O487">
        <v>5521635</v>
      </c>
      <c r="P487">
        <v>1794237</v>
      </c>
    </row>
    <row r="488" spans="1:16" x14ac:dyDescent="0.3">
      <c r="A488">
        <v>1487</v>
      </c>
      <c r="B488" t="s">
        <v>201</v>
      </c>
      <c r="C488">
        <v>2023</v>
      </c>
      <c r="D488" t="s">
        <v>50</v>
      </c>
      <c r="E488" t="s">
        <v>40</v>
      </c>
      <c r="F488" t="s">
        <v>41</v>
      </c>
      <c r="G488" t="s">
        <v>36</v>
      </c>
      <c r="H488" t="s">
        <v>54</v>
      </c>
      <c r="I488" t="s">
        <v>48</v>
      </c>
      <c r="J488">
        <v>2</v>
      </c>
      <c r="K488">
        <v>21</v>
      </c>
      <c r="L488">
        <v>2</v>
      </c>
      <c r="M488">
        <v>1373139</v>
      </c>
      <c r="N488">
        <v>2746278</v>
      </c>
      <c r="O488">
        <v>2460594</v>
      </c>
      <c r="P488">
        <v>285684</v>
      </c>
    </row>
    <row r="489" spans="1:16" x14ac:dyDescent="0.3">
      <c r="A489">
        <v>1488</v>
      </c>
      <c r="B489" t="s">
        <v>423</v>
      </c>
      <c r="C489">
        <v>2024</v>
      </c>
      <c r="D489" t="s">
        <v>39</v>
      </c>
      <c r="E489" t="s">
        <v>40</v>
      </c>
      <c r="F489" t="s">
        <v>104</v>
      </c>
      <c r="G489" t="s">
        <v>30</v>
      </c>
      <c r="H489" t="s">
        <v>56</v>
      </c>
      <c r="I489" t="s">
        <v>48</v>
      </c>
      <c r="J489">
        <v>2</v>
      </c>
      <c r="K489">
        <v>20</v>
      </c>
      <c r="L489">
        <v>6</v>
      </c>
      <c r="M489">
        <v>1473627</v>
      </c>
      <c r="N489">
        <v>8841762</v>
      </c>
      <c r="O489">
        <v>7510710</v>
      </c>
      <c r="P489">
        <v>1331052</v>
      </c>
    </row>
    <row r="490" spans="1:16" x14ac:dyDescent="0.3">
      <c r="A490">
        <v>1489</v>
      </c>
      <c r="B490" t="s">
        <v>424</v>
      </c>
      <c r="C490">
        <v>2023</v>
      </c>
      <c r="D490" t="s">
        <v>34</v>
      </c>
      <c r="E490" t="s">
        <v>25</v>
      </c>
      <c r="F490" t="s">
        <v>26</v>
      </c>
      <c r="G490" t="s">
        <v>20</v>
      </c>
      <c r="H490" t="s">
        <v>21</v>
      </c>
      <c r="I490" t="s">
        <v>22</v>
      </c>
      <c r="J490">
        <v>2</v>
      </c>
      <c r="K490">
        <v>22</v>
      </c>
      <c r="L490">
        <v>1</v>
      </c>
      <c r="M490">
        <v>603443</v>
      </c>
      <c r="N490">
        <v>603443</v>
      </c>
      <c r="O490">
        <v>510209</v>
      </c>
      <c r="P490">
        <v>93234</v>
      </c>
    </row>
    <row r="491" spans="1:16" x14ac:dyDescent="0.3">
      <c r="A491">
        <v>1490</v>
      </c>
      <c r="B491" t="s">
        <v>425</v>
      </c>
      <c r="C491">
        <v>2023</v>
      </c>
      <c r="D491" t="s">
        <v>39</v>
      </c>
      <c r="E491" t="s">
        <v>25</v>
      </c>
      <c r="F491" t="s">
        <v>77</v>
      </c>
      <c r="G491" t="s">
        <v>90</v>
      </c>
      <c r="H491" t="s">
        <v>79</v>
      </c>
      <c r="I491" t="s">
        <v>48</v>
      </c>
      <c r="J491">
        <v>1.5</v>
      </c>
      <c r="K491">
        <v>18</v>
      </c>
      <c r="L491">
        <v>7</v>
      </c>
      <c r="M491">
        <v>601958</v>
      </c>
      <c r="N491">
        <v>4213706</v>
      </c>
      <c r="O491">
        <v>3232624</v>
      </c>
      <c r="P491">
        <v>981082</v>
      </c>
    </row>
    <row r="492" spans="1:16" x14ac:dyDescent="0.3">
      <c r="A492">
        <v>1491</v>
      </c>
      <c r="B492" t="s">
        <v>426</v>
      </c>
      <c r="C492">
        <v>2024</v>
      </c>
      <c r="D492" t="s">
        <v>74</v>
      </c>
      <c r="E492" t="s">
        <v>44</v>
      </c>
      <c r="F492" t="s">
        <v>70</v>
      </c>
      <c r="G492" t="s">
        <v>20</v>
      </c>
      <c r="H492" t="s">
        <v>54</v>
      </c>
      <c r="I492" t="s">
        <v>48</v>
      </c>
      <c r="J492">
        <v>1.5</v>
      </c>
      <c r="K492">
        <v>16</v>
      </c>
      <c r="L492">
        <v>6</v>
      </c>
      <c r="M492">
        <v>1303241</v>
      </c>
      <c r="N492">
        <v>7819446</v>
      </c>
      <c r="O492">
        <v>6175599</v>
      </c>
      <c r="P492">
        <v>1643847</v>
      </c>
    </row>
    <row r="493" spans="1:16" x14ac:dyDescent="0.3">
      <c r="A493">
        <v>1492</v>
      </c>
      <c r="B493" t="s">
        <v>427</v>
      </c>
      <c r="C493">
        <v>2024</v>
      </c>
      <c r="D493" t="s">
        <v>50</v>
      </c>
      <c r="E493" t="s">
        <v>40</v>
      </c>
      <c r="F493" t="s">
        <v>41</v>
      </c>
      <c r="G493" t="s">
        <v>20</v>
      </c>
      <c r="H493" t="s">
        <v>56</v>
      </c>
      <c r="I493" t="s">
        <v>48</v>
      </c>
      <c r="J493">
        <v>1</v>
      </c>
      <c r="K493">
        <v>21</v>
      </c>
      <c r="L493">
        <v>8</v>
      </c>
      <c r="M493">
        <v>1145501</v>
      </c>
      <c r="N493">
        <v>9164008</v>
      </c>
      <c r="O493">
        <v>7927196</v>
      </c>
      <c r="P493">
        <v>1236812</v>
      </c>
    </row>
    <row r="494" spans="1:16" x14ac:dyDescent="0.3">
      <c r="A494">
        <v>1493</v>
      </c>
      <c r="B494" t="s">
        <v>428</v>
      </c>
      <c r="C494">
        <v>2024</v>
      </c>
      <c r="D494" t="s">
        <v>17</v>
      </c>
      <c r="E494" t="s">
        <v>40</v>
      </c>
      <c r="F494" t="s">
        <v>120</v>
      </c>
      <c r="G494" t="s">
        <v>30</v>
      </c>
      <c r="H494" t="s">
        <v>52</v>
      </c>
      <c r="I494" t="s">
        <v>22</v>
      </c>
      <c r="J494">
        <v>2</v>
      </c>
      <c r="K494">
        <v>20</v>
      </c>
      <c r="L494">
        <v>7</v>
      </c>
      <c r="M494">
        <v>997867</v>
      </c>
      <c r="N494">
        <v>6985069</v>
      </c>
      <c r="O494">
        <v>6114624</v>
      </c>
      <c r="P494">
        <v>870445</v>
      </c>
    </row>
    <row r="495" spans="1:16" x14ac:dyDescent="0.3">
      <c r="A495">
        <v>1494</v>
      </c>
      <c r="B495" t="s">
        <v>364</v>
      </c>
      <c r="C495">
        <v>2024</v>
      </c>
      <c r="D495" t="s">
        <v>50</v>
      </c>
      <c r="E495" t="s">
        <v>44</v>
      </c>
      <c r="F495" t="s">
        <v>70</v>
      </c>
      <c r="G495" t="s">
        <v>59</v>
      </c>
      <c r="H495" t="s">
        <v>79</v>
      </c>
      <c r="I495" t="s">
        <v>48</v>
      </c>
      <c r="J495">
        <v>1.2</v>
      </c>
      <c r="K495">
        <v>16</v>
      </c>
      <c r="L495">
        <v>8</v>
      </c>
      <c r="M495">
        <v>897976</v>
      </c>
      <c r="N495">
        <v>7183808</v>
      </c>
      <c r="O495">
        <v>6313562</v>
      </c>
      <c r="P495">
        <v>870246</v>
      </c>
    </row>
    <row r="496" spans="1:16" x14ac:dyDescent="0.3">
      <c r="A496">
        <v>1495</v>
      </c>
      <c r="B496" t="s">
        <v>204</v>
      </c>
      <c r="C496">
        <v>2023</v>
      </c>
      <c r="D496" t="s">
        <v>29</v>
      </c>
      <c r="E496" t="s">
        <v>44</v>
      </c>
      <c r="F496" t="s">
        <v>45</v>
      </c>
      <c r="G496" t="s">
        <v>30</v>
      </c>
      <c r="H496" t="s">
        <v>52</v>
      </c>
      <c r="I496" t="s">
        <v>22</v>
      </c>
      <c r="J496">
        <v>1</v>
      </c>
      <c r="K496">
        <v>18</v>
      </c>
      <c r="L496">
        <v>7</v>
      </c>
      <c r="M496">
        <v>1220096</v>
      </c>
      <c r="N496">
        <v>8540672</v>
      </c>
      <c r="O496">
        <v>7127722</v>
      </c>
      <c r="P496">
        <v>1412950</v>
      </c>
    </row>
    <row r="497" spans="1:16" x14ac:dyDescent="0.3">
      <c r="A497">
        <v>1496</v>
      </c>
      <c r="B497" t="s">
        <v>429</v>
      </c>
      <c r="C497">
        <v>2023</v>
      </c>
      <c r="D497" t="s">
        <v>24</v>
      </c>
      <c r="E497" t="s">
        <v>40</v>
      </c>
      <c r="F497" t="s">
        <v>104</v>
      </c>
      <c r="G497" t="s">
        <v>90</v>
      </c>
      <c r="H497" t="s">
        <v>63</v>
      </c>
      <c r="I497" t="s">
        <v>22</v>
      </c>
      <c r="J497">
        <v>1.5</v>
      </c>
      <c r="K497">
        <v>20</v>
      </c>
      <c r="L497">
        <v>5</v>
      </c>
      <c r="M497">
        <v>749267</v>
      </c>
      <c r="N497">
        <v>3746335</v>
      </c>
      <c r="O497">
        <v>2872712</v>
      </c>
      <c r="P497">
        <v>873623</v>
      </c>
    </row>
    <row r="498" spans="1:16" x14ac:dyDescent="0.3">
      <c r="A498">
        <v>1497</v>
      </c>
      <c r="B498" t="s">
        <v>376</v>
      </c>
      <c r="C498">
        <v>2023</v>
      </c>
      <c r="D498" t="s">
        <v>50</v>
      </c>
      <c r="E498" t="s">
        <v>44</v>
      </c>
      <c r="F498" t="s">
        <v>92</v>
      </c>
      <c r="G498" t="s">
        <v>90</v>
      </c>
      <c r="H498" t="s">
        <v>52</v>
      </c>
      <c r="I498" t="s">
        <v>22</v>
      </c>
      <c r="J498">
        <v>2</v>
      </c>
      <c r="K498">
        <v>16</v>
      </c>
      <c r="L498">
        <v>7</v>
      </c>
      <c r="M498">
        <v>979579</v>
      </c>
      <c r="N498">
        <v>6857053</v>
      </c>
      <c r="O498">
        <v>6097612</v>
      </c>
      <c r="P498">
        <v>759441</v>
      </c>
    </row>
    <row r="499" spans="1:16" x14ac:dyDescent="0.3">
      <c r="A499">
        <v>1498</v>
      </c>
      <c r="B499" t="s">
        <v>341</v>
      </c>
      <c r="C499">
        <v>2024</v>
      </c>
      <c r="D499" t="s">
        <v>39</v>
      </c>
      <c r="E499" t="s">
        <v>25</v>
      </c>
      <c r="F499" t="s">
        <v>84</v>
      </c>
      <c r="G499" t="s">
        <v>59</v>
      </c>
      <c r="H499" t="s">
        <v>47</v>
      </c>
      <c r="I499" t="s">
        <v>48</v>
      </c>
      <c r="J499">
        <v>1.5</v>
      </c>
      <c r="K499">
        <v>22</v>
      </c>
      <c r="L499">
        <v>8</v>
      </c>
      <c r="M499">
        <v>1249733</v>
      </c>
      <c r="N499">
        <v>9997864</v>
      </c>
      <c r="O499">
        <v>8844891</v>
      </c>
      <c r="P499">
        <v>1152973</v>
      </c>
    </row>
    <row r="500" spans="1:16" x14ac:dyDescent="0.3">
      <c r="A500">
        <v>1499</v>
      </c>
      <c r="B500" t="s">
        <v>412</v>
      </c>
      <c r="C500">
        <v>2023</v>
      </c>
      <c r="D500" t="s">
        <v>50</v>
      </c>
      <c r="E500" t="s">
        <v>25</v>
      </c>
      <c r="F500" t="s">
        <v>84</v>
      </c>
      <c r="G500" t="s">
        <v>90</v>
      </c>
      <c r="H500" t="s">
        <v>79</v>
      </c>
      <c r="I500" t="s">
        <v>48</v>
      </c>
      <c r="J500">
        <v>1.5</v>
      </c>
      <c r="K500">
        <v>23</v>
      </c>
      <c r="L500">
        <v>7</v>
      </c>
      <c r="M500">
        <v>1406756</v>
      </c>
      <c r="N500">
        <v>9847292</v>
      </c>
      <c r="O500">
        <v>7851078</v>
      </c>
      <c r="P500">
        <v>1996214</v>
      </c>
    </row>
    <row r="501" spans="1:16" x14ac:dyDescent="0.3">
      <c r="A501">
        <v>1500</v>
      </c>
      <c r="B501" t="s">
        <v>430</v>
      </c>
      <c r="C501">
        <v>2024</v>
      </c>
      <c r="D501" t="s">
        <v>39</v>
      </c>
      <c r="E501" t="s">
        <v>40</v>
      </c>
      <c r="F501" t="s">
        <v>120</v>
      </c>
      <c r="G501" t="s">
        <v>51</v>
      </c>
      <c r="H501" t="s">
        <v>100</v>
      </c>
      <c r="I501" t="s">
        <v>22</v>
      </c>
      <c r="J501">
        <v>1.5</v>
      </c>
      <c r="K501">
        <v>20</v>
      </c>
      <c r="L501">
        <v>7</v>
      </c>
      <c r="M501">
        <v>1240714</v>
      </c>
      <c r="N501">
        <v>8684998</v>
      </c>
      <c r="O501">
        <v>6980532</v>
      </c>
      <c r="P501">
        <v>1704466</v>
      </c>
    </row>
    <row r="502" spans="1:16" x14ac:dyDescent="0.3">
      <c r="A502">
        <v>1501</v>
      </c>
      <c r="B502" t="s">
        <v>431</v>
      </c>
      <c r="C502">
        <v>2024</v>
      </c>
      <c r="D502" t="s">
        <v>61</v>
      </c>
      <c r="E502" t="s">
        <v>40</v>
      </c>
      <c r="F502" t="s">
        <v>120</v>
      </c>
      <c r="G502" t="s">
        <v>30</v>
      </c>
      <c r="H502" t="s">
        <v>52</v>
      </c>
      <c r="I502" t="s">
        <v>22</v>
      </c>
      <c r="J502">
        <v>2</v>
      </c>
      <c r="K502">
        <v>20</v>
      </c>
      <c r="L502">
        <v>2</v>
      </c>
      <c r="M502">
        <v>1320419</v>
      </c>
      <c r="N502">
        <v>2640838</v>
      </c>
      <c r="O502">
        <v>2306772</v>
      </c>
      <c r="P502">
        <v>334066</v>
      </c>
    </row>
    <row r="503" spans="1:16" x14ac:dyDescent="0.3">
      <c r="A503">
        <v>1502</v>
      </c>
      <c r="B503" t="s">
        <v>256</v>
      </c>
      <c r="C503">
        <v>2024</v>
      </c>
      <c r="D503" t="s">
        <v>39</v>
      </c>
      <c r="E503" t="s">
        <v>44</v>
      </c>
      <c r="F503" t="s">
        <v>45</v>
      </c>
      <c r="G503" t="s">
        <v>27</v>
      </c>
      <c r="H503" t="s">
        <v>31</v>
      </c>
      <c r="I503" t="s">
        <v>32</v>
      </c>
      <c r="J503">
        <v>2</v>
      </c>
      <c r="K503">
        <v>22</v>
      </c>
      <c r="L503">
        <v>5</v>
      </c>
      <c r="M503">
        <v>1235526</v>
      </c>
      <c r="N503">
        <v>6177630</v>
      </c>
      <c r="O503">
        <v>5441054</v>
      </c>
      <c r="P503">
        <v>736576</v>
      </c>
    </row>
    <row r="504" spans="1:16" x14ac:dyDescent="0.3">
      <c r="A504">
        <v>1503</v>
      </c>
      <c r="B504" t="s">
        <v>432</v>
      </c>
      <c r="C504">
        <v>2024</v>
      </c>
      <c r="D504" t="s">
        <v>24</v>
      </c>
      <c r="E504" t="s">
        <v>40</v>
      </c>
      <c r="F504" t="s">
        <v>104</v>
      </c>
      <c r="G504" t="s">
        <v>20</v>
      </c>
      <c r="H504" t="s">
        <v>100</v>
      </c>
      <c r="I504" t="s">
        <v>22</v>
      </c>
      <c r="J504">
        <v>1</v>
      </c>
      <c r="K504">
        <v>23</v>
      </c>
      <c r="L504">
        <v>3</v>
      </c>
      <c r="M504">
        <v>1294046</v>
      </c>
      <c r="N504">
        <v>3882138</v>
      </c>
      <c r="O504">
        <v>3222814</v>
      </c>
      <c r="P504">
        <v>659324</v>
      </c>
    </row>
    <row r="505" spans="1:16" x14ac:dyDescent="0.3">
      <c r="A505">
        <v>1504</v>
      </c>
      <c r="B505" t="s">
        <v>339</v>
      </c>
      <c r="C505">
        <v>2024</v>
      </c>
      <c r="D505" t="s">
        <v>76</v>
      </c>
      <c r="E505" t="s">
        <v>18</v>
      </c>
      <c r="F505" t="s">
        <v>35</v>
      </c>
      <c r="G505" t="s">
        <v>59</v>
      </c>
      <c r="H505" t="s">
        <v>37</v>
      </c>
      <c r="I505" t="s">
        <v>32</v>
      </c>
      <c r="J505">
        <v>1</v>
      </c>
      <c r="K505">
        <v>22</v>
      </c>
      <c r="L505">
        <v>6</v>
      </c>
      <c r="M505">
        <v>675745</v>
      </c>
      <c r="N505">
        <v>4054470</v>
      </c>
      <c r="O505">
        <v>3295023</v>
      </c>
      <c r="P505">
        <v>759447</v>
      </c>
    </row>
    <row r="506" spans="1:16" x14ac:dyDescent="0.3">
      <c r="A506">
        <v>1505</v>
      </c>
      <c r="B506" t="s">
        <v>279</v>
      </c>
      <c r="C506">
        <v>2023</v>
      </c>
      <c r="D506" t="s">
        <v>43</v>
      </c>
      <c r="E506" t="s">
        <v>44</v>
      </c>
      <c r="F506" t="s">
        <v>70</v>
      </c>
      <c r="G506" t="s">
        <v>30</v>
      </c>
      <c r="H506" t="s">
        <v>47</v>
      </c>
      <c r="I506" t="s">
        <v>48</v>
      </c>
      <c r="J506">
        <v>1.2</v>
      </c>
      <c r="K506">
        <v>19</v>
      </c>
      <c r="L506">
        <v>8</v>
      </c>
      <c r="M506">
        <v>1302995</v>
      </c>
      <c r="N506">
        <v>10423960</v>
      </c>
      <c r="O506">
        <v>9248928</v>
      </c>
      <c r="P506">
        <v>1175032</v>
      </c>
    </row>
    <row r="507" spans="1:16" x14ac:dyDescent="0.3">
      <c r="A507">
        <v>1506</v>
      </c>
      <c r="B507" t="s">
        <v>146</v>
      </c>
      <c r="C507">
        <v>2023</v>
      </c>
      <c r="D507" t="s">
        <v>29</v>
      </c>
      <c r="E507" t="s">
        <v>25</v>
      </c>
      <c r="F507" t="s">
        <v>77</v>
      </c>
      <c r="G507" t="s">
        <v>46</v>
      </c>
      <c r="H507" t="s">
        <v>63</v>
      </c>
      <c r="I507" t="s">
        <v>22</v>
      </c>
      <c r="J507">
        <v>1.5</v>
      </c>
      <c r="K507">
        <v>21</v>
      </c>
      <c r="L507">
        <v>1</v>
      </c>
      <c r="M507">
        <v>735972</v>
      </c>
      <c r="N507">
        <v>735972</v>
      </c>
      <c r="O507">
        <v>644614</v>
      </c>
      <c r="P507">
        <v>91358</v>
      </c>
    </row>
    <row r="508" spans="1:16" x14ac:dyDescent="0.3">
      <c r="A508">
        <v>1507</v>
      </c>
      <c r="B508" t="s">
        <v>102</v>
      </c>
      <c r="C508">
        <v>2023</v>
      </c>
      <c r="D508" t="s">
        <v>29</v>
      </c>
      <c r="E508" t="s">
        <v>44</v>
      </c>
      <c r="F508" t="s">
        <v>92</v>
      </c>
      <c r="G508" t="s">
        <v>27</v>
      </c>
      <c r="H508" t="s">
        <v>52</v>
      </c>
      <c r="I508" t="s">
        <v>22</v>
      </c>
      <c r="J508">
        <v>2</v>
      </c>
      <c r="K508">
        <v>19</v>
      </c>
      <c r="L508">
        <v>1</v>
      </c>
      <c r="M508">
        <v>629964</v>
      </c>
      <c r="N508">
        <v>629964</v>
      </c>
      <c r="O508">
        <v>555328</v>
      </c>
      <c r="P508">
        <v>74636</v>
      </c>
    </row>
    <row r="509" spans="1:16" x14ac:dyDescent="0.3">
      <c r="A509">
        <v>1508</v>
      </c>
      <c r="B509" t="s">
        <v>433</v>
      </c>
      <c r="C509">
        <v>2024</v>
      </c>
      <c r="D509" t="s">
        <v>43</v>
      </c>
      <c r="E509" t="s">
        <v>44</v>
      </c>
      <c r="F509" t="s">
        <v>62</v>
      </c>
      <c r="G509" t="s">
        <v>59</v>
      </c>
      <c r="H509" t="s">
        <v>54</v>
      </c>
      <c r="I509" t="s">
        <v>48</v>
      </c>
      <c r="J509">
        <v>1</v>
      </c>
      <c r="K509">
        <v>21</v>
      </c>
      <c r="L509">
        <v>3</v>
      </c>
      <c r="M509">
        <v>702200</v>
      </c>
      <c r="N509">
        <v>2106600</v>
      </c>
      <c r="O509">
        <v>1675520</v>
      </c>
      <c r="P509">
        <v>431080</v>
      </c>
    </row>
    <row r="510" spans="1:16" x14ac:dyDescent="0.3">
      <c r="A510">
        <v>1509</v>
      </c>
      <c r="B510" t="s">
        <v>99</v>
      </c>
      <c r="C510">
        <v>2024</v>
      </c>
      <c r="D510" t="s">
        <v>74</v>
      </c>
      <c r="E510" t="s">
        <v>18</v>
      </c>
      <c r="F510" t="s">
        <v>19</v>
      </c>
      <c r="G510" t="s">
        <v>46</v>
      </c>
      <c r="H510" t="s">
        <v>100</v>
      </c>
      <c r="I510" t="s">
        <v>22</v>
      </c>
      <c r="J510">
        <v>1.5</v>
      </c>
      <c r="K510">
        <v>16</v>
      </c>
      <c r="L510">
        <v>7</v>
      </c>
      <c r="M510">
        <v>1356830</v>
      </c>
      <c r="N510">
        <v>9497810</v>
      </c>
      <c r="O510">
        <v>7992644</v>
      </c>
      <c r="P510">
        <v>1505166</v>
      </c>
    </row>
    <row r="511" spans="1:16" x14ac:dyDescent="0.3">
      <c r="A511">
        <v>1510</v>
      </c>
      <c r="B511" t="s">
        <v>434</v>
      </c>
      <c r="C511">
        <v>2023</v>
      </c>
      <c r="D511" t="s">
        <v>17</v>
      </c>
      <c r="E511" t="s">
        <v>40</v>
      </c>
      <c r="F511" t="s">
        <v>41</v>
      </c>
      <c r="G511" t="s">
        <v>59</v>
      </c>
      <c r="H511" t="s">
        <v>21</v>
      </c>
      <c r="I511" t="s">
        <v>22</v>
      </c>
      <c r="J511">
        <v>1.5</v>
      </c>
      <c r="K511">
        <v>23</v>
      </c>
      <c r="L511">
        <v>5</v>
      </c>
      <c r="M511">
        <v>886006</v>
      </c>
      <c r="N511">
        <v>4430030</v>
      </c>
      <c r="O511">
        <v>3712982</v>
      </c>
      <c r="P511">
        <v>717048</v>
      </c>
    </row>
    <row r="512" spans="1:16" x14ac:dyDescent="0.3">
      <c r="A512">
        <v>1511</v>
      </c>
      <c r="B512" t="s">
        <v>435</v>
      </c>
      <c r="C512">
        <v>2023</v>
      </c>
      <c r="D512" t="s">
        <v>29</v>
      </c>
      <c r="E512" t="s">
        <v>44</v>
      </c>
      <c r="F512" t="s">
        <v>70</v>
      </c>
      <c r="G512" t="s">
        <v>59</v>
      </c>
      <c r="H512" t="s">
        <v>31</v>
      </c>
      <c r="I512" t="s">
        <v>32</v>
      </c>
      <c r="J512">
        <v>1.5</v>
      </c>
      <c r="K512">
        <v>16</v>
      </c>
      <c r="L512">
        <v>2</v>
      </c>
      <c r="M512">
        <v>1477003</v>
      </c>
      <c r="N512">
        <v>2954006</v>
      </c>
      <c r="O512">
        <v>2511027</v>
      </c>
      <c r="P512">
        <v>442979</v>
      </c>
    </row>
    <row r="513" spans="1:16" x14ac:dyDescent="0.3">
      <c r="A513">
        <v>1512</v>
      </c>
      <c r="B513" t="s">
        <v>312</v>
      </c>
      <c r="C513">
        <v>2024</v>
      </c>
      <c r="D513" t="s">
        <v>34</v>
      </c>
      <c r="E513" t="s">
        <v>18</v>
      </c>
      <c r="F513" t="s">
        <v>107</v>
      </c>
      <c r="G513" t="s">
        <v>59</v>
      </c>
      <c r="H513" t="s">
        <v>52</v>
      </c>
      <c r="I513" t="s">
        <v>22</v>
      </c>
      <c r="J513">
        <v>1</v>
      </c>
      <c r="K513">
        <v>18</v>
      </c>
      <c r="L513">
        <v>7</v>
      </c>
      <c r="M513">
        <v>1446962</v>
      </c>
      <c r="N513">
        <v>10128734</v>
      </c>
      <c r="O513">
        <v>8819918</v>
      </c>
      <c r="P513">
        <v>1308816</v>
      </c>
    </row>
    <row r="514" spans="1:16" x14ac:dyDescent="0.3">
      <c r="A514">
        <v>1513</v>
      </c>
      <c r="B514" t="s">
        <v>436</v>
      </c>
      <c r="C514">
        <v>2024</v>
      </c>
      <c r="D514" t="s">
        <v>29</v>
      </c>
      <c r="E514" t="s">
        <v>25</v>
      </c>
      <c r="F514" t="s">
        <v>84</v>
      </c>
      <c r="G514" t="s">
        <v>59</v>
      </c>
      <c r="H514" t="s">
        <v>79</v>
      </c>
      <c r="I514" t="s">
        <v>48</v>
      </c>
      <c r="J514">
        <v>1.2</v>
      </c>
      <c r="K514">
        <v>21</v>
      </c>
      <c r="L514">
        <v>1</v>
      </c>
      <c r="M514">
        <v>1231622</v>
      </c>
      <c r="N514">
        <v>1231622</v>
      </c>
      <c r="O514">
        <v>966028</v>
      </c>
      <c r="P514">
        <v>265594</v>
      </c>
    </row>
    <row r="515" spans="1:16" x14ac:dyDescent="0.3">
      <c r="A515">
        <v>1514</v>
      </c>
      <c r="B515" t="s">
        <v>437</v>
      </c>
      <c r="C515">
        <v>2024</v>
      </c>
      <c r="D515" t="s">
        <v>97</v>
      </c>
      <c r="E515" t="s">
        <v>40</v>
      </c>
      <c r="F515" t="s">
        <v>68</v>
      </c>
      <c r="G515" t="s">
        <v>46</v>
      </c>
      <c r="H515" t="s">
        <v>63</v>
      </c>
      <c r="I515" t="s">
        <v>22</v>
      </c>
      <c r="J515">
        <v>1.2</v>
      </c>
      <c r="K515">
        <v>16</v>
      </c>
      <c r="L515">
        <v>2</v>
      </c>
      <c r="M515">
        <v>1070151</v>
      </c>
      <c r="N515">
        <v>2140302</v>
      </c>
      <c r="O515">
        <v>1675381</v>
      </c>
      <c r="P515">
        <v>464921</v>
      </c>
    </row>
    <row r="516" spans="1:16" x14ac:dyDescent="0.3">
      <c r="A516">
        <v>1515</v>
      </c>
      <c r="B516" t="s">
        <v>339</v>
      </c>
      <c r="C516">
        <v>2024</v>
      </c>
      <c r="D516" t="s">
        <v>76</v>
      </c>
      <c r="E516" t="s">
        <v>18</v>
      </c>
      <c r="F516" t="s">
        <v>35</v>
      </c>
      <c r="G516" t="s">
        <v>20</v>
      </c>
      <c r="H516" t="s">
        <v>54</v>
      </c>
      <c r="I516" t="s">
        <v>48</v>
      </c>
      <c r="J516">
        <v>1.2</v>
      </c>
      <c r="K516">
        <v>21</v>
      </c>
      <c r="L516">
        <v>6</v>
      </c>
      <c r="M516">
        <v>1069589</v>
      </c>
      <c r="N516">
        <v>6417534</v>
      </c>
      <c r="O516">
        <v>5394344</v>
      </c>
      <c r="P516">
        <v>1023190</v>
      </c>
    </row>
    <row r="517" spans="1:16" x14ac:dyDescent="0.3">
      <c r="A517">
        <v>1516</v>
      </c>
      <c r="B517" t="s">
        <v>438</v>
      </c>
      <c r="C517">
        <v>2024</v>
      </c>
      <c r="D517" t="s">
        <v>29</v>
      </c>
      <c r="E517" t="s">
        <v>18</v>
      </c>
      <c r="F517" t="s">
        <v>72</v>
      </c>
      <c r="G517" t="s">
        <v>46</v>
      </c>
      <c r="H517" t="s">
        <v>21</v>
      </c>
      <c r="I517" t="s">
        <v>22</v>
      </c>
      <c r="J517">
        <v>1.2</v>
      </c>
      <c r="K517">
        <v>23</v>
      </c>
      <c r="L517">
        <v>2</v>
      </c>
      <c r="M517">
        <v>820578</v>
      </c>
      <c r="N517">
        <v>1641156</v>
      </c>
      <c r="O517">
        <v>1458350</v>
      </c>
      <c r="P517">
        <v>182806</v>
      </c>
    </row>
    <row r="518" spans="1:16" x14ac:dyDescent="0.3">
      <c r="A518">
        <v>1517</v>
      </c>
      <c r="B518" t="s">
        <v>439</v>
      </c>
      <c r="C518">
        <v>2024</v>
      </c>
      <c r="D518" t="s">
        <v>67</v>
      </c>
      <c r="E518" t="s">
        <v>44</v>
      </c>
      <c r="F518" t="s">
        <v>70</v>
      </c>
      <c r="G518" t="s">
        <v>27</v>
      </c>
      <c r="H518" t="s">
        <v>47</v>
      </c>
      <c r="I518" t="s">
        <v>48</v>
      </c>
      <c r="J518">
        <v>1</v>
      </c>
      <c r="K518">
        <v>16</v>
      </c>
      <c r="L518">
        <v>1</v>
      </c>
      <c r="M518">
        <v>1192480</v>
      </c>
      <c r="N518">
        <v>1192480</v>
      </c>
      <c r="O518">
        <v>1064941</v>
      </c>
      <c r="P518">
        <v>127539</v>
      </c>
    </row>
    <row r="519" spans="1:16" x14ac:dyDescent="0.3">
      <c r="A519">
        <v>1518</v>
      </c>
      <c r="B519" t="s">
        <v>440</v>
      </c>
      <c r="C519">
        <v>2023</v>
      </c>
      <c r="D519" t="s">
        <v>34</v>
      </c>
      <c r="E519" t="s">
        <v>25</v>
      </c>
      <c r="F519" t="s">
        <v>26</v>
      </c>
      <c r="G519" t="s">
        <v>30</v>
      </c>
      <c r="H519" t="s">
        <v>79</v>
      </c>
      <c r="I519" t="s">
        <v>48</v>
      </c>
      <c r="J519">
        <v>1.2</v>
      </c>
      <c r="K519">
        <v>20</v>
      </c>
      <c r="L519">
        <v>6</v>
      </c>
      <c r="M519">
        <v>1424080</v>
      </c>
      <c r="N519">
        <v>8544480</v>
      </c>
      <c r="O519">
        <v>6617153</v>
      </c>
      <c r="P519">
        <v>1927327</v>
      </c>
    </row>
    <row r="520" spans="1:16" x14ac:dyDescent="0.3">
      <c r="A520">
        <v>1519</v>
      </c>
      <c r="B520" t="s">
        <v>441</v>
      </c>
      <c r="C520">
        <v>2023</v>
      </c>
      <c r="D520" t="s">
        <v>61</v>
      </c>
      <c r="E520" t="s">
        <v>18</v>
      </c>
      <c r="F520" t="s">
        <v>19</v>
      </c>
      <c r="G520" t="s">
        <v>46</v>
      </c>
      <c r="H520" t="s">
        <v>52</v>
      </c>
      <c r="I520" t="s">
        <v>22</v>
      </c>
      <c r="J520">
        <v>2</v>
      </c>
      <c r="K520">
        <v>16</v>
      </c>
      <c r="L520">
        <v>7</v>
      </c>
      <c r="M520">
        <v>751969</v>
      </c>
      <c r="N520">
        <v>5263783</v>
      </c>
      <c r="O520">
        <v>4336469</v>
      </c>
      <c r="P520">
        <v>927314</v>
      </c>
    </row>
    <row r="521" spans="1:16" x14ac:dyDescent="0.3">
      <c r="A521">
        <v>1520</v>
      </c>
      <c r="B521" t="s">
        <v>164</v>
      </c>
      <c r="C521">
        <v>2023</v>
      </c>
      <c r="D521" t="s">
        <v>43</v>
      </c>
      <c r="E521" t="s">
        <v>40</v>
      </c>
      <c r="F521" t="s">
        <v>41</v>
      </c>
      <c r="G521" t="s">
        <v>30</v>
      </c>
      <c r="H521" t="s">
        <v>37</v>
      </c>
      <c r="I521" t="s">
        <v>32</v>
      </c>
      <c r="J521">
        <v>1.5</v>
      </c>
      <c r="K521">
        <v>19</v>
      </c>
      <c r="L521">
        <v>5</v>
      </c>
      <c r="M521">
        <v>1488194</v>
      </c>
      <c r="N521">
        <v>7440970</v>
      </c>
      <c r="O521">
        <v>5721635</v>
      </c>
      <c r="P521">
        <v>1719335</v>
      </c>
    </row>
    <row r="522" spans="1:16" x14ac:dyDescent="0.3">
      <c r="A522">
        <v>1521</v>
      </c>
      <c r="B522" t="s">
        <v>442</v>
      </c>
      <c r="C522">
        <v>2023</v>
      </c>
      <c r="D522" t="s">
        <v>29</v>
      </c>
      <c r="E522" t="s">
        <v>40</v>
      </c>
      <c r="F522" t="s">
        <v>68</v>
      </c>
      <c r="G522" t="s">
        <v>90</v>
      </c>
      <c r="H522" t="s">
        <v>56</v>
      </c>
      <c r="I522" t="s">
        <v>48</v>
      </c>
      <c r="J522">
        <v>1.5</v>
      </c>
      <c r="K522">
        <v>20</v>
      </c>
      <c r="L522">
        <v>2</v>
      </c>
      <c r="M522">
        <v>862693</v>
      </c>
      <c r="N522">
        <v>1725386</v>
      </c>
      <c r="O522">
        <v>1365698</v>
      </c>
      <c r="P522">
        <v>359688</v>
      </c>
    </row>
    <row r="523" spans="1:16" x14ac:dyDescent="0.3">
      <c r="A523">
        <v>1522</v>
      </c>
      <c r="B523" t="s">
        <v>443</v>
      </c>
      <c r="C523">
        <v>2024</v>
      </c>
      <c r="D523" t="s">
        <v>50</v>
      </c>
      <c r="E523" t="s">
        <v>44</v>
      </c>
      <c r="F523" t="s">
        <v>70</v>
      </c>
      <c r="G523" t="s">
        <v>90</v>
      </c>
      <c r="H523" t="s">
        <v>63</v>
      </c>
      <c r="I523" t="s">
        <v>22</v>
      </c>
      <c r="J523">
        <v>2</v>
      </c>
      <c r="K523">
        <v>23</v>
      </c>
      <c r="L523">
        <v>4</v>
      </c>
      <c r="M523">
        <v>1157642</v>
      </c>
      <c r="N523">
        <v>4630568</v>
      </c>
      <c r="O523">
        <v>3737551</v>
      </c>
      <c r="P523">
        <v>893017</v>
      </c>
    </row>
    <row r="524" spans="1:16" x14ac:dyDescent="0.3">
      <c r="A524">
        <v>1523</v>
      </c>
      <c r="B524" t="s">
        <v>81</v>
      </c>
      <c r="C524">
        <v>2023</v>
      </c>
      <c r="D524" t="s">
        <v>74</v>
      </c>
      <c r="E524" t="s">
        <v>18</v>
      </c>
      <c r="F524" t="s">
        <v>107</v>
      </c>
      <c r="G524" t="s">
        <v>30</v>
      </c>
      <c r="H524" t="s">
        <v>52</v>
      </c>
      <c r="I524" t="s">
        <v>22</v>
      </c>
      <c r="J524">
        <v>1.5</v>
      </c>
      <c r="K524">
        <v>21</v>
      </c>
      <c r="L524">
        <v>5</v>
      </c>
      <c r="M524">
        <v>1479491</v>
      </c>
      <c r="N524">
        <v>7397455</v>
      </c>
      <c r="O524">
        <v>6046937</v>
      </c>
      <c r="P524">
        <v>1350518</v>
      </c>
    </row>
    <row r="525" spans="1:16" x14ac:dyDescent="0.3">
      <c r="A525">
        <v>1524</v>
      </c>
      <c r="B525" t="s">
        <v>444</v>
      </c>
      <c r="C525">
        <v>2024</v>
      </c>
      <c r="D525" t="s">
        <v>29</v>
      </c>
      <c r="E525" t="s">
        <v>44</v>
      </c>
      <c r="F525" t="s">
        <v>92</v>
      </c>
      <c r="G525" t="s">
        <v>90</v>
      </c>
      <c r="H525" t="s">
        <v>56</v>
      </c>
      <c r="I525" t="s">
        <v>48</v>
      </c>
      <c r="J525">
        <v>1.2</v>
      </c>
      <c r="K525">
        <v>16</v>
      </c>
      <c r="L525">
        <v>2</v>
      </c>
      <c r="M525">
        <v>1093048</v>
      </c>
      <c r="N525">
        <v>2186096</v>
      </c>
      <c r="O525">
        <v>1841727</v>
      </c>
      <c r="P525">
        <v>344369</v>
      </c>
    </row>
    <row r="526" spans="1:16" x14ac:dyDescent="0.3">
      <c r="A526">
        <v>1525</v>
      </c>
      <c r="B526" t="s">
        <v>259</v>
      </c>
      <c r="C526">
        <v>2024</v>
      </c>
      <c r="D526" t="s">
        <v>67</v>
      </c>
      <c r="E526" t="s">
        <v>44</v>
      </c>
      <c r="F526" t="s">
        <v>92</v>
      </c>
      <c r="G526" t="s">
        <v>51</v>
      </c>
      <c r="H526" t="s">
        <v>52</v>
      </c>
      <c r="I526" t="s">
        <v>22</v>
      </c>
      <c r="J526">
        <v>1</v>
      </c>
      <c r="K526">
        <v>19</v>
      </c>
      <c r="L526">
        <v>7</v>
      </c>
      <c r="M526">
        <v>1484669</v>
      </c>
      <c r="N526">
        <v>10392683</v>
      </c>
      <c r="O526">
        <v>8080592</v>
      </c>
      <c r="P526">
        <v>2312091</v>
      </c>
    </row>
    <row r="527" spans="1:16" x14ac:dyDescent="0.3">
      <c r="A527">
        <v>1526</v>
      </c>
      <c r="B527" t="s">
        <v>93</v>
      </c>
      <c r="C527">
        <v>2023</v>
      </c>
      <c r="D527" t="s">
        <v>34</v>
      </c>
      <c r="E527" t="s">
        <v>25</v>
      </c>
      <c r="F527" t="s">
        <v>26</v>
      </c>
      <c r="G527" t="s">
        <v>59</v>
      </c>
      <c r="H527" t="s">
        <v>21</v>
      </c>
      <c r="I527" t="s">
        <v>22</v>
      </c>
      <c r="J527">
        <v>2</v>
      </c>
      <c r="K527">
        <v>18</v>
      </c>
      <c r="L527">
        <v>4</v>
      </c>
      <c r="M527">
        <v>648778</v>
      </c>
      <c r="N527">
        <v>2595112</v>
      </c>
      <c r="O527">
        <v>2030069</v>
      </c>
      <c r="P527">
        <v>565043</v>
      </c>
    </row>
    <row r="528" spans="1:16" x14ac:dyDescent="0.3">
      <c r="A528">
        <v>1527</v>
      </c>
      <c r="B528" t="s">
        <v>445</v>
      </c>
      <c r="C528">
        <v>2023</v>
      </c>
      <c r="D528" t="s">
        <v>50</v>
      </c>
      <c r="E528" t="s">
        <v>44</v>
      </c>
      <c r="F528" t="s">
        <v>70</v>
      </c>
      <c r="G528" t="s">
        <v>20</v>
      </c>
      <c r="H528" t="s">
        <v>37</v>
      </c>
      <c r="I528" t="s">
        <v>32</v>
      </c>
      <c r="J528">
        <v>1</v>
      </c>
      <c r="K528">
        <v>19</v>
      </c>
      <c r="L528">
        <v>1</v>
      </c>
      <c r="M528">
        <v>1116121</v>
      </c>
      <c r="N528">
        <v>1116121</v>
      </c>
      <c r="O528">
        <v>989816</v>
      </c>
      <c r="P528">
        <v>126305</v>
      </c>
    </row>
    <row r="529" spans="1:16" x14ac:dyDescent="0.3">
      <c r="A529">
        <v>1528</v>
      </c>
      <c r="B529" t="s">
        <v>446</v>
      </c>
      <c r="C529">
        <v>2023</v>
      </c>
      <c r="D529" t="s">
        <v>74</v>
      </c>
      <c r="E529" t="s">
        <v>18</v>
      </c>
      <c r="F529" t="s">
        <v>35</v>
      </c>
      <c r="G529" t="s">
        <v>51</v>
      </c>
      <c r="H529" t="s">
        <v>52</v>
      </c>
      <c r="I529" t="s">
        <v>22</v>
      </c>
      <c r="J529">
        <v>1.2</v>
      </c>
      <c r="K529">
        <v>19</v>
      </c>
      <c r="L529">
        <v>4</v>
      </c>
      <c r="M529">
        <v>1177370</v>
      </c>
      <c r="N529">
        <v>4709480</v>
      </c>
      <c r="O529">
        <v>3705996</v>
      </c>
      <c r="P529">
        <v>1003484</v>
      </c>
    </row>
    <row r="530" spans="1:16" x14ac:dyDescent="0.3">
      <c r="A530">
        <v>1529</v>
      </c>
      <c r="B530" t="s">
        <v>447</v>
      </c>
      <c r="C530">
        <v>2023</v>
      </c>
      <c r="D530" t="s">
        <v>17</v>
      </c>
      <c r="E530" t="s">
        <v>44</v>
      </c>
      <c r="F530" t="s">
        <v>70</v>
      </c>
      <c r="G530" t="s">
        <v>46</v>
      </c>
      <c r="H530" t="s">
        <v>56</v>
      </c>
      <c r="I530" t="s">
        <v>48</v>
      </c>
      <c r="J530">
        <v>1</v>
      </c>
      <c r="K530">
        <v>20</v>
      </c>
      <c r="L530">
        <v>3</v>
      </c>
      <c r="M530">
        <v>1370564</v>
      </c>
      <c r="N530">
        <v>4111692</v>
      </c>
      <c r="O530">
        <v>3341773</v>
      </c>
      <c r="P530">
        <v>769919</v>
      </c>
    </row>
    <row r="531" spans="1:16" x14ac:dyDescent="0.3">
      <c r="A531">
        <v>1530</v>
      </c>
      <c r="B531" t="s">
        <v>448</v>
      </c>
      <c r="C531">
        <v>2023</v>
      </c>
      <c r="D531" t="s">
        <v>67</v>
      </c>
      <c r="E531" t="s">
        <v>25</v>
      </c>
      <c r="F531" t="s">
        <v>77</v>
      </c>
      <c r="G531" t="s">
        <v>59</v>
      </c>
      <c r="H531" t="s">
        <v>52</v>
      </c>
      <c r="I531" t="s">
        <v>22</v>
      </c>
      <c r="J531">
        <v>1.2</v>
      </c>
      <c r="K531">
        <v>19</v>
      </c>
      <c r="L531">
        <v>2</v>
      </c>
      <c r="M531">
        <v>746385</v>
      </c>
      <c r="N531">
        <v>1492770</v>
      </c>
      <c r="O531">
        <v>1200854</v>
      </c>
      <c r="P531">
        <v>291916</v>
      </c>
    </row>
    <row r="532" spans="1:16" x14ac:dyDescent="0.3">
      <c r="A532">
        <v>1531</v>
      </c>
      <c r="B532" t="s">
        <v>449</v>
      </c>
      <c r="C532">
        <v>2024</v>
      </c>
      <c r="D532" t="s">
        <v>29</v>
      </c>
      <c r="E532" t="s">
        <v>18</v>
      </c>
      <c r="F532" t="s">
        <v>35</v>
      </c>
      <c r="G532" t="s">
        <v>36</v>
      </c>
      <c r="H532" t="s">
        <v>21</v>
      </c>
      <c r="I532" t="s">
        <v>22</v>
      </c>
      <c r="J532">
        <v>1.5</v>
      </c>
      <c r="K532">
        <v>18</v>
      </c>
      <c r="L532">
        <v>6</v>
      </c>
      <c r="M532">
        <v>929777</v>
      </c>
      <c r="N532">
        <v>5578662</v>
      </c>
      <c r="O532">
        <v>4914180</v>
      </c>
      <c r="P532">
        <v>664482</v>
      </c>
    </row>
    <row r="533" spans="1:16" x14ac:dyDescent="0.3">
      <c r="A533">
        <v>1532</v>
      </c>
      <c r="B533" t="s">
        <v>269</v>
      </c>
      <c r="C533">
        <v>2023</v>
      </c>
      <c r="D533" t="s">
        <v>24</v>
      </c>
      <c r="E533" t="s">
        <v>18</v>
      </c>
      <c r="F533" t="s">
        <v>19</v>
      </c>
      <c r="G533" t="s">
        <v>51</v>
      </c>
      <c r="H533" t="s">
        <v>54</v>
      </c>
      <c r="I533" t="s">
        <v>48</v>
      </c>
      <c r="J533">
        <v>1.2</v>
      </c>
      <c r="K533">
        <v>23</v>
      </c>
      <c r="L533">
        <v>2</v>
      </c>
      <c r="M533">
        <v>1059376</v>
      </c>
      <c r="N533">
        <v>2118752</v>
      </c>
      <c r="O533">
        <v>1770272</v>
      </c>
      <c r="P533">
        <v>348480</v>
      </c>
    </row>
    <row r="534" spans="1:16" x14ac:dyDescent="0.3">
      <c r="A534">
        <v>1533</v>
      </c>
      <c r="B534" t="s">
        <v>450</v>
      </c>
      <c r="C534">
        <v>2024</v>
      </c>
      <c r="D534" t="s">
        <v>43</v>
      </c>
      <c r="E534" t="s">
        <v>18</v>
      </c>
      <c r="F534" t="s">
        <v>72</v>
      </c>
      <c r="G534" t="s">
        <v>30</v>
      </c>
      <c r="H534" t="s">
        <v>52</v>
      </c>
      <c r="I534" t="s">
        <v>22</v>
      </c>
      <c r="J534">
        <v>1.5</v>
      </c>
      <c r="K534">
        <v>16</v>
      </c>
      <c r="L534">
        <v>6</v>
      </c>
      <c r="M534">
        <v>1359148</v>
      </c>
      <c r="N534">
        <v>8154888</v>
      </c>
      <c r="O534">
        <v>7257286</v>
      </c>
      <c r="P534">
        <v>897602</v>
      </c>
    </row>
    <row r="535" spans="1:16" x14ac:dyDescent="0.3">
      <c r="A535">
        <v>1534</v>
      </c>
      <c r="B535" t="s">
        <v>365</v>
      </c>
      <c r="C535">
        <v>2024</v>
      </c>
      <c r="D535" t="s">
        <v>61</v>
      </c>
      <c r="E535" t="s">
        <v>44</v>
      </c>
      <c r="F535" t="s">
        <v>62</v>
      </c>
      <c r="G535" t="s">
        <v>36</v>
      </c>
      <c r="H535" t="s">
        <v>52</v>
      </c>
      <c r="I535" t="s">
        <v>22</v>
      </c>
      <c r="J535">
        <v>1.5</v>
      </c>
      <c r="K535">
        <v>18</v>
      </c>
      <c r="L535">
        <v>1</v>
      </c>
      <c r="M535">
        <v>882273</v>
      </c>
      <c r="N535">
        <v>882273</v>
      </c>
      <c r="O535">
        <v>722593</v>
      </c>
      <c r="P535">
        <v>159680</v>
      </c>
    </row>
    <row r="536" spans="1:16" x14ac:dyDescent="0.3">
      <c r="A536">
        <v>1535</v>
      </c>
      <c r="B536" t="s">
        <v>336</v>
      </c>
      <c r="C536">
        <v>2024</v>
      </c>
      <c r="D536" t="s">
        <v>34</v>
      </c>
      <c r="E536" t="s">
        <v>40</v>
      </c>
      <c r="F536" t="s">
        <v>104</v>
      </c>
      <c r="G536" t="s">
        <v>59</v>
      </c>
      <c r="H536" t="s">
        <v>47</v>
      </c>
      <c r="I536" t="s">
        <v>48</v>
      </c>
      <c r="J536">
        <v>2</v>
      </c>
      <c r="K536">
        <v>23</v>
      </c>
      <c r="L536">
        <v>4</v>
      </c>
      <c r="M536">
        <v>1385089</v>
      </c>
      <c r="N536">
        <v>5540356</v>
      </c>
      <c r="O536">
        <v>4827260</v>
      </c>
      <c r="P536">
        <v>713096</v>
      </c>
    </row>
    <row r="537" spans="1:16" x14ac:dyDescent="0.3">
      <c r="A537">
        <v>1536</v>
      </c>
      <c r="B537" t="s">
        <v>451</v>
      </c>
      <c r="C537">
        <v>2023</v>
      </c>
      <c r="D537" t="s">
        <v>39</v>
      </c>
      <c r="E537" t="s">
        <v>18</v>
      </c>
      <c r="F537" t="s">
        <v>35</v>
      </c>
      <c r="G537" t="s">
        <v>27</v>
      </c>
      <c r="H537" t="s">
        <v>47</v>
      </c>
      <c r="I537" t="s">
        <v>48</v>
      </c>
      <c r="J537">
        <v>2</v>
      </c>
      <c r="K537">
        <v>18</v>
      </c>
      <c r="L537">
        <v>3</v>
      </c>
      <c r="M537">
        <v>840350</v>
      </c>
      <c r="N537">
        <v>2521050</v>
      </c>
      <c r="O537">
        <v>2115045</v>
      </c>
      <c r="P537">
        <v>406005</v>
      </c>
    </row>
    <row r="538" spans="1:16" x14ac:dyDescent="0.3">
      <c r="A538">
        <v>1537</v>
      </c>
      <c r="B538" t="s">
        <v>452</v>
      </c>
      <c r="C538">
        <v>2024</v>
      </c>
      <c r="D538" t="s">
        <v>34</v>
      </c>
      <c r="E538" t="s">
        <v>44</v>
      </c>
      <c r="F538" t="s">
        <v>70</v>
      </c>
      <c r="G538" t="s">
        <v>20</v>
      </c>
      <c r="H538" t="s">
        <v>52</v>
      </c>
      <c r="I538" t="s">
        <v>22</v>
      </c>
      <c r="J538">
        <v>1.5</v>
      </c>
      <c r="K538">
        <v>18</v>
      </c>
      <c r="L538">
        <v>6</v>
      </c>
      <c r="M538">
        <v>1022374</v>
      </c>
      <c r="N538">
        <v>6134244</v>
      </c>
      <c r="O538">
        <v>5472328</v>
      </c>
      <c r="P538">
        <v>661916</v>
      </c>
    </row>
    <row r="539" spans="1:16" x14ac:dyDescent="0.3">
      <c r="A539">
        <v>1538</v>
      </c>
      <c r="B539" t="s">
        <v>453</v>
      </c>
      <c r="C539">
        <v>2023</v>
      </c>
      <c r="D539" t="s">
        <v>61</v>
      </c>
      <c r="E539" t="s">
        <v>18</v>
      </c>
      <c r="F539" t="s">
        <v>19</v>
      </c>
      <c r="G539" t="s">
        <v>20</v>
      </c>
      <c r="H539" t="s">
        <v>37</v>
      </c>
      <c r="I539" t="s">
        <v>32</v>
      </c>
      <c r="J539">
        <v>1.5</v>
      </c>
      <c r="K539">
        <v>23</v>
      </c>
      <c r="L539">
        <v>1</v>
      </c>
      <c r="M539">
        <v>689718</v>
      </c>
      <c r="N539">
        <v>689718</v>
      </c>
      <c r="O539">
        <v>607566</v>
      </c>
      <c r="P539">
        <v>82152</v>
      </c>
    </row>
    <row r="540" spans="1:16" x14ac:dyDescent="0.3">
      <c r="A540">
        <v>1539</v>
      </c>
      <c r="B540" t="s">
        <v>454</v>
      </c>
      <c r="C540">
        <v>2024</v>
      </c>
      <c r="D540" t="s">
        <v>39</v>
      </c>
      <c r="E540" t="s">
        <v>44</v>
      </c>
      <c r="F540" t="s">
        <v>45</v>
      </c>
      <c r="G540" t="s">
        <v>59</v>
      </c>
      <c r="H540" t="s">
        <v>47</v>
      </c>
      <c r="I540" t="s">
        <v>48</v>
      </c>
      <c r="J540">
        <v>1</v>
      </c>
      <c r="K540">
        <v>19</v>
      </c>
      <c r="L540">
        <v>8</v>
      </c>
      <c r="M540">
        <v>1430110</v>
      </c>
      <c r="N540">
        <v>11440880</v>
      </c>
      <c r="O540">
        <v>8701321</v>
      </c>
      <c r="P540">
        <v>2739559</v>
      </c>
    </row>
    <row r="541" spans="1:16" x14ac:dyDescent="0.3">
      <c r="A541">
        <v>1540</v>
      </c>
      <c r="B541" t="s">
        <v>455</v>
      </c>
      <c r="C541">
        <v>2024</v>
      </c>
      <c r="D541" t="s">
        <v>39</v>
      </c>
      <c r="E541" t="s">
        <v>18</v>
      </c>
      <c r="F541" t="s">
        <v>72</v>
      </c>
      <c r="G541" t="s">
        <v>36</v>
      </c>
      <c r="H541" t="s">
        <v>63</v>
      </c>
      <c r="I541" t="s">
        <v>22</v>
      </c>
      <c r="J541">
        <v>1.2</v>
      </c>
      <c r="K541">
        <v>23</v>
      </c>
      <c r="L541">
        <v>8</v>
      </c>
      <c r="M541">
        <v>1404594</v>
      </c>
      <c r="N541">
        <v>11236752</v>
      </c>
      <c r="O541">
        <v>8575511</v>
      </c>
      <c r="P541">
        <v>2661241</v>
      </c>
    </row>
    <row r="542" spans="1:16" x14ac:dyDescent="0.3">
      <c r="A542">
        <v>1541</v>
      </c>
      <c r="B542" t="s">
        <v>456</v>
      </c>
      <c r="C542">
        <v>2024</v>
      </c>
      <c r="D542" t="s">
        <v>61</v>
      </c>
      <c r="E542" t="s">
        <v>44</v>
      </c>
      <c r="F542" t="s">
        <v>45</v>
      </c>
      <c r="G542" t="s">
        <v>59</v>
      </c>
      <c r="H542" t="s">
        <v>100</v>
      </c>
      <c r="I542" t="s">
        <v>22</v>
      </c>
      <c r="J542">
        <v>1</v>
      </c>
      <c r="K542">
        <v>20</v>
      </c>
      <c r="L542">
        <v>7</v>
      </c>
      <c r="M542">
        <v>1250401</v>
      </c>
      <c r="N542">
        <v>8752807</v>
      </c>
      <c r="O542">
        <v>7261036</v>
      </c>
      <c r="P542">
        <v>1491771</v>
      </c>
    </row>
    <row r="543" spans="1:16" x14ac:dyDescent="0.3">
      <c r="A543">
        <v>1542</v>
      </c>
      <c r="B543" t="s">
        <v>331</v>
      </c>
      <c r="C543">
        <v>2024</v>
      </c>
      <c r="D543" t="s">
        <v>74</v>
      </c>
      <c r="E543" t="s">
        <v>18</v>
      </c>
      <c r="F543" t="s">
        <v>107</v>
      </c>
      <c r="G543" t="s">
        <v>27</v>
      </c>
      <c r="H543" t="s">
        <v>63</v>
      </c>
      <c r="I543" t="s">
        <v>22</v>
      </c>
      <c r="J543">
        <v>1.5</v>
      </c>
      <c r="K543">
        <v>22</v>
      </c>
      <c r="L543">
        <v>3</v>
      </c>
      <c r="M543">
        <v>1150112</v>
      </c>
      <c r="N543">
        <v>3450336</v>
      </c>
      <c r="O543">
        <v>2826961</v>
      </c>
      <c r="P543">
        <v>623375</v>
      </c>
    </row>
    <row r="544" spans="1:16" x14ac:dyDescent="0.3">
      <c r="A544">
        <v>1543</v>
      </c>
      <c r="B544" t="s">
        <v>158</v>
      </c>
      <c r="C544">
        <v>2024</v>
      </c>
      <c r="D544" t="s">
        <v>24</v>
      </c>
      <c r="E544" t="s">
        <v>18</v>
      </c>
      <c r="F544" t="s">
        <v>19</v>
      </c>
      <c r="G544" t="s">
        <v>59</v>
      </c>
      <c r="H544" t="s">
        <v>37</v>
      </c>
      <c r="I544" t="s">
        <v>32</v>
      </c>
      <c r="J544">
        <v>2</v>
      </c>
      <c r="K544">
        <v>23</v>
      </c>
      <c r="L544">
        <v>2</v>
      </c>
      <c r="M544">
        <v>848120</v>
      </c>
      <c r="N544">
        <v>1696240</v>
      </c>
      <c r="O544">
        <v>1504141</v>
      </c>
      <c r="P544">
        <v>192099</v>
      </c>
    </row>
    <row r="545" spans="1:16" x14ac:dyDescent="0.3">
      <c r="A545">
        <v>1544</v>
      </c>
      <c r="B545" t="s">
        <v>457</v>
      </c>
      <c r="C545">
        <v>2023</v>
      </c>
      <c r="D545" t="s">
        <v>39</v>
      </c>
      <c r="E545" t="s">
        <v>25</v>
      </c>
      <c r="F545" t="s">
        <v>84</v>
      </c>
      <c r="G545" t="s">
        <v>51</v>
      </c>
      <c r="H545" t="s">
        <v>63</v>
      </c>
      <c r="I545" t="s">
        <v>22</v>
      </c>
      <c r="J545">
        <v>1</v>
      </c>
      <c r="K545">
        <v>21</v>
      </c>
      <c r="L545">
        <v>4</v>
      </c>
      <c r="M545">
        <v>848730</v>
      </c>
      <c r="N545">
        <v>3394920</v>
      </c>
      <c r="O545">
        <v>2647451</v>
      </c>
      <c r="P545">
        <v>747469</v>
      </c>
    </row>
    <row r="546" spans="1:16" x14ac:dyDescent="0.3">
      <c r="A546">
        <v>1545</v>
      </c>
      <c r="B546" t="s">
        <v>458</v>
      </c>
      <c r="C546">
        <v>2024</v>
      </c>
      <c r="D546" t="s">
        <v>43</v>
      </c>
      <c r="E546" t="s">
        <v>40</v>
      </c>
      <c r="F546" t="s">
        <v>68</v>
      </c>
      <c r="G546" t="s">
        <v>27</v>
      </c>
      <c r="H546" t="s">
        <v>52</v>
      </c>
      <c r="I546" t="s">
        <v>22</v>
      </c>
      <c r="J546">
        <v>1</v>
      </c>
      <c r="K546">
        <v>23</v>
      </c>
      <c r="L546">
        <v>5</v>
      </c>
      <c r="M546">
        <v>846366</v>
      </c>
      <c r="N546">
        <v>4231830</v>
      </c>
      <c r="O546">
        <v>3667345</v>
      </c>
      <c r="P546">
        <v>564485</v>
      </c>
    </row>
    <row r="547" spans="1:16" x14ac:dyDescent="0.3">
      <c r="A547">
        <v>1546</v>
      </c>
      <c r="B547" t="s">
        <v>284</v>
      </c>
      <c r="C547">
        <v>2024</v>
      </c>
      <c r="D547" t="s">
        <v>67</v>
      </c>
      <c r="E547" t="s">
        <v>18</v>
      </c>
      <c r="F547" t="s">
        <v>35</v>
      </c>
      <c r="G547" t="s">
        <v>90</v>
      </c>
      <c r="H547" t="s">
        <v>31</v>
      </c>
      <c r="I547" t="s">
        <v>32</v>
      </c>
      <c r="J547">
        <v>1</v>
      </c>
      <c r="K547">
        <v>19</v>
      </c>
      <c r="L547">
        <v>2</v>
      </c>
      <c r="M547">
        <v>1252977</v>
      </c>
      <c r="N547">
        <v>2505954</v>
      </c>
      <c r="O547">
        <v>2192057</v>
      </c>
      <c r="P547">
        <v>313897</v>
      </c>
    </row>
    <row r="548" spans="1:16" x14ac:dyDescent="0.3">
      <c r="A548">
        <v>1547</v>
      </c>
      <c r="B548" t="s">
        <v>227</v>
      </c>
      <c r="C548">
        <v>2023</v>
      </c>
      <c r="D548" t="s">
        <v>74</v>
      </c>
      <c r="E548" t="s">
        <v>25</v>
      </c>
      <c r="F548" t="s">
        <v>84</v>
      </c>
      <c r="G548" t="s">
        <v>90</v>
      </c>
      <c r="H548" t="s">
        <v>100</v>
      </c>
      <c r="I548" t="s">
        <v>22</v>
      </c>
      <c r="J548">
        <v>1.2</v>
      </c>
      <c r="K548">
        <v>20</v>
      </c>
      <c r="L548">
        <v>8</v>
      </c>
      <c r="M548">
        <v>1152814</v>
      </c>
      <c r="N548">
        <v>9222512</v>
      </c>
      <c r="O548">
        <v>8172688</v>
      </c>
      <c r="P548">
        <v>1049824</v>
      </c>
    </row>
    <row r="549" spans="1:16" x14ac:dyDescent="0.3">
      <c r="A549">
        <v>1548</v>
      </c>
      <c r="B549" t="s">
        <v>459</v>
      </c>
      <c r="C549">
        <v>2023</v>
      </c>
      <c r="D549" t="s">
        <v>74</v>
      </c>
      <c r="E549" t="s">
        <v>40</v>
      </c>
      <c r="F549" t="s">
        <v>41</v>
      </c>
      <c r="G549" t="s">
        <v>59</v>
      </c>
      <c r="H549" t="s">
        <v>100</v>
      </c>
      <c r="I549" t="s">
        <v>22</v>
      </c>
      <c r="J549">
        <v>2</v>
      </c>
      <c r="K549">
        <v>19</v>
      </c>
      <c r="L549">
        <v>8</v>
      </c>
      <c r="M549">
        <v>832851</v>
      </c>
      <c r="N549">
        <v>6662808</v>
      </c>
      <c r="O549">
        <v>5142756</v>
      </c>
      <c r="P549">
        <v>1520052</v>
      </c>
    </row>
    <row r="550" spans="1:16" x14ac:dyDescent="0.3">
      <c r="A550">
        <v>1549</v>
      </c>
      <c r="B550" t="s">
        <v>460</v>
      </c>
      <c r="C550">
        <v>2024</v>
      </c>
      <c r="D550" t="s">
        <v>74</v>
      </c>
      <c r="E550" t="s">
        <v>40</v>
      </c>
      <c r="F550" t="s">
        <v>68</v>
      </c>
      <c r="G550" t="s">
        <v>90</v>
      </c>
      <c r="H550" t="s">
        <v>47</v>
      </c>
      <c r="I550" t="s">
        <v>48</v>
      </c>
      <c r="J550">
        <v>1.5</v>
      </c>
      <c r="K550">
        <v>22</v>
      </c>
      <c r="L550">
        <v>1</v>
      </c>
      <c r="M550">
        <v>1011352</v>
      </c>
      <c r="N550">
        <v>1011352</v>
      </c>
      <c r="O550">
        <v>856340</v>
      </c>
      <c r="P550">
        <v>155012</v>
      </c>
    </row>
    <row r="551" spans="1:16" x14ac:dyDescent="0.3">
      <c r="A551">
        <v>1550</v>
      </c>
      <c r="B551" t="s">
        <v>461</v>
      </c>
      <c r="C551">
        <v>2023</v>
      </c>
      <c r="D551" t="s">
        <v>39</v>
      </c>
      <c r="E551" t="s">
        <v>18</v>
      </c>
      <c r="F551" t="s">
        <v>107</v>
      </c>
      <c r="G551" t="s">
        <v>51</v>
      </c>
      <c r="H551" t="s">
        <v>100</v>
      </c>
      <c r="I551" t="s">
        <v>22</v>
      </c>
      <c r="J551">
        <v>1.2</v>
      </c>
      <c r="K551">
        <v>18</v>
      </c>
      <c r="L551">
        <v>4</v>
      </c>
      <c r="M551">
        <v>717310</v>
      </c>
      <c r="N551">
        <v>2869240</v>
      </c>
      <c r="O551">
        <v>2337615</v>
      </c>
      <c r="P551">
        <v>531625</v>
      </c>
    </row>
    <row r="552" spans="1:16" x14ac:dyDescent="0.3">
      <c r="A552">
        <v>1551</v>
      </c>
      <c r="B552" t="s">
        <v>462</v>
      </c>
      <c r="C552">
        <v>2024</v>
      </c>
      <c r="D552" t="s">
        <v>43</v>
      </c>
      <c r="E552" t="s">
        <v>18</v>
      </c>
      <c r="F552" t="s">
        <v>19</v>
      </c>
      <c r="G552" t="s">
        <v>90</v>
      </c>
      <c r="H552" t="s">
        <v>54</v>
      </c>
      <c r="I552" t="s">
        <v>48</v>
      </c>
      <c r="J552">
        <v>1.5</v>
      </c>
      <c r="K552">
        <v>19</v>
      </c>
      <c r="L552">
        <v>5</v>
      </c>
      <c r="M552">
        <v>608033</v>
      </c>
      <c r="N552">
        <v>3040165</v>
      </c>
      <c r="O552">
        <v>2459165</v>
      </c>
      <c r="P552">
        <v>581000</v>
      </c>
    </row>
    <row r="553" spans="1:16" x14ac:dyDescent="0.3">
      <c r="A553">
        <v>1552</v>
      </c>
      <c r="B553" t="s">
        <v>133</v>
      </c>
      <c r="C553">
        <v>2024</v>
      </c>
      <c r="D553" t="s">
        <v>39</v>
      </c>
      <c r="E553" t="s">
        <v>40</v>
      </c>
      <c r="F553" t="s">
        <v>41</v>
      </c>
      <c r="G553" t="s">
        <v>36</v>
      </c>
      <c r="H553" t="s">
        <v>79</v>
      </c>
      <c r="I553" t="s">
        <v>48</v>
      </c>
      <c r="J553">
        <v>1.5</v>
      </c>
      <c r="K553">
        <v>22</v>
      </c>
      <c r="L553">
        <v>4</v>
      </c>
      <c r="M553">
        <v>752535</v>
      </c>
      <c r="N553">
        <v>3010140</v>
      </c>
      <c r="O553">
        <v>2495170</v>
      </c>
      <c r="P553">
        <v>514970</v>
      </c>
    </row>
    <row r="554" spans="1:16" x14ac:dyDescent="0.3">
      <c r="A554">
        <v>1553</v>
      </c>
      <c r="B554" t="s">
        <v>463</v>
      </c>
      <c r="C554">
        <v>2023</v>
      </c>
      <c r="D554" t="s">
        <v>50</v>
      </c>
      <c r="E554" t="s">
        <v>25</v>
      </c>
      <c r="F554" t="s">
        <v>77</v>
      </c>
      <c r="G554" t="s">
        <v>59</v>
      </c>
      <c r="H554" t="s">
        <v>37</v>
      </c>
      <c r="I554" t="s">
        <v>32</v>
      </c>
      <c r="J554">
        <v>1.5</v>
      </c>
      <c r="K554">
        <v>21</v>
      </c>
      <c r="L554">
        <v>8</v>
      </c>
      <c r="M554">
        <v>957362</v>
      </c>
      <c r="N554">
        <v>7658896</v>
      </c>
      <c r="O554">
        <v>6835686</v>
      </c>
      <c r="P554">
        <v>823210</v>
      </c>
    </row>
    <row r="555" spans="1:16" x14ac:dyDescent="0.3">
      <c r="A555">
        <v>1554</v>
      </c>
      <c r="B555" t="s">
        <v>464</v>
      </c>
      <c r="C555">
        <v>2023</v>
      </c>
      <c r="D555" t="s">
        <v>61</v>
      </c>
      <c r="E555" t="s">
        <v>25</v>
      </c>
      <c r="F555" t="s">
        <v>84</v>
      </c>
      <c r="G555" t="s">
        <v>46</v>
      </c>
      <c r="H555" t="s">
        <v>21</v>
      </c>
      <c r="I555" t="s">
        <v>22</v>
      </c>
      <c r="J555">
        <v>1</v>
      </c>
      <c r="K555">
        <v>16</v>
      </c>
      <c r="L555">
        <v>2</v>
      </c>
      <c r="M555">
        <v>672556</v>
      </c>
      <c r="N555">
        <v>1345112</v>
      </c>
      <c r="O555">
        <v>1045227</v>
      </c>
      <c r="P555">
        <v>299885</v>
      </c>
    </row>
    <row r="556" spans="1:16" x14ac:dyDescent="0.3">
      <c r="A556">
        <v>1555</v>
      </c>
      <c r="B556" t="s">
        <v>132</v>
      </c>
      <c r="C556">
        <v>2023</v>
      </c>
      <c r="D556" t="s">
        <v>24</v>
      </c>
      <c r="E556" t="s">
        <v>25</v>
      </c>
      <c r="F556" t="s">
        <v>84</v>
      </c>
      <c r="G556" t="s">
        <v>51</v>
      </c>
      <c r="H556" t="s">
        <v>47</v>
      </c>
      <c r="I556" t="s">
        <v>48</v>
      </c>
      <c r="J556">
        <v>1</v>
      </c>
      <c r="K556">
        <v>20</v>
      </c>
      <c r="L556">
        <v>7</v>
      </c>
      <c r="M556">
        <v>774716</v>
      </c>
      <c r="N556">
        <v>5423012</v>
      </c>
      <c r="O556">
        <v>4088732</v>
      </c>
      <c r="P556">
        <v>1334280</v>
      </c>
    </row>
    <row r="557" spans="1:16" x14ac:dyDescent="0.3">
      <c r="A557">
        <v>1556</v>
      </c>
      <c r="B557" t="s">
        <v>465</v>
      </c>
      <c r="C557">
        <v>2024</v>
      </c>
      <c r="D557" t="s">
        <v>76</v>
      </c>
      <c r="E557" t="s">
        <v>25</v>
      </c>
      <c r="F557" t="s">
        <v>26</v>
      </c>
      <c r="G557" t="s">
        <v>59</v>
      </c>
      <c r="H557" t="s">
        <v>63</v>
      </c>
      <c r="I557" t="s">
        <v>22</v>
      </c>
      <c r="J557">
        <v>1.5</v>
      </c>
      <c r="K557">
        <v>21</v>
      </c>
      <c r="L557">
        <v>7</v>
      </c>
      <c r="M557">
        <v>911706</v>
      </c>
      <c r="N557">
        <v>6381942</v>
      </c>
      <c r="O557">
        <v>5377156</v>
      </c>
      <c r="P557">
        <v>1004786</v>
      </c>
    </row>
    <row r="558" spans="1:16" x14ac:dyDescent="0.3">
      <c r="A558">
        <v>1557</v>
      </c>
      <c r="B558" t="s">
        <v>241</v>
      </c>
      <c r="C558">
        <v>2023</v>
      </c>
      <c r="D558" t="s">
        <v>17</v>
      </c>
      <c r="E558" t="s">
        <v>40</v>
      </c>
      <c r="F558" t="s">
        <v>41</v>
      </c>
      <c r="G558" t="s">
        <v>59</v>
      </c>
      <c r="H558" t="s">
        <v>47</v>
      </c>
      <c r="I558" t="s">
        <v>48</v>
      </c>
      <c r="J558">
        <v>2</v>
      </c>
      <c r="K558">
        <v>19</v>
      </c>
      <c r="L558">
        <v>8</v>
      </c>
      <c r="M558">
        <v>1250375</v>
      </c>
      <c r="N558">
        <v>10003000</v>
      </c>
      <c r="O558">
        <v>8146672</v>
      </c>
      <c r="P558">
        <v>1856328</v>
      </c>
    </row>
    <row r="559" spans="1:16" x14ac:dyDescent="0.3">
      <c r="A559">
        <v>1558</v>
      </c>
      <c r="B559" t="s">
        <v>116</v>
      </c>
      <c r="C559">
        <v>2024</v>
      </c>
      <c r="D559" t="s">
        <v>39</v>
      </c>
      <c r="E559" t="s">
        <v>25</v>
      </c>
      <c r="F559" t="s">
        <v>58</v>
      </c>
      <c r="G559" t="s">
        <v>90</v>
      </c>
      <c r="H559" t="s">
        <v>47</v>
      </c>
      <c r="I559" t="s">
        <v>48</v>
      </c>
      <c r="J559">
        <v>1</v>
      </c>
      <c r="K559">
        <v>19</v>
      </c>
      <c r="L559">
        <v>4</v>
      </c>
      <c r="M559">
        <v>1163609</v>
      </c>
      <c r="N559">
        <v>4654436</v>
      </c>
      <c r="O559">
        <v>3897609</v>
      </c>
      <c r="P559">
        <v>756827</v>
      </c>
    </row>
    <row r="560" spans="1:16" x14ac:dyDescent="0.3">
      <c r="A560">
        <v>1559</v>
      </c>
      <c r="B560" t="s">
        <v>192</v>
      </c>
      <c r="C560">
        <v>2024</v>
      </c>
      <c r="D560" t="s">
        <v>24</v>
      </c>
      <c r="E560" t="s">
        <v>18</v>
      </c>
      <c r="F560" t="s">
        <v>19</v>
      </c>
      <c r="G560" t="s">
        <v>27</v>
      </c>
      <c r="H560" t="s">
        <v>21</v>
      </c>
      <c r="I560" t="s">
        <v>22</v>
      </c>
      <c r="J560">
        <v>1.2</v>
      </c>
      <c r="K560">
        <v>20</v>
      </c>
      <c r="L560">
        <v>6</v>
      </c>
      <c r="M560">
        <v>773344</v>
      </c>
      <c r="N560">
        <v>4640064</v>
      </c>
      <c r="O560">
        <v>4007899</v>
      </c>
      <c r="P560">
        <v>632165</v>
      </c>
    </row>
    <row r="561" spans="1:16" x14ac:dyDescent="0.3">
      <c r="A561">
        <v>1560</v>
      </c>
      <c r="B561" t="s">
        <v>466</v>
      </c>
      <c r="C561">
        <v>2023</v>
      </c>
      <c r="D561" t="s">
        <v>24</v>
      </c>
      <c r="E561" t="s">
        <v>44</v>
      </c>
      <c r="F561" t="s">
        <v>70</v>
      </c>
      <c r="G561" t="s">
        <v>36</v>
      </c>
      <c r="H561" t="s">
        <v>37</v>
      </c>
      <c r="I561" t="s">
        <v>32</v>
      </c>
      <c r="J561">
        <v>2</v>
      </c>
      <c r="K561">
        <v>20</v>
      </c>
      <c r="L561">
        <v>2</v>
      </c>
      <c r="M561">
        <v>708005</v>
      </c>
      <c r="N561">
        <v>1416010</v>
      </c>
      <c r="O561">
        <v>1091359</v>
      </c>
      <c r="P561">
        <v>324651</v>
      </c>
    </row>
    <row r="562" spans="1:16" x14ac:dyDescent="0.3">
      <c r="A562">
        <v>1561</v>
      </c>
      <c r="B562" t="s">
        <v>403</v>
      </c>
      <c r="C562">
        <v>2024</v>
      </c>
      <c r="D562" t="s">
        <v>97</v>
      </c>
      <c r="E562" t="s">
        <v>40</v>
      </c>
      <c r="F562" t="s">
        <v>104</v>
      </c>
      <c r="G562" t="s">
        <v>30</v>
      </c>
      <c r="H562" t="s">
        <v>56</v>
      </c>
      <c r="I562" t="s">
        <v>48</v>
      </c>
      <c r="J562">
        <v>1.2</v>
      </c>
      <c r="K562">
        <v>21</v>
      </c>
      <c r="L562">
        <v>5</v>
      </c>
      <c r="M562">
        <v>1044713</v>
      </c>
      <c r="N562">
        <v>5223565</v>
      </c>
      <c r="O562">
        <v>4423130</v>
      </c>
      <c r="P562">
        <v>800435</v>
      </c>
    </row>
    <row r="563" spans="1:16" x14ac:dyDescent="0.3">
      <c r="A563">
        <v>1562</v>
      </c>
      <c r="B563" t="s">
        <v>467</v>
      </c>
      <c r="C563">
        <v>2023</v>
      </c>
      <c r="D563" t="s">
        <v>76</v>
      </c>
      <c r="E563" t="s">
        <v>25</v>
      </c>
      <c r="F563" t="s">
        <v>26</v>
      </c>
      <c r="G563" t="s">
        <v>30</v>
      </c>
      <c r="H563" t="s">
        <v>54</v>
      </c>
      <c r="I563" t="s">
        <v>48</v>
      </c>
      <c r="J563">
        <v>2</v>
      </c>
      <c r="K563">
        <v>22</v>
      </c>
      <c r="L563">
        <v>4</v>
      </c>
      <c r="M563">
        <v>1264453</v>
      </c>
      <c r="N563">
        <v>5057812</v>
      </c>
      <c r="O563">
        <v>4479086</v>
      </c>
      <c r="P563">
        <v>578726</v>
      </c>
    </row>
    <row r="564" spans="1:16" x14ac:dyDescent="0.3">
      <c r="A564">
        <v>1563</v>
      </c>
      <c r="B564" t="s">
        <v>468</v>
      </c>
      <c r="C564">
        <v>2023</v>
      </c>
      <c r="D564" t="s">
        <v>29</v>
      </c>
      <c r="E564" t="s">
        <v>18</v>
      </c>
      <c r="F564" t="s">
        <v>72</v>
      </c>
      <c r="G564" t="s">
        <v>59</v>
      </c>
      <c r="H564" t="s">
        <v>63</v>
      </c>
      <c r="I564" t="s">
        <v>22</v>
      </c>
      <c r="J564">
        <v>2</v>
      </c>
      <c r="K564">
        <v>18</v>
      </c>
      <c r="L564">
        <v>3</v>
      </c>
      <c r="M564">
        <v>616035</v>
      </c>
      <c r="N564">
        <v>1848105</v>
      </c>
      <c r="O564">
        <v>1386224</v>
      </c>
      <c r="P564">
        <v>461881</v>
      </c>
    </row>
    <row r="565" spans="1:16" x14ac:dyDescent="0.3">
      <c r="A565">
        <v>1564</v>
      </c>
      <c r="B565" t="s">
        <v>23</v>
      </c>
      <c r="C565">
        <v>2023</v>
      </c>
      <c r="D565" t="s">
        <v>24</v>
      </c>
      <c r="E565" t="s">
        <v>44</v>
      </c>
      <c r="F565" t="s">
        <v>92</v>
      </c>
      <c r="G565" t="s">
        <v>36</v>
      </c>
      <c r="H565" t="s">
        <v>37</v>
      </c>
      <c r="I565" t="s">
        <v>32</v>
      </c>
      <c r="J565">
        <v>1.2</v>
      </c>
      <c r="K565">
        <v>21</v>
      </c>
      <c r="L565">
        <v>1</v>
      </c>
      <c r="M565">
        <v>790289</v>
      </c>
      <c r="N565">
        <v>790289</v>
      </c>
      <c r="O565">
        <v>624004</v>
      </c>
      <c r="P565">
        <v>166285</v>
      </c>
    </row>
    <row r="566" spans="1:16" x14ac:dyDescent="0.3">
      <c r="A566">
        <v>1565</v>
      </c>
      <c r="B566" t="s">
        <v>469</v>
      </c>
      <c r="C566">
        <v>2024</v>
      </c>
      <c r="D566" t="s">
        <v>61</v>
      </c>
      <c r="E566" t="s">
        <v>18</v>
      </c>
      <c r="F566" t="s">
        <v>72</v>
      </c>
      <c r="G566" t="s">
        <v>46</v>
      </c>
      <c r="H566" t="s">
        <v>52</v>
      </c>
      <c r="I566" t="s">
        <v>22</v>
      </c>
      <c r="J566">
        <v>1</v>
      </c>
      <c r="K566">
        <v>19</v>
      </c>
      <c r="L566">
        <v>6</v>
      </c>
      <c r="M566">
        <v>634495</v>
      </c>
      <c r="N566">
        <v>3806970</v>
      </c>
      <c r="O566">
        <v>3085300</v>
      </c>
      <c r="P566">
        <v>721670</v>
      </c>
    </row>
    <row r="567" spans="1:16" x14ac:dyDescent="0.3">
      <c r="A567">
        <v>1566</v>
      </c>
      <c r="B567" t="s">
        <v>173</v>
      </c>
      <c r="C567">
        <v>2023</v>
      </c>
      <c r="D567" t="s">
        <v>61</v>
      </c>
      <c r="E567" t="s">
        <v>40</v>
      </c>
      <c r="F567" t="s">
        <v>41</v>
      </c>
      <c r="G567" t="s">
        <v>51</v>
      </c>
      <c r="H567" t="s">
        <v>63</v>
      </c>
      <c r="I567" t="s">
        <v>22</v>
      </c>
      <c r="J567">
        <v>1.2</v>
      </c>
      <c r="K567">
        <v>16</v>
      </c>
      <c r="L567">
        <v>1</v>
      </c>
      <c r="M567">
        <v>1257677</v>
      </c>
      <c r="N567">
        <v>1257677</v>
      </c>
      <c r="O567">
        <v>973531</v>
      </c>
      <c r="P567">
        <v>284146</v>
      </c>
    </row>
    <row r="568" spans="1:16" x14ac:dyDescent="0.3">
      <c r="A568">
        <v>1567</v>
      </c>
      <c r="B568" t="s">
        <v>329</v>
      </c>
      <c r="C568">
        <v>2024</v>
      </c>
      <c r="D568" t="s">
        <v>29</v>
      </c>
      <c r="E568" t="s">
        <v>40</v>
      </c>
      <c r="F568" t="s">
        <v>68</v>
      </c>
      <c r="G568" t="s">
        <v>46</v>
      </c>
      <c r="H568" t="s">
        <v>54</v>
      </c>
      <c r="I568" t="s">
        <v>48</v>
      </c>
      <c r="J568">
        <v>1</v>
      </c>
      <c r="K568">
        <v>18</v>
      </c>
      <c r="L568">
        <v>4</v>
      </c>
      <c r="M568">
        <v>1039722</v>
      </c>
      <c r="N568">
        <v>4158888</v>
      </c>
      <c r="O568">
        <v>3410317</v>
      </c>
      <c r="P568">
        <v>748571</v>
      </c>
    </row>
    <row r="569" spans="1:16" x14ac:dyDescent="0.3">
      <c r="A569">
        <v>1568</v>
      </c>
      <c r="B569" t="s">
        <v>69</v>
      </c>
      <c r="C569">
        <v>2023</v>
      </c>
      <c r="D569" t="s">
        <v>24</v>
      </c>
      <c r="E569" t="s">
        <v>40</v>
      </c>
      <c r="F569" t="s">
        <v>104</v>
      </c>
      <c r="G569" t="s">
        <v>59</v>
      </c>
      <c r="H569" t="s">
        <v>54</v>
      </c>
      <c r="I569" t="s">
        <v>48</v>
      </c>
      <c r="J569">
        <v>1.2</v>
      </c>
      <c r="K569">
        <v>23</v>
      </c>
      <c r="L569">
        <v>5</v>
      </c>
      <c r="M569">
        <v>850578</v>
      </c>
      <c r="N569">
        <v>4252890</v>
      </c>
      <c r="O569">
        <v>3573086</v>
      </c>
      <c r="P569">
        <v>679804</v>
      </c>
    </row>
    <row r="570" spans="1:16" x14ac:dyDescent="0.3">
      <c r="A570">
        <v>1569</v>
      </c>
      <c r="B570" t="s">
        <v>136</v>
      </c>
      <c r="C570">
        <v>2023</v>
      </c>
      <c r="D570" t="s">
        <v>67</v>
      </c>
      <c r="E570" t="s">
        <v>25</v>
      </c>
      <c r="F570" t="s">
        <v>26</v>
      </c>
      <c r="G570" t="s">
        <v>36</v>
      </c>
      <c r="H570" t="s">
        <v>56</v>
      </c>
      <c r="I570" t="s">
        <v>48</v>
      </c>
      <c r="J570">
        <v>2</v>
      </c>
      <c r="K570">
        <v>22</v>
      </c>
      <c r="L570">
        <v>6</v>
      </c>
      <c r="M570">
        <v>1095387</v>
      </c>
      <c r="N570">
        <v>6572322</v>
      </c>
      <c r="O570">
        <v>5510372</v>
      </c>
      <c r="P570">
        <v>1061950</v>
      </c>
    </row>
    <row r="571" spans="1:16" x14ac:dyDescent="0.3">
      <c r="A571">
        <v>1570</v>
      </c>
      <c r="B571" t="s">
        <v>386</v>
      </c>
      <c r="C571">
        <v>2023</v>
      </c>
      <c r="D571" t="s">
        <v>61</v>
      </c>
      <c r="E571" t="s">
        <v>40</v>
      </c>
      <c r="F571" t="s">
        <v>41</v>
      </c>
      <c r="G571" t="s">
        <v>90</v>
      </c>
      <c r="H571" t="s">
        <v>52</v>
      </c>
      <c r="I571" t="s">
        <v>22</v>
      </c>
      <c r="J571">
        <v>1.5</v>
      </c>
      <c r="K571">
        <v>20</v>
      </c>
      <c r="L571">
        <v>6</v>
      </c>
      <c r="M571">
        <v>1202632</v>
      </c>
      <c r="N571">
        <v>7215792</v>
      </c>
      <c r="O571">
        <v>5955638</v>
      </c>
      <c r="P571">
        <v>1260154</v>
      </c>
    </row>
    <row r="572" spans="1:16" x14ac:dyDescent="0.3">
      <c r="A572">
        <v>1571</v>
      </c>
      <c r="B572" t="s">
        <v>470</v>
      </c>
      <c r="C572">
        <v>2023</v>
      </c>
      <c r="D572" t="s">
        <v>74</v>
      </c>
      <c r="E572" t="s">
        <v>44</v>
      </c>
      <c r="F572" t="s">
        <v>45</v>
      </c>
      <c r="G572" t="s">
        <v>36</v>
      </c>
      <c r="H572" t="s">
        <v>56</v>
      </c>
      <c r="I572" t="s">
        <v>48</v>
      </c>
      <c r="J572">
        <v>2</v>
      </c>
      <c r="K572">
        <v>19</v>
      </c>
      <c r="L572">
        <v>3</v>
      </c>
      <c r="M572">
        <v>1470589</v>
      </c>
      <c r="N572">
        <v>4411767</v>
      </c>
      <c r="O572">
        <v>3935113</v>
      </c>
      <c r="P572">
        <v>476654</v>
      </c>
    </row>
    <row r="573" spans="1:16" x14ac:dyDescent="0.3">
      <c r="A573">
        <v>1572</v>
      </c>
      <c r="B573" t="s">
        <v>471</v>
      </c>
      <c r="C573">
        <v>2024</v>
      </c>
      <c r="D573" t="s">
        <v>97</v>
      </c>
      <c r="E573" t="s">
        <v>25</v>
      </c>
      <c r="F573" t="s">
        <v>26</v>
      </c>
      <c r="G573" t="s">
        <v>51</v>
      </c>
      <c r="H573" t="s">
        <v>56</v>
      </c>
      <c r="I573" t="s">
        <v>48</v>
      </c>
      <c r="J573">
        <v>1.2</v>
      </c>
      <c r="K573">
        <v>19</v>
      </c>
      <c r="L573">
        <v>7</v>
      </c>
      <c r="M573">
        <v>1149326</v>
      </c>
      <c r="N573">
        <v>8045282</v>
      </c>
      <c r="O573">
        <v>6391521</v>
      </c>
      <c r="P573">
        <v>1653761</v>
      </c>
    </row>
    <row r="574" spans="1:16" x14ac:dyDescent="0.3">
      <c r="A574">
        <v>1573</v>
      </c>
      <c r="B574" t="s">
        <v>472</v>
      </c>
      <c r="C574">
        <v>2023</v>
      </c>
      <c r="D574" t="s">
        <v>24</v>
      </c>
      <c r="E574" t="s">
        <v>25</v>
      </c>
      <c r="F574" t="s">
        <v>77</v>
      </c>
      <c r="G574" t="s">
        <v>27</v>
      </c>
      <c r="H574" t="s">
        <v>79</v>
      </c>
      <c r="I574" t="s">
        <v>48</v>
      </c>
      <c r="J574">
        <v>1</v>
      </c>
      <c r="K574">
        <v>23</v>
      </c>
      <c r="L574">
        <v>5</v>
      </c>
      <c r="M574">
        <v>724606</v>
      </c>
      <c r="N574">
        <v>3623030</v>
      </c>
      <c r="O574">
        <v>2734430</v>
      </c>
      <c r="P574">
        <v>888600</v>
      </c>
    </row>
    <row r="575" spans="1:16" x14ac:dyDescent="0.3">
      <c r="A575">
        <v>1574</v>
      </c>
      <c r="B575" t="s">
        <v>292</v>
      </c>
      <c r="C575">
        <v>2023</v>
      </c>
      <c r="D575" t="s">
        <v>97</v>
      </c>
      <c r="E575" t="s">
        <v>18</v>
      </c>
      <c r="F575" t="s">
        <v>107</v>
      </c>
      <c r="G575" t="s">
        <v>51</v>
      </c>
      <c r="H575" t="s">
        <v>37</v>
      </c>
      <c r="I575" t="s">
        <v>32</v>
      </c>
      <c r="J575">
        <v>1.5</v>
      </c>
      <c r="K575">
        <v>21</v>
      </c>
      <c r="L575">
        <v>3</v>
      </c>
      <c r="M575">
        <v>720130</v>
      </c>
      <c r="N575">
        <v>2160390</v>
      </c>
      <c r="O575">
        <v>1930417</v>
      </c>
      <c r="P575">
        <v>229973</v>
      </c>
    </row>
    <row r="576" spans="1:16" x14ac:dyDescent="0.3">
      <c r="A576">
        <v>1575</v>
      </c>
      <c r="B576" t="s">
        <v>473</v>
      </c>
      <c r="C576">
        <v>2024</v>
      </c>
      <c r="D576" t="s">
        <v>17</v>
      </c>
      <c r="E576" t="s">
        <v>25</v>
      </c>
      <c r="F576" t="s">
        <v>58</v>
      </c>
      <c r="G576" t="s">
        <v>20</v>
      </c>
      <c r="H576" t="s">
        <v>37</v>
      </c>
      <c r="I576" t="s">
        <v>32</v>
      </c>
      <c r="J576">
        <v>2</v>
      </c>
      <c r="K576">
        <v>18</v>
      </c>
      <c r="L576">
        <v>6</v>
      </c>
      <c r="M576">
        <v>839719</v>
      </c>
      <c r="N576">
        <v>5038314</v>
      </c>
      <c r="O576">
        <v>4150652</v>
      </c>
      <c r="P576">
        <v>887662</v>
      </c>
    </row>
    <row r="577" spans="1:16" x14ac:dyDescent="0.3">
      <c r="A577">
        <v>1576</v>
      </c>
      <c r="B577" t="s">
        <v>122</v>
      </c>
      <c r="C577">
        <v>2024</v>
      </c>
      <c r="D577" t="s">
        <v>67</v>
      </c>
      <c r="E577" t="s">
        <v>40</v>
      </c>
      <c r="F577" t="s">
        <v>104</v>
      </c>
      <c r="G577" t="s">
        <v>30</v>
      </c>
      <c r="H577" t="s">
        <v>21</v>
      </c>
      <c r="I577" t="s">
        <v>22</v>
      </c>
      <c r="J577">
        <v>1.2</v>
      </c>
      <c r="K577">
        <v>22</v>
      </c>
      <c r="L577">
        <v>6</v>
      </c>
      <c r="M577">
        <v>742534</v>
      </c>
      <c r="N577">
        <v>4455204</v>
      </c>
      <c r="O577">
        <v>3739821</v>
      </c>
      <c r="P577">
        <v>715383</v>
      </c>
    </row>
    <row r="578" spans="1:16" x14ac:dyDescent="0.3">
      <c r="A578">
        <v>1577</v>
      </c>
      <c r="B578" t="s">
        <v>223</v>
      </c>
      <c r="C578">
        <v>2024</v>
      </c>
      <c r="D578" t="s">
        <v>34</v>
      </c>
      <c r="E578" t="s">
        <v>18</v>
      </c>
      <c r="F578" t="s">
        <v>19</v>
      </c>
      <c r="G578" t="s">
        <v>27</v>
      </c>
      <c r="H578" t="s">
        <v>21</v>
      </c>
      <c r="I578" t="s">
        <v>22</v>
      </c>
      <c r="J578">
        <v>1</v>
      </c>
      <c r="K578">
        <v>16</v>
      </c>
      <c r="L578">
        <v>5</v>
      </c>
      <c r="M578">
        <v>868513</v>
      </c>
      <c r="N578">
        <v>4342565</v>
      </c>
      <c r="O578">
        <v>3785533</v>
      </c>
      <c r="P578">
        <v>557032</v>
      </c>
    </row>
    <row r="579" spans="1:16" x14ac:dyDescent="0.3">
      <c r="A579">
        <v>1578</v>
      </c>
      <c r="B579" t="s">
        <v>474</v>
      </c>
      <c r="C579">
        <v>2023</v>
      </c>
      <c r="D579" t="s">
        <v>17</v>
      </c>
      <c r="E579" t="s">
        <v>40</v>
      </c>
      <c r="F579" t="s">
        <v>120</v>
      </c>
      <c r="G579" t="s">
        <v>20</v>
      </c>
      <c r="H579" t="s">
        <v>56</v>
      </c>
      <c r="I579" t="s">
        <v>48</v>
      </c>
      <c r="J579">
        <v>2</v>
      </c>
      <c r="K579">
        <v>23</v>
      </c>
      <c r="L579">
        <v>5</v>
      </c>
      <c r="M579">
        <v>664301</v>
      </c>
      <c r="N579">
        <v>3321505</v>
      </c>
      <c r="O579">
        <v>2667420</v>
      </c>
      <c r="P579">
        <v>654085</v>
      </c>
    </row>
    <row r="580" spans="1:16" x14ac:dyDescent="0.3">
      <c r="A580">
        <v>1579</v>
      </c>
      <c r="B580" t="s">
        <v>300</v>
      </c>
      <c r="C580">
        <v>2023</v>
      </c>
      <c r="D580" t="s">
        <v>61</v>
      </c>
      <c r="E580" t="s">
        <v>40</v>
      </c>
      <c r="F580" t="s">
        <v>41</v>
      </c>
      <c r="G580" t="s">
        <v>27</v>
      </c>
      <c r="H580" t="s">
        <v>63</v>
      </c>
      <c r="I580" t="s">
        <v>22</v>
      </c>
      <c r="J580">
        <v>1.2</v>
      </c>
      <c r="K580">
        <v>19</v>
      </c>
      <c r="L580">
        <v>3</v>
      </c>
      <c r="M580">
        <v>825639</v>
      </c>
      <c r="N580">
        <v>2476917</v>
      </c>
      <c r="O580">
        <v>1948932</v>
      </c>
      <c r="P580">
        <v>527985</v>
      </c>
    </row>
    <row r="581" spans="1:16" x14ac:dyDescent="0.3">
      <c r="A581">
        <v>1580</v>
      </c>
      <c r="B581" t="s">
        <v>475</v>
      </c>
      <c r="C581">
        <v>2024</v>
      </c>
      <c r="D581" t="s">
        <v>43</v>
      </c>
      <c r="E581" t="s">
        <v>18</v>
      </c>
      <c r="F581" t="s">
        <v>72</v>
      </c>
      <c r="G581" t="s">
        <v>59</v>
      </c>
      <c r="H581" t="s">
        <v>63</v>
      </c>
      <c r="I581" t="s">
        <v>22</v>
      </c>
      <c r="J581">
        <v>2</v>
      </c>
      <c r="K581">
        <v>16</v>
      </c>
      <c r="L581">
        <v>7</v>
      </c>
      <c r="M581">
        <v>1103073</v>
      </c>
      <c r="N581">
        <v>7721511</v>
      </c>
      <c r="O581">
        <v>6558642</v>
      </c>
      <c r="P581">
        <v>1162869</v>
      </c>
    </row>
    <row r="582" spans="1:16" x14ac:dyDescent="0.3">
      <c r="A582">
        <v>1581</v>
      </c>
      <c r="B582" t="s">
        <v>232</v>
      </c>
      <c r="C582">
        <v>2023</v>
      </c>
      <c r="D582" t="s">
        <v>67</v>
      </c>
      <c r="E582" t="s">
        <v>25</v>
      </c>
      <c r="F582" t="s">
        <v>84</v>
      </c>
      <c r="G582" t="s">
        <v>46</v>
      </c>
      <c r="H582" t="s">
        <v>100</v>
      </c>
      <c r="I582" t="s">
        <v>22</v>
      </c>
      <c r="J582">
        <v>1.2</v>
      </c>
      <c r="K582">
        <v>20</v>
      </c>
      <c r="L582">
        <v>4</v>
      </c>
      <c r="M582">
        <v>1124337</v>
      </c>
      <c r="N582">
        <v>4497348</v>
      </c>
      <c r="O582">
        <v>3858345</v>
      </c>
      <c r="P582">
        <v>639003</v>
      </c>
    </row>
    <row r="583" spans="1:16" x14ac:dyDescent="0.3">
      <c r="A583">
        <v>1582</v>
      </c>
      <c r="B583" t="s">
        <v>404</v>
      </c>
      <c r="C583">
        <v>2024</v>
      </c>
      <c r="D583" t="s">
        <v>50</v>
      </c>
      <c r="E583" t="s">
        <v>44</v>
      </c>
      <c r="F583" t="s">
        <v>92</v>
      </c>
      <c r="G583" t="s">
        <v>20</v>
      </c>
      <c r="H583" t="s">
        <v>54</v>
      </c>
      <c r="I583" t="s">
        <v>48</v>
      </c>
      <c r="J583">
        <v>1</v>
      </c>
      <c r="K583">
        <v>19</v>
      </c>
      <c r="L583">
        <v>2</v>
      </c>
      <c r="M583">
        <v>769309</v>
      </c>
      <c r="N583">
        <v>1538618</v>
      </c>
      <c r="O583">
        <v>1325195</v>
      </c>
      <c r="P583">
        <v>213423</v>
      </c>
    </row>
    <row r="584" spans="1:16" x14ac:dyDescent="0.3">
      <c r="A584">
        <v>1583</v>
      </c>
      <c r="B584" t="s">
        <v>476</v>
      </c>
      <c r="C584">
        <v>2023</v>
      </c>
      <c r="D584" t="s">
        <v>97</v>
      </c>
      <c r="E584" t="s">
        <v>25</v>
      </c>
      <c r="F584" t="s">
        <v>58</v>
      </c>
      <c r="G584" t="s">
        <v>59</v>
      </c>
      <c r="H584" t="s">
        <v>52</v>
      </c>
      <c r="I584" t="s">
        <v>22</v>
      </c>
      <c r="J584">
        <v>1.5</v>
      </c>
      <c r="K584">
        <v>16</v>
      </c>
      <c r="L584">
        <v>1</v>
      </c>
      <c r="M584">
        <v>1149474</v>
      </c>
      <c r="N584">
        <v>1149474</v>
      </c>
      <c r="O584">
        <v>883992</v>
      </c>
      <c r="P584">
        <v>265482</v>
      </c>
    </row>
    <row r="585" spans="1:16" x14ac:dyDescent="0.3">
      <c r="A585">
        <v>1584</v>
      </c>
      <c r="B585" t="s">
        <v>477</v>
      </c>
      <c r="C585">
        <v>2024</v>
      </c>
      <c r="D585" t="s">
        <v>76</v>
      </c>
      <c r="E585" t="s">
        <v>18</v>
      </c>
      <c r="F585" t="s">
        <v>35</v>
      </c>
      <c r="G585" t="s">
        <v>36</v>
      </c>
      <c r="H585" t="s">
        <v>63</v>
      </c>
      <c r="I585" t="s">
        <v>22</v>
      </c>
      <c r="J585">
        <v>2</v>
      </c>
      <c r="K585">
        <v>21</v>
      </c>
      <c r="L585">
        <v>6</v>
      </c>
      <c r="M585">
        <v>649577</v>
      </c>
      <c r="N585">
        <v>3897462</v>
      </c>
      <c r="O585">
        <v>3155296</v>
      </c>
      <c r="P585">
        <v>742166</v>
      </c>
    </row>
    <row r="586" spans="1:16" x14ac:dyDescent="0.3">
      <c r="A586">
        <v>1585</v>
      </c>
      <c r="B586" t="s">
        <v>315</v>
      </c>
      <c r="C586">
        <v>2024</v>
      </c>
      <c r="D586" t="s">
        <v>76</v>
      </c>
      <c r="E586" t="s">
        <v>25</v>
      </c>
      <c r="F586" t="s">
        <v>84</v>
      </c>
      <c r="G586" t="s">
        <v>46</v>
      </c>
      <c r="H586" t="s">
        <v>54</v>
      </c>
      <c r="I586" t="s">
        <v>48</v>
      </c>
      <c r="J586">
        <v>2</v>
      </c>
      <c r="K586">
        <v>16</v>
      </c>
      <c r="L586">
        <v>4</v>
      </c>
      <c r="M586">
        <v>814504</v>
      </c>
      <c r="N586">
        <v>3258016</v>
      </c>
      <c r="O586">
        <v>2506766</v>
      </c>
      <c r="P586">
        <v>751250</v>
      </c>
    </row>
    <row r="587" spans="1:16" x14ac:dyDescent="0.3">
      <c r="A587">
        <v>1586</v>
      </c>
      <c r="B587" t="s">
        <v>137</v>
      </c>
      <c r="C587">
        <v>2024</v>
      </c>
      <c r="D587" t="s">
        <v>39</v>
      </c>
      <c r="E587" t="s">
        <v>40</v>
      </c>
      <c r="F587" t="s">
        <v>104</v>
      </c>
      <c r="G587" t="s">
        <v>90</v>
      </c>
      <c r="H587" t="s">
        <v>52</v>
      </c>
      <c r="I587" t="s">
        <v>22</v>
      </c>
      <c r="J587">
        <v>2</v>
      </c>
      <c r="K587">
        <v>23</v>
      </c>
      <c r="L587">
        <v>5</v>
      </c>
      <c r="M587">
        <v>1173269</v>
      </c>
      <c r="N587">
        <v>5866345</v>
      </c>
      <c r="O587">
        <v>5208125</v>
      </c>
      <c r="P587">
        <v>658220</v>
      </c>
    </row>
    <row r="588" spans="1:16" x14ac:dyDescent="0.3">
      <c r="A588">
        <v>1587</v>
      </c>
      <c r="B588" t="s">
        <v>388</v>
      </c>
      <c r="C588">
        <v>2023</v>
      </c>
      <c r="D588" t="s">
        <v>17</v>
      </c>
      <c r="E588" t="s">
        <v>25</v>
      </c>
      <c r="F588" t="s">
        <v>77</v>
      </c>
      <c r="G588" t="s">
        <v>36</v>
      </c>
      <c r="H588" t="s">
        <v>47</v>
      </c>
      <c r="I588" t="s">
        <v>48</v>
      </c>
      <c r="J588">
        <v>2</v>
      </c>
      <c r="K588">
        <v>18</v>
      </c>
      <c r="L588">
        <v>3</v>
      </c>
      <c r="M588">
        <v>1241976</v>
      </c>
      <c r="N588">
        <v>3725928</v>
      </c>
      <c r="O588">
        <v>3325341</v>
      </c>
      <c r="P588">
        <v>400587</v>
      </c>
    </row>
    <row r="589" spans="1:16" x14ac:dyDescent="0.3">
      <c r="A589">
        <v>1588</v>
      </c>
      <c r="B589" t="s">
        <v>478</v>
      </c>
      <c r="C589">
        <v>2023</v>
      </c>
      <c r="D589" t="s">
        <v>74</v>
      </c>
      <c r="E589" t="s">
        <v>44</v>
      </c>
      <c r="F589" t="s">
        <v>62</v>
      </c>
      <c r="G589" t="s">
        <v>46</v>
      </c>
      <c r="H589" t="s">
        <v>47</v>
      </c>
      <c r="I589" t="s">
        <v>48</v>
      </c>
      <c r="J589">
        <v>1.5</v>
      </c>
      <c r="K589">
        <v>23</v>
      </c>
      <c r="L589">
        <v>6</v>
      </c>
      <c r="M589">
        <v>1221001</v>
      </c>
      <c r="N589">
        <v>7326006</v>
      </c>
      <c r="O589">
        <v>6391818</v>
      </c>
      <c r="P589">
        <v>934188</v>
      </c>
    </row>
    <row r="590" spans="1:16" x14ac:dyDescent="0.3">
      <c r="A590">
        <v>1589</v>
      </c>
      <c r="B590" t="s">
        <v>479</v>
      </c>
      <c r="C590">
        <v>2024</v>
      </c>
      <c r="D590" t="s">
        <v>43</v>
      </c>
      <c r="E590" t="s">
        <v>44</v>
      </c>
      <c r="F590" t="s">
        <v>45</v>
      </c>
      <c r="G590" t="s">
        <v>20</v>
      </c>
      <c r="H590" t="s">
        <v>37</v>
      </c>
      <c r="I590" t="s">
        <v>32</v>
      </c>
      <c r="J590">
        <v>1.5</v>
      </c>
      <c r="K590">
        <v>20</v>
      </c>
      <c r="L590">
        <v>4</v>
      </c>
      <c r="M590">
        <v>1415392</v>
      </c>
      <c r="N590">
        <v>5661568</v>
      </c>
      <c r="O590">
        <v>4731161</v>
      </c>
      <c r="P590">
        <v>930407</v>
      </c>
    </row>
    <row r="591" spans="1:16" x14ac:dyDescent="0.3">
      <c r="A591">
        <v>1590</v>
      </c>
      <c r="B591" t="s">
        <v>55</v>
      </c>
      <c r="C591">
        <v>2023</v>
      </c>
      <c r="D591" t="s">
        <v>50</v>
      </c>
      <c r="E591" t="s">
        <v>40</v>
      </c>
      <c r="F591" t="s">
        <v>41</v>
      </c>
      <c r="G591" t="s">
        <v>90</v>
      </c>
      <c r="H591" t="s">
        <v>79</v>
      </c>
      <c r="I591" t="s">
        <v>48</v>
      </c>
      <c r="J591">
        <v>1</v>
      </c>
      <c r="K591">
        <v>21</v>
      </c>
      <c r="L591">
        <v>4</v>
      </c>
      <c r="M591">
        <v>1092887</v>
      </c>
      <c r="N591">
        <v>4371548</v>
      </c>
      <c r="O591">
        <v>3653592</v>
      </c>
      <c r="P591">
        <v>717956</v>
      </c>
    </row>
    <row r="592" spans="1:16" x14ac:dyDescent="0.3">
      <c r="A592">
        <v>1591</v>
      </c>
      <c r="B592" t="s">
        <v>419</v>
      </c>
      <c r="C592">
        <v>2024</v>
      </c>
      <c r="D592" t="s">
        <v>39</v>
      </c>
      <c r="E592" t="s">
        <v>25</v>
      </c>
      <c r="F592" t="s">
        <v>77</v>
      </c>
      <c r="G592" t="s">
        <v>59</v>
      </c>
      <c r="H592" t="s">
        <v>52</v>
      </c>
      <c r="I592" t="s">
        <v>22</v>
      </c>
      <c r="J592">
        <v>1.5</v>
      </c>
      <c r="K592">
        <v>23</v>
      </c>
      <c r="L592">
        <v>1</v>
      </c>
      <c r="M592">
        <v>1003801</v>
      </c>
      <c r="N592">
        <v>1003801</v>
      </c>
      <c r="O592">
        <v>885241</v>
      </c>
      <c r="P592">
        <v>118560</v>
      </c>
    </row>
    <row r="593" spans="1:16" x14ac:dyDescent="0.3">
      <c r="A593">
        <v>1592</v>
      </c>
      <c r="B593" t="s">
        <v>480</v>
      </c>
      <c r="C593">
        <v>2023</v>
      </c>
      <c r="D593" t="s">
        <v>17</v>
      </c>
      <c r="E593" t="s">
        <v>40</v>
      </c>
      <c r="F593" t="s">
        <v>104</v>
      </c>
      <c r="G593" t="s">
        <v>90</v>
      </c>
      <c r="H593" t="s">
        <v>52</v>
      </c>
      <c r="I593" t="s">
        <v>22</v>
      </c>
      <c r="J593">
        <v>1.2</v>
      </c>
      <c r="K593">
        <v>21</v>
      </c>
      <c r="L593">
        <v>6</v>
      </c>
      <c r="M593">
        <v>1456744</v>
      </c>
      <c r="N593">
        <v>8740464</v>
      </c>
      <c r="O593">
        <v>6893214</v>
      </c>
      <c r="P593">
        <v>1847250</v>
      </c>
    </row>
    <row r="594" spans="1:16" x14ac:dyDescent="0.3">
      <c r="A594">
        <v>1593</v>
      </c>
      <c r="B594" t="s">
        <v>481</v>
      </c>
      <c r="C594">
        <v>2024</v>
      </c>
      <c r="D594" t="s">
        <v>50</v>
      </c>
      <c r="E594" t="s">
        <v>18</v>
      </c>
      <c r="F594" t="s">
        <v>19</v>
      </c>
      <c r="G594" t="s">
        <v>46</v>
      </c>
      <c r="H594" t="s">
        <v>56</v>
      </c>
      <c r="I594" t="s">
        <v>48</v>
      </c>
      <c r="J594">
        <v>1.5</v>
      </c>
      <c r="K594">
        <v>16</v>
      </c>
      <c r="L594">
        <v>7</v>
      </c>
      <c r="M594">
        <v>1076534</v>
      </c>
      <c r="N594">
        <v>7535738</v>
      </c>
      <c r="O594">
        <v>6091484</v>
      </c>
      <c r="P594">
        <v>1444254</v>
      </c>
    </row>
    <row r="595" spans="1:16" x14ac:dyDescent="0.3">
      <c r="A595">
        <v>1594</v>
      </c>
      <c r="B595" t="s">
        <v>66</v>
      </c>
      <c r="C595">
        <v>2023</v>
      </c>
      <c r="D595" t="s">
        <v>67</v>
      </c>
      <c r="E595" t="s">
        <v>25</v>
      </c>
      <c r="F595" t="s">
        <v>58</v>
      </c>
      <c r="G595" t="s">
        <v>59</v>
      </c>
      <c r="H595" t="s">
        <v>31</v>
      </c>
      <c r="I595" t="s">
        <v>32</v>
      </c>
      <c r="J595">
        <v>1.5</v>
      </c>
      <c r="K595">
        <v>16</v>
      </c>
      <c r="L595">
        <v>8</v>
      </c>
      <c r="M595">
        <v>940078</v>
      </c>
      <c r="N595">
        <v>7520624</v>
      </c>
      <c r="O595">
        <v>6519230</v>
      </c>
      <c r="P595">
        <v>1001394</v>
      </c>
    </row>
    <row r="596" spans="1:16" x14ac:dyDescent="0.3">
      <c r="A596">
        <v>1595</v>
      </c>
      <c r="B596" t="s">
        <v>447</v>
      </c>
      <c r="C596">
        <v>2023</v>
      </c>
      <c r="D596" t="s">
        <v>17</v>
      </c>
      <c r="E596" t="s">
        <v>44</v>
      </c>
      <c r="F596" t="s">
        <v>92</v>
      </c>
      <c r="G596" t="s">
        <v>27</v>
      </c>
      <c r="H596" t="s">
        <v>31</v>
      </c>
      <c r="I596" t="s">
        <v>32</v>
      </c>
      <c r="J596">
        <v>1.2</v>
      </c>
      <c r="K596">
        <v>19</v>
      </c>
      <c r="L596">
        <v>5</v>
      </c>
      <c r="M596">
        <v>1289167</v>
      </c>
      <c r="N596">
        <v>6445835</v>
      </c>
      <c r="O596">
        <v>5521946</v>
      </c>
      <c r="P596">
        <v>923889</v>
      </c>
    </row>
    <row r="597" spans="1:16" x14ac:dyDescent="0.3">
      <c r="A597">
        <v>1596</v>
      </c>
      <c r="B597" t="s">
        <v>228</v>
      </c>
      <c r="C597">
        <v>2024</v>
      </c>
      <c r="D597" t="s">
        <v>17</v>
      </c>
      <c r="E597" t="s">
        <v>40</v>
      </c>
      <c r="F597" t="s">
        <v>104</v>
      </c>
      <c r="G597" t="s">
        <v>27</v>
      </c>
      <c r="H597" t="s">
        <v>56</v>
      </c>
      <c r="I597" t="s">
        <v>48</v>
      </c>
      <c r="J597">
        <v>2</v>
      </c>
      <c r="K597">
        <v>21</v>
      </c>
      <c r="L597">
        <v>6</v>
      </c>
      <c r="M597">
        <v>1003424</v>
      </c>
      <c r="N597">
        <v>6020544</v>
      </c>
      <c r="O597">
        <v>5326625</v>
      </c>
      <c r="P597">
        <v>693919</v>
      </c>
    </row>
    <row r="598" spans="1:16" x14ac:dyDescent="0.3">
      <c r="A598">
        <v>1597</v>
      </c>
      <c r="B598" t="s">
        <v>482</v>
      </c>
      <c r="C598">
        <v>2023</v>
      </c>
      <c r="D598" t="s">
        <v>67</v>
      </c>
      <c r="E598" t="s">
        <v>40</v>
      </c>
      <c r="F598" t="s">
        <v>120</v>
      </c>
      <c r="G598" t="s">
        <v>59</v>
      </c>
      <c r="H598" t="s">
        <v>56</v>
      </c>
      <c r="I598" t="s">
        <v>48</v>
      </c>
      <c r="J598">
        <v>2</v>
      </c>
      <c r="K598">
        <v>21</v>
      </c>
      <c r="L598">
        <v>1</v>
      </c>
      <c r="M598">
        <v>1228654</v>
      </c>
      <c r="N598">
        <v>1228654</v>
      </c>
      <c r="O598">
        <v>969056</v>
      </c>
      <c r="P598">
        <v>259598</v>
      </c>
    </row>
    <row r="599" spans="1:16" x14ac:dyDescent="0.3">
      <c r="A599">
        <v>1598</v>
      </c>
      <c r="B599" t="s">
        <v>176</v>
      </c>
      <c r="C599">
        <v>2023</v>
      </c>
      <c r="D599" t="s">
        <v>39</v>
      </c>
      <c r="E599" t="s">
        <v>25</v>
      </c>
      <c r="F599" t="s">
        <v>77</v>
      </c>
      <c r="G599" t="s">
        <v>20</v>
      </c>
      <c r="H599" t="s">
        <v>79</v>
      </c>
      <c r="I599" t="s">
        <v>48</v>
      </c>
      <c r="J599">
        <v>1.2</v>
      </c>
      <c r="K599">
        <v>21</v>
      </c>
      <c r="L599">
        <v>3</v>
      </c>
      <c r="M599">
        <v>1483702</v>
      </c>
      <c r="N599">
        <v>4451106</v>
      </c>
      <c r="O599">
        <v>3627812</v>
      </c>
      <c r="P599">
        <v>823294</v>
      </c>
    </row>
    <row r="600" spans="1:16" x14ac:dyDescent="0.3">
      <c r="A600">
        <v>1599</v>
      </c>
      <c r="B600" t="s">
        <v>483</v>
      </c>
      <c r="C600">
        <v>2023</v>
      </c>
      <c r="D600" t="s">
        <v>43</v>
      </c>
      <c r="E600" t="s">
        <v>40</v>
      </c>
      <c r="F600" t="s">
        <v>41</v>
      </c>
      <c r="G600" t="s">
        <v>27</v>
      </c>
      <c r="H600" t="s">
        <v>31</v>
      </c>
      <c r="I600" t="s">
        <v>32</v>
      </c>
      <c r="J600">
        <v>2</v>
      </c>
      <c r="K600">
        <v>20</v>
      </c>
      <c r="L600">
        <v>1</v>
      </c>
      <c r="M600">
        <v>1352488</v>
      </c>
      <c r="N600">
        <v>1352488</v>
      </c>
      <c r="O600">
        <v>1181991</v>
      </c>
      <c r="P600">
        <v>170497</v>
      </c>
    </row>
    <row r="601" spans="1:16" x14ac:dyDescent="0.3">
      <c r="A601">
        <v>1600</v>
      </c>
      <c r="B601" t="s">
        <v>408</v>
      </c>
      <c r="C601">
        <v>2024</v>
      </c>
      <c r="D601" t="s">
        <v>50</v>
      </c>
      <c r="E601" t="s">
        <v>18</v>
      </c>
      <c r="F601" t="s">
        <v>72</v>
      </c>
      <c r="G601" t="s">
        <v>36</v>
      </c>
      <c r="H601" t="s">
        <v>47</v>
      </c>
      <c r="I601" t="s">
        <v>48</v>
      </c>
      <c r="J601">
        <v>2</v>
      </c>
      <c r="K601">
        <v>19</v>
      </c>
      <c r="L601">
        <v>3</v>
      </c>
      <c r="M601">
        <v>1098958</v>
      </c>
      <c r="N601">
        <v>3296874</v>
      </c>
      <c r="O601">
        <v>2853440</v>
      </c>
      <c r="P601">
        <v>443434</v>
      </c>
    </row>
    <row r="602" spans="1:16" x14ac:dyDescent="0.3">
      <c r="A602">
        <v>1601</v>
      </c>
      <c r="B602" t="s">
        <v>396</v>
      </c>
      <c r="C602">
        <v>2023</v>
      </c>
      <c r="D602" t="s">
        <v>74</v>
      </c>
      <c r="E602" t="s">
        <v>25</v>
      </c>
      <c r="F602" t="s">
        <v>58</v>
      </c>
      <c r="G602" t="s">
        <v>30</v>
      </c>
      <c r="H602" t="s">
        <v>21</v>
      </c>
      <c r="I602" t="s">
        <v>22</v>
      </c>
      <c r="J602">
        <v>2</v>
      </c>
      <c r="K602">
        <v>21</v>
      </c>
      <c r="L602">
        <v>7</v>
      </c>
      <c r="M602">
        <v>1007161</v>
      </c>
      <c r="N602">
        <v>7050127</v>
      </c>
      <c r="O602">
        <v>5559489</v>
      </c>
      <c r="P602">
        <v>1490638</v>
      </c>
    </row>
    <row r="603" spans="1:16" x14ac:dyDescent="0.3">
      <c r="A603">
        <v>1602</v>
      </c>
      <c r="B603" t="s">
        <v>23</v>
      </c>
      <c r="C603">
        <v>2023</v>
      </c>
      <c r="D603" t="s">
        <v>24</v>
      </c>
      <c r="E603" t="s">
        <v>44</v>
      </c>
      <c r="F603" t="s">
        <v>45</v>
      </c>
      <c r="G603" t="s">
        <v>46</v>
      </c>
      <c r="H603" t="s">
        <v>79</v>
      </c>
      <c r="I603" t="s">
        <v>48</v>
      </c>
      <c r="J603">
        <v>1</v>
      </c>
      <c r="K603">
        <v>19</v>
      </c>
      <c r="L603">
        <v>6</v>
      </c>
      <c r="M603">
        <v>1187152</v>
      </c>
      <c r="N603">
        <v>7122912</v>
      </c>
      <c r="O603">
        <v>6220297</v>
      </c>
      <c r="P603">
        <v>902615</v>
      </c>
    </row>
    <row r="604" spans="1:16" x14ac:dyDescent="0.3">
      <c r="A604">
        <v>1603</v>
      </c>
      <c r="B604" t="s">
        <v>386</v>
      </c>
      <c r="C604">
        <v>2023</v>
      </c>
      <c r="D604" t="s">
        <v>61</v>
      </c>
      <c r="E604" t="s">
        <v>18</v>
      </c>
      <c r="F604" t="s">
        <v>35</v>
      </c>
      <c r="G604" t="s">
        <v>59</v>
      </c>
      <c r="H604" t="s">
        <v>79</v>
      </c>
      <c r="I604" t="s">
        <v>48</v>
      </c>
      <c r="J604">
        <v>1.5</v>
      </c>
      <c r="K604">
        <v>16</v>
      </c>
      <c r="L604">
        <v>1</v>
      </c>
      <c r="M604">
        <v>1032309</v>
      </c>
      <c r="N604">
        <v>1032309</v>
      </c>
      <c r="O604">
        <v>802038</v>
      </c>
      <c r="P604">
        <v>230271</v>
      </c>
    </row>
    <row r="605" spans="1:16" x14ac:dyDescent="0.3">
      <c r="A605">
        <v>1604</v>
      </c>
      <c r="B605" t="s">
        <v>389</v>
      </c>
      <c r="C605">
        <v>2024</v>
      </c>
      <c r="D605" t="s">
        <v>97</v>
      </c>
      <c r="E605" t="s">
        <v>18</v>
      </c>
      <c r="F605" t="s">
        <v>35</v>
      </c>
      <c r="G605" t="s">
        <v>20</v>
      </c>
      <c r="H605" t="s">
        <v>21</v>
      </c>
      <c r="I605" t="s">
        <v>22</v>
      </c>
      <c r="J605">
        <v>1.2</v>
      </c>
      <c r="K605">
        <v>18</v>
      </c>
      <c r="L605">
        <v>2</v>
      </c>
      <c r="M605">
        <v>959075</v>
      </c>
      <c r="N605">
        <v>1918150</v>
      </c>
      <c r="O605">
        <v>1554201</v>
      </c>
      <c r="P605">
        <v>363949</v>
      </c>
    </row>
    <row r="606" spans="1:16" x14ac:dyDescent="0.3">
      <c r="A606">
        <v>1605</v>
      </c>
      <c r="B606" t="s">
        <v>484</v>
      </c>
      <c r="C606">
        <v>2023</v>
      </c>
      <c r="D606" t="s">
        <v>43</v>
      </c>
      <c r="E606" t="s">
        <v>40</v>
      </c>
      <c r="F606" t="s">
        <v>68</v>
      </c>
      <c r="G606" t="s">
        <v>90</v>
      </c>
      <c r="H606" t="s">
        <v>37</v>
      </c>
      <c r="I606" t="s">
        <v>32</v>
      </c>
      <c r="J606">
        <v>1.5</v>
      </c>
      <c r="K606">
        <v>19</v>
      </c>
      <c r="L606">
        <v>7</v>
      </c>
      <c r="M606">
        <v>1356081</v>
      </c>
      <c r="N606">
        <v>9492567</v>
      </c>
      <c r="O606">
        <v>7743926</v>
      </c>
      <c r="P606">
        <v>1748641</v>
      </c>
    </row>
    <row r="607" spans="1:16" x14ac:dyDescent="0.3">
      <c r="A607">
        <v>1606</v>
      </c>
      <c r="B607" t="s">
        <v>485</v>
      </c>
      <c r="C607">
        <v>2024</v>
      </c>
      <c r="D607" t="s">
        <v>74</v>
      </c>
      <c r="E607" t="s">
        <v>25</v>
      </c>
      <c r="F607" t="s">
        <v>84</v>
      </c>
      <c r="G607" t="s">
        <v>59</v>
      </c>
      <c r="H607" t="s">
        <v>54</v>
      </c>
      <c r="I607" t="s">
        <v>48</v>
      </c>
      <c r="J607">
        <v>1.5</v>
      </c>
      <c r="K607">
        <v>19</v>
      </c>
      <c r="L607">
        <v>1</v>
      </c>
      <c r="M607">
        <v>680314</v>
      </c>
      <c r="N607">
        <v>680314</v>
      </c>
      <c r="O607">
        <v>523524</v>
      </c>
      <c r="P607">
        <v>156790</v>
      </c>
    </row>
    <row r="608" spans="1:16" x14ac:dyDescent="0.3">
      <c r="A608">
        <v>1607</v>
      </c>
      <c r="B608" t="s">
        <v>486</v>
      </c>
      <c r="C608">
        <v>2024</v>
      </c>
      <c r="D608" t="s">
        <v>61</v>
      </c>
      <c r="E608" t="s">
        <v>44</v>
      </c>
      <c r="F608" t="s">
        <v>70</v>
      </c>
      <c r="G608" t="s">
        <v>90</v>
      </c>
      <c r="H608" t="s">
        <v>56</v>
      </c>
      <c r="I608" t="s">
        <v>48</v>
      </c>
      <c r="J608">
        <v>1.5</v>
      </c>
      <c r="K608">
        <v>19</v>
      </c>
      <c r="L608">
        <v>4</v>
      </c>
      <c r="M608">
        <v>635551</v>
      </c>
      <c r="N608">
        <v>2542204</v>
      </c>
      <c r="O608">
        <v>2172817</v>
      </c>
      <c r="P608">
        <v>369387</v>
      </c>
    </row>
    <row r="609" spans="1:16" x14ac:dyDescent="0.3">
      <c r="A609">
        <v>1608</v>
      </c>
      <c r="B609" t="s">
        <v>147</v>
      </c>
      <c r="C609">
        <v>2024</v>
      </c>
      <c r="D609" t="s">
        <v>34</v>
      </c>
      <c r="E609" t="s">
        <v>44</v>
      </c>
      <c r="F609" t="s">
        <v>92</v>
      </c>
      <c r="G609" t="s">
        <v>27</v>
      </c>
      <c r="H609" t="s">
        <v>37</v>
      </c>
      <c r="I609" t="s">
        <v>32</v>
      </c>
      <c r="J609">
        <v>2</v>
      </c>
      <c r="K609">
        <v>19</v>
      </c>
      <c r="L609">
        <v>8</v>
      </c>
      <c r="M609">
        <v>1423997</v>
      </c>
      <c r="N609">
        <v>11391976</v>
      </c>
      <c r="O609">
        <v>10029354</v>
      </c>
      <c r="P609">
        <v>1362622</v>
      </c>
    </row>
    <row r="610" spans="1:16" x14ac:dyDescent="0.3">
      <c r="A610">
        <v>1609</v>
      </c>
      <c r="B610" t="s">
        <v>380</v>
      </c>
      <c r="C610">
        <v>2023</v>
      </c>
      <c r="D610" t="s">
        <v>34</v>
      </c>
      <c r="E610" t="s">
        <v>18</v>
      </c>
      <c r="F610" t="s">
        <v>19</v>
      </c>
      <c r="G610" t="s">
        <v>90</v>
      </c>
      <c r="H610" t="s">
        <v>56</v>
      </c>
      <c r="I610" t="s">
        <v>48</v>
      </c>
      <c r="J610">
        <v>1</v>
      </c>
      <c r="K610">
        <v>19</v>
      </c>
      <c r="L610">
        <v>5</v>
      </c>
      <c r="M610">
        <v>824504</v>
      </c>
      <c r="N610">
        <v>4122520</v>
      </c>
      <c r="O610">
        <v>3353417</v>
      </c>
      <c r="P610">
        <v>769103</v>
      </c>
    </row>
    <row r="611" spans="1:16" x14ac:dyDescent="0.3">
      <c r="A611">
        <v>1610</v>
      </c>
      <c r="B611" t="s">
        <v>195</v>
      </c>
      <c r="C611">
        <v>2023</v>
      </c>
      <c r="D611" t="s">
        <v>76</v>
      </c>
      <c r="E611" t="s">
        <v>25</v>
      </c>
      <c r="F611" t="s">
        <v>77</v>
      </c>
      <c r="G611" t="s">
        <v>51</v>
      </c>
      <c r="H611" t="s">
        <v>21</v>
      </c>
      <c r="I611" t="s">
        <v>22</v>
      </c>
      <c r="J611">
        <v>1</v>
      </c>
      <c r="K611">
        <v>16</v>
      </c>
      <c r="L611">
        <v>5</v>
      </c>
      <c r="M611">
        <v>918938</v>
      </c>
      <c r="N611">
        <v>4594690</v>
      </c>
      <c r="O611">
        <v>3517595</v>
      </c>
      <c r="P611">
        <v>1077095</v>
      </c>
    </row>
    <row r="612" spans="1:16" x14ac:dyDescent="0.3">
      <c r="A612">
        <v>1611</v>
      </c>
      <c r="B612" t="s">
        <v>487</v>
      </c>
      <c r="C612">
        <v>2024</v>
      </c>
      <c r="D612" t="s">
        <v>34</v>
      </c>
      <c r="E612" t="s">
        <v>44</v>
      </c>
      <c r="F612" t="s">
        <v>45</v>
      </c>
      <c r="G612" t="s">
        <v>46</v>
      </c>
      <c r="H612" t="s">
        <v>100</v>
      </c>
      <c r="I612" t="s">
        <v>22</v>
      </c>
      <c r="J612">
        <v>2</v>
      </c>
      <c r="K612">
        <v>19</v>
      </c>
      <c r="L612">
        <v>6</v>
      </c>
      <c r="M612">
        <v>690592</v>
      </c>
      <c r="N612">
        <v>4143552</v>
      </c>
      <c r="O612">
        <v>3608341</v>
      </c>
      <c r="P612">
        <v>535211</v>
      </c>
    </row>
    <row r="613" spans="1:16" x14ac:dyDescent="0.3">
      <c r="A613">
        <v>1612</v>
      </c>
      <c r="B613" t="s">
        <v>16</v>
      </c>
      <c r="C613">
        <v>2024</v>
      </c>
      <c r="D613" t="s">
        <v>17</v>
      </c>
      <c r="E613" t="s">
        <v>18</v>
      </c>
      <c r="F613" t="s">
        <v>35</v>
      </c>
      <c r="G613" t="s">
        <v>59</v>
      </c>
      <c r="H613" t="s">
        <v>47</v>
      </c>
      <c r="I613" t="s">
        <v>48</v>
      </c>
      <c r="J613">
        <v>1.2</v>
      </c>
      <c r="K613">
        <v>22</v>
      </c>
      <c r="L613">
        <v>1</v>
      </c>
      <c r="M613">
        <v>1444060</v>
      </c>
      <c r="N613">
        <v>1444060</v>
      </c>
      <c r="O613">
        <v>1222212</v>
      </c>
      <c r="P613">
        <v>221848</v>
      </c>
    </row>
    <row r="614" spans="1:16" x14ac:dyDescent="0.3">
      <c r="A614">
        <v>1613</v>
      </c>
      <c r="B614" t="s">
        <v>488</v>
      </c>
      <c r="C614">
        <v>2023</v>
      </c>
      <c r="D614" t="s">
        <v>43</v>
      </c>
      <c r="E614" t="s">
        <v>44</v>
      </c>
      <c r="F614" t="s">
        <v>45</v>
      </c>
      <c r="G614" t="s">
        <v>51</v>
      </c>
      <c r="H614" t="s">
        <v>63</v>
      </c>
      <c r="I614" t="s">
        <v>22</v>
      </c>
      <c r="J614">
        <v>1.5</v>
      </c>
      <c r="K614">
        <v>19</v>
      </c>
      <c r="L614">
        <v>2</v>
      </c>
      <c r="M614">
        <v>1028921</v>
      </c>
      <c r="N614">
        <v>2057842</v>
      </c>
      <c r="O614">
        <v>1678970</v>
      </c>
      <c r="P614">
        <v>378872</v>
      </c>
    </row>
    <row r="615" spans="1:16" x14ac:dyDescent="0.3">
      <c r="A615">
        <v>1614</v>
      </c>
      <c r="B615" t="s">
        <v>224</v>
      </c>
      <c r="C615">
        <v>2023</v>
      </c>
      <c r="D615" t="s">
        <v>43</v>
      </c>
      <c r="E615" t="s">
        <v>18</v>
      </c>
      <c r="F615" t="s">
        <v>35</v>
      </c>
      <c r="G615" t="s">
        <v>59</v>
      </c>
      <c r="H615" t="s">
        <v>54</v>
      </c>
      <c r="I615" t="s">
        <v>48</v>
      </c>
      <c r="J615">
        <v>1</v>
      </c>
      <c r="K615">
        <v>16</v>
      </c>
      <c r="L615">
        <v>1</v>
      </c>
      <c r="M615">
        <v>1302684</v>
      </c>
      <c r="N615">
        <v>1302684</v>
      </c>
      <c r="O615">
        <v>1103517</v>
      </c>
      <c r="P615">
        <v>199167</v>
      </c>
    </row>
    <row r="616" spans="1:16" x14ac:dyDescent="0.3">
      <c r="A616">
        <v>1615</v>
      </c>
      <c r="B616" t="s">
        <v>489</v>
      </c>
      <c r="C616">
        <v>2023</v>
      </c>
      <c r="D616" t="s">
        <v>24</v>
      </c>
      <c r="E616" t="s">
        <v>18</v>
      </c>
      <c r="F616" t="s">
        <v>19</v>
      </c>
      <c r="G616" t="s">
        <v>90</v>
      </c>
      <c r="H616" t="s">
        <v>79</v>
      </c>
      <c r="I616" t="s">
        <v>48</v>
      </c>
      <c r="J616">
        <v>1</v>
      </c>
      <c r="K616">
        <v>22</v>
      </c>
      <c r="L616">
        <v>5</v>
      </c>
      <c r="M616">
        <v>1259378</v>
      </c>
      <c r="N616">
        <v>6296890</v>
      </c>
      <c r="O616">
        <v>4790322</v>
      </c>
      <c r="P616">
        <v>1506568</v>
      </c>
    </row>
    <row r="617" spans="1:16" x14ac:dyDescent="0.3">
      <c r="A617">
        <v>1616</v>
      </c>
      <c r="B617" t="s">
        <v>236</v>
      </c>
      <c r="C617">
        <v>2023</v>
      </c>
      <c r="D617" t="s">
        <v>50</v>
      </c>
      <c r="E617" t="s">
        <v>44</v>
      </c>
      <c r="F617" t="s">
        <v>92</v>
      </c>
      <c r="G617" t="s">
        <v>20</v>
      </c>
      <c r="H617" t="s">
        <v>21</v>
      </c>
      <c r="I617" t="s">
        <v>22</v>
      </c>
      <c r="J617">
        <v>2</v>
      </c>
      <c r="K617">
        <v>23</v>
      </c>
      <c r="L617">
        <v>8</v>
      </c>
      <c r="M617">
        <v>1419251</v>
      </c>
      <c r="N617">
        <v>11354008</v>
      </c>
      <c r="O617">
        <v>9227120</v>
      </c>
      <c r="P617">
        <v>2126888</v>
      </c>
    </row>
    <row r="618" spans="1:16" x14ac:dyDescent="0.3">
      <c r="A618">
        <v>1617</v>
      </c>
      <c r="B618" t="s">
        <v>490</v>
      </c>
      <c r="C618">
        <v>2024</v>
      </c>
      <c r="D618" t="s">
        <v>67</v>
      </c>
      <c r="E618" t="s">
        <v>18</v>
      </c>
      <c r="F618" t="s">
        <v>35</v>
      </c>
      <c r="G618" t="s">
        <v>36</v>
      </c>
      <c r="H618" t="s">
        <v>63</v>
      </c>
      <c r="I618" t="s">
        <v>22</v>
      </c>
      <c r="J618">
        <v>1.2</v>
      </c>
      <c r="K618">
        <v>22</v>
      </c>
      <c r="L618">
        <v>8</v>
      </c>
      <c r="M618">
        <v>1336250</v>
      </c>
      <c r="N618">
        <v>10690000</v>
      </c>
      <c r="O618">
        <v>9006245</v>
      </c>
      <c r="P618">
        <v>1683755</v>
      </c>
    </row>
    <row r="619" spans="1:16" x14ac:dyDescent="0.3">
      <c r="A619">
        <v>1618</v>
      </c>
      <c r="B619" t="s">
        <v>491</v>
      </c>
      <c r="C619">
        <v>2023</v>
      </c>
      <c r="D619" t="s">
        <v>34</v>
      </c>
      <c r="E619" t="s">
        <v>40</v>
      </c>
      <c r="F619" t="s">
        <v>120</v>
      </c>
      <c r="G619" t="s">
        <v>27</v>
      </c>
      <c r="H619" t="s">
        <v>63</v>
      </c>
      <c r="I619" t="s">
        <v>22</v>
      </c>
      <c r="J619">
        <v>2</v>
      </c>
      <c r="K619">
        <v>16</v>
      </c>
      <c r="L619">
        <v>5</v>
      </c>
      <c r="M619">
        <v>1150143</v>
      </c>
      <c r="N619">
        <v>5750715</v>
      </c>
      <c r="O619">
        <v>4944735</v>
      </c>
      <c r="P619">
        <v>805980</v>
      </c>
    </row>
    <row r="620" spans="1:16" x14ac:dyDescent="0.3">
      <c r="A620">
        <v>1619</v>
      </c>
      <c r="B620" t="s">
        <v>278</v>
      </c>
      <c r="C620">
        <v>2023</v>
      </c>
      <c r="D620" t="s">
        <v>50</v>
      </c>
      <c r="E620" t="s">
        <v>40</v>
      </c>
      <c r="F620" t="s">
        <v>68</v>
      </c>
      <c r="G620" t="s">
        <v>36</v>
      </c>
      <c r="H620" t="s">
        <v>54</v>
      </c>
      <c r="I620" t="s">
        <v>48</v>
      </c>
      <c r="J620">
        <v>2</v>
      </c>
      <c r="K620">
        <v>16</v>
      </c>
      <c r="L620">
        <v>8</v>
      </c>
      <c r="M620">
        <v>1048645</v>
      </c>
      <c r="N620">
        <v>8389160</v>
      </c>
      <c r="O620">
        <v>6943464</v>
      </c>
      <c r="P620">
        <v>1445696</v>
      </c>
    </row>
    <row r="621" spans="1:16" x14ac:dyDescent="0.3">
      <c r="A621">
        <v>1620</v>
      </c>
      <c r="B621" t="s">
        <v>102</v>
      </c>
      <c r="C621">
        <v>2023</v>
      </c>
      <c r="D621" t="s">
        <v>29</v>
      </c>
      <c r="E621" t="s">
        <v>40</v>
      </c>
      <c r="F621" t="s">
        <v>41</v>
      </c>
      <c r="G621" t="s">
        <v>27</v>
      </c>
      <c r="H621" t="s">
        <v>100</v>
      </c>
      <c r="I621" t="s">
        <v>22</v>
      </c>
      <c r="J621">
        <v>2</v>
      </c>
      <c r="K621">
        <v>18</v>
      </c>
      <c r="L621">
        <v>8</v>
      </c>
      <c r="M621">
        <v>1250394</v>
      </c>
      <c r="N621">
        <v>10003152</v>
      </c>
      <c r="O621">
        <v>8426773</v>
      </c>
      <c r="P621">
        <v>1576379</v>
      </c>
    </row>
    <row r="622" spans="1:16" x14ac:dyDescent="0.3">
      <c r="A622">
        <v>1621</v>
      </c>
      <c r="B622" t="s">
        <v>492</v>
      </c>
      <c r="C622">
        <v>2024</v>
      </c>
      <c r="D622" t="s">
        <v>74</v>
      </c>
      <c r="E622" t="s">
        <v>18</v>
      </c>
      <c r="F622" t="s">
        <v>35</v>
      </c>
      <c r="G622" t="s">
        <v>90</v>
      </c>
      <c r="H622" t="s">
        <v>52</v>
      </c>
      <c r="I622" t="s">
        <v>22</v>
      </c>
      <c r="J622">
        <v>1</v>
      </c>
      <c r="K622">
        <v>19</v>
      </c>
      <c r="L622">
        <v>5</v>
      </c>
      <c r="M622">
        <v>1032857</v>
      </c>
      <c r="N622">
        <v>5164285</v>
      </c>
      <c r="O622">
        <v>4166493</v>
      </c>
      <c r="P622">
        <v>997792</v>
      </c>
    </row>
    <row r="623" spans="1:16" x14ac:dyDescent="0.3">
      <c r="A623">
        <v>1622</v>
      </c>
      <c r="B623" t="s">
        <v>482</v>
      </c>
      <c r="C623">
        <v>2023</v>
      </c>
      <c r="D623" t="s">
        <v>67</v>
      </c>
      <c r="E623" t="s">
        <v>44</v>
      </c>
      <c r="F623" t="s">
        <v>92</v>
      </c>
      <c r="G623" t="s">
        <v>90</v>
      </c>
      <c r="H623" t="s">
        <v>21</v>
      </c>
      <c r="I623" t="s">
        <v>22</v>
      </c>
      <c r="J623">
        <v>2</v>
      </c>
      <c r="K623">
        <v>22</v>
      </c>
      <c r="L623">
        <v>6</v>
      </c>
      <c r="M623">
        <v>1362255</v>
      </c>
      <c r="N623">
        <v>8173530</v>
      </c>
      <c r="O623">
        <v>7123319</v>
      </c>
      <c r="P623">
        <v>1050211</v>
      </c>
    </row>
    <row r="624" spans="1:16" x14ac:dyDescent="0.3">
      <c r="A624">
        <v>1623</v>
      </c>
      <c r="B624" t="s">
        <v>480</v>
      </c>
      <c r="C624">
        <v>2023</v>
      </c>
      <c r="D624" t="s">
        <v>17</v>
      </c>
      <c r="E624" t="s">
        <v>18</v>
      </c>
      <c r="F624" t="s">
        <v>107</v>
      </c>
      <c r="G624" t="s">
        <v>30</v>
      </c>
      <c r="H624" t="s">
        <v>21</v>
      </c>
      <c r="I624" t="s">
        <v>22</v>
      </c>
      <c r="J624">
        <v>1</v>
      </c>
      <c r="K624">
        <v>23</v>
      </c>
      <c r="L624">
        <v>6</v>
      </c>
      <c r="M624">
        <v>614475</v>
      </c>
      <c r="N624">
        <v>3686850</v>
      </c>
      <c r="O624">
        <v>3055184</v>
      </c>
      <c r="P624">
        <v>631666</v>
      </c>
    </row>
    <row r="625" spans="1:16" x14ac:dyDescent="0.3">
      <c r="A625">
        <v>1624</v>
      </c>
      <c r="B625" t="s">
        <v>490</v>
      </c>
      <c r="C625">
        <v>2024</v>
      </c>
      <c r="D625" t="s">
        <v>67</v>
      </c>
      <c r="E625" t="s">
        <v>25</v>
      </c>
      <c r="F625" t="s">
        <v>77</v>
      </c>
      <c r="G625" t="s">
        <v>51</v>
      </c>
      <c r="H625" t="s">
        <v>100</v>
      </c>
      <c r="I625" t="s">
        <v>22</v>
      </c>
      <c r="J625">
        <v>1.2</v>
      </c>
      <c r="K625">
        <v>23</v>
      </c>
      <c r="L625">
        <v>3</v>
      </c>
      <c r="M625">
        <v>1473142</v>
      </c>
      <c r="N625">
        <v>4419426</v>
      </c>
      <c r="O625">
        <v>3651291</v>
      </c>
      <c r="P625">
        <v>768135</v>
      </c>
    </row>
    <row r="626" spans="1:16" x14ac:dyDescent="0.3">
      <c r="A626">
        <v>1625</v>
      </c>
      <c r="B626" t="s">
        <v>480</v>
      </c>
      <c r="C626">
        <v>2023</v>
      </c>
      <c r="D626" t="s">
        <v>17</v>
      </c>
      <c r="E626" t="s">
        <v>40</v>
      </c>
      <c r="F626" t="s">
        <v>68</v>
      </c>
      <c r="G626" t="s">
        <v>20</v>
      </c>
      <c r="H626" t="s">
        <v>37</v>
      </c>
      <c r="I626" t="s">
        <v>32</v>
      </c>
      <c r="J626">
        <v>2</v>
      </c>
      <c r="K626">
        <v>18</v>
      </c>
      <c r="L626">
        <v>6</v>
      </c>
      <c r="M626">
        <v>696181</v>
      </c>
      <c r="N626">
        <v>4177086</v>
      </c>
      <c r="O626">
        <v>3169920</v>
      </c>
      <c r="P626">
        <v>1007166</v>
      </c>
    </row>
    <row r="627" spans="1:16" x14ac:dyDescent="0.3">
      <c r="A627">
        <v>1626</v>
      </c>
      <c r="B627" t="s">
        <v>493</v>
      </c>
      <c r="C627">
        <v>2023</v>
      </c>
      <c r="D627" t="s">
        <v>24</v>
      </c>
      <c r="E627" t="s">
        <v>25</v>
      </c>
      <c r="F627" t="s">
        <v>77</v>
      </c>
      <c r="G627" t="s">
        <v>51</v>
      </c>
      <c r="H627" t="s">
        <v>37</v>
      </c>
      <c r="I627" t="s">
        <v>32</v>
      </c>
      <c r="J627">
        <v>2</v>
      </c>
      <c r="K627">
        <v>23</v>
      </c>
      <c r="L627">
        <v>3</v>
      </c>
      <c r="M627">
        <v>773412</v>
      </c>
      <c r="N627">
        <v>2320236</v>
      </c>
      <c r="O627">
        <v>2027944</v>
      </c>
      <c r="P627">
        <v>292292</v>
      </c>
    </row>
    <row r="628" spans="1:16" x14ac:dyDescent="0.3">
      <c r="A628">
        <v>1627</v>
      </c>
      <c r="B628" t="s">
        <v>396</v>
      </c>
      <c r="C628">
        <v>2023</v>
      </c>
      <c r="D628" t="s">
        <v>74</v>
      </c>
      <c r="E628" t="s">
        <v>25</v>
      </c>
      <c r="F628" t="s">
        <v>84</v>
      </c>
      <c r="G628" t="s">
        <v>30</v>
      </c>
      <c r="H628" t="s">
        <v>63</v>
      </c>
      <c r="I628" t="s">
        <v>22</v>
      </c>
      <c r="J628">
        <v>2</v>
      </c>
      <c r="K628">
        <v>20</v>
      </c>
      <c r="L628">
        <v>6</v>
      </c>
      <c r="M628">
        <v>1460313</v>
      </c>
      <c r="N628">
        <v>8761878</v>
      </c>
      <c r="O628">
        <v>7829114</v>
      </c>
      <c r="P628">
        <v>932764</v>
      </c>
    </row>
    <row r="629" spans="1:16" x14ac:dyDescent="0.3">
      <c r="A629">
        <v>1628</v>
      </c>
      <c r="B629" t="s">
        <v>494</v>
      </c>
      <c r="C629">
        <v>2023</v>
      </c>
      <c r="D629" t="s">
        <v>39</v>
      </c>
      <c r="E629" t="s">
        <v>40</v>
      </c>
      <c r="F629" t="s">
        <v>104</v>
      </c>
      <c r="G629" t="s">
        <v>90</v>
      </c>
      <c r="H629" t="s">
        <v>54</v>
      </c>
      <c r="I629" t="s">
        <v>48</v>
      </c>
      <c r="J629">
        <v>1.2</v>
      </c>
      <c r="K629">
        <v>23</v>
      </c>
      <c r="L629">
        <v>8</v>
      </c>
      <c r="M629">
        <v>1183874</v>
      </c>
      <c r="N629">
        <v>9470992</v>
      </c>
      <c r="O629">
        <v>8142133</v>
      </c>
      <c r="P629">
        <v>1328859</v>
      </c>
    </row>
    <row r="630" spans="1:16" x14ac:dyDescent="0.3">
      <c r="A630">
        <v>1629</v>
      </c>
      <c r="B630" t="s">
        <v>495</v>
      </c>
      <c r="C630">
        <v>2024</v>
      </c>
      <c r="D630" t="s">
        <v>29</v>
      </c>
      <c r="E630" t="s">
        <v>25</v>
      </c>
      <c r="F630" t="s">
        <v>26</v>
      </c>
      <c r="G630" t="s">
        <v>27</v>
      </c>
      <c r="H630" t="s">
        <v>56</v>
      </c>
      <c r="I630" t="s">
        <v>48</v>
      </c>
      <c r="J630">
        <v>1.2</v>
      </c>
      <c r="K630">
        <v>22</v>
      </c>
      <c r="L630">
        <v>2</v>
      </c>
      <c r="M630">
        <v>903449</v>
      </c>
      <c r="N630">
        <v>1806898</v>
      </c>
      <c r="O630">
        <v>1448893</v>
      </c>
      <c r="P630">
        <v>358005</v>
      </c>
    </row>
    <row r="631" spans="1:16" x14ac:dyDescent="0.3">
      <c r="A631">
        <v>1630</v>
      </c>
      <c r="B631" t="s">
        <v>496</v>
      </c>
      <c r="C631">
        <v>2023</v>
      </c>
      <c r="D631" t="s">
        <v>34</v>
      </c>
      <c r="E631" t="s">
        <v>44</v>
      </c>
      <c r="F631" t="s">
        <v>62</v>
      </c>
      <c r="G631" t="s">
        <v>27</v>
      </c>
      <c r="H631" t="s">
        <v>79</v>
      </c>
      <c r="I631" t="s">
        <v>48</v>
      </c>
      <c r="J631">
        <v>1</v>
      </c>
      <c r="K631">
        <v>23</v>
      </c>
      <c r="L631">
        <v>6</v>
      </c>
      <c r="M631">
        <v>607602</v>
      </c>
      <c r="N631">
        <v>3645612</v>
      </c>
      <c r="O631">
        <v>2951295</v>
      </c>
      <c r="P631">
        <v>694317</v>
      </c>
    </row>
    <row r="632" spans="1:16" x14ac:dyDescent="0.3">
      <c r="A632">
        <v>1631</v>
      </c>
      <c r="B632" t="s">
        <v>457</v>
      </c>
      <c r="C632">
        <v>2023</v>
      </c>
      <c r="D632" t="s">
        <v>39</v>
      </c>
      <c r="E632" t="s">
        <v>18</v>
      </c>
      <c r="F632" t="s">
        <v>72</v>
      </c>
      <c r="G632" t="s">
        <v>27</v>
      </c>
      <c r="H632" t="s">
        <v>21</v>
      </c>
      <c r="I632" t="s">
        <v>22</v>
      </c>
      <c r="J632">
        <v>1</v>
      </c>
      <c r="K632">
        <v>23</v>
      </c>
      <c r="L632">
        <v>4</v>
      </c>
      <c r="M632">
        <v>1461121</v>
      </c>
      <c r="N632">
        <v>5844484</v>
      </c>
      <c r="O632">
        <v>4445298</v>
      </c>
      <c r="P632">
        <v>1399186</v>
      </c>
    </row>
    <row r="633" spans="1:16" x14ac:dyDescent="0.3">
      <c r="A633">
        <v>1632</v>
      </c>
      <c r="B633" t="s">
        <v>497</v>
      </c>
      <c r="C633">
        <v>2024</v>
      </c>
      <c r="D633" t="s">
        <v>76</v>
      </c>
      <c r="E633" t="s">
        <v>18</v>
      </c>
      <c r="F633" t="s">
        <v>19</v>
      </c>
      <c r="G633" t="s">
        <v>90</v>
      </c>
      <c r="H633" t="s">
        <v>63</v>
      </c>
      <c r="I633" t="s">
        <v>22</v>
      </c>
      <c r="J633">
        <v>1.5</v>
      </c>
      <c r="K633">
        <v>19</v>
      </c>
      <c r="L633">
        <v>8</v>
      </c>
      <c r="M633">
        <v>1431683</v>
      </c>
      <c r="N633">
        <v>11453464</v>
      </c>
      <c r="O633">
        <v>8681688</v>
      </c>
      <c r="P633">
        <v>2771776</v>
      </c>
    </row>
    <row r="634" spans="1:16" x14ac:dyDescent="0.3">
      <c r="A634">
        <v>1633</v>
      </c>
      <c r="B634" t="s">
        <v>498</v>
      </c>
      <c r="C634">
        <v>2023</v>
      </c>
      <c r="D634" t="s">
        <v>17</v>
      </c>
      <c r="E634" t="s">
        <v>40</v>
      </c>
      <c r="F634" t="s">
        <v>41</v>
      </c>
      <c r="G634" t="s">
        <v>36</v>
      </c>
      <c r="H634" t="s">
        <v>21</v>
      </c>
      <c r="I634" t="s">
        <v>22</v>
      </c>
      <c r="J634">
        <v>1.5</v>
      </c>
      <c r="K634">
        <v>23</v>
      </c>
      <c r="L634">
        <v>4</v>
      </c>
      <c r="M634">
        <v>753261</v>
      </c>
      <c r="N634">
        <v>3013044</v>
      </c>
      <c r="O634">
        <v>2348197</v>
      </c>
      <c r="P634">
        <v>664847</v>
      </c>
    </row>
    <row r="635" spans="1:16" x14ac:dyDescent="0.3">
      <c r="A635">
        <v>1634</v>
      </c>
      <c r="B635" t="s">
        <v>110</v>
      </c>
      <c r="C635">
        <v>2023</v>
      </c>
      <c r="D635" t="s">
        <v>39</v>
      </c>
      <c r="E635" t="s">
        <v>40</v>
      </c>
      <c r="F635" t="s">
        <v>68</v>
      </c>
      <c r="G635" t="s">
        <v>30</v>
      </c>
      <c r="H635" t="s">
        <v>52</v>
      </c>
      <c r="I635" t="s">
        <v>22</v>
      </c>
      <c r="J635">
        <v>2</v>
      </c>
      <c r="K635">
        <v>23</v>
      </c>
      <c r="L635">
        <v>7</v>
      </c>
      <c r="M635">
        <v>735390</v>
      </c>
      <c r="N635">
        <v>5147730</v>
      </c>
      <c r="O635">
        <v>4418161</v>
      </c>
      <c r="P635">
        <v>729569</v>
      </c>
    </row>
    <row r="636" spans="1:16" x14ac:dyDescent="0.3">
      <c r="A636">
        <v>1635</v>
      </c>
      <c r="B636" t="s">
        <v>166</v>
      </c>
      <c r="C636">
        <v>2023</v>
      </c>
      <c r="D636" t="s">
        <v>24</v>
      </c>
      <c r="E636" t="s">
        <v>44</v>
      </c>
      <c r="F636" t="s">
        <v>62</v>
      </c>
      <c r="G636" t="s">
        <v>36</v>
      </c>
      <c r="H636" t="s">
        <v>100</v>
      </c>
      <c r="I636" t="s">
        <v>22</v>
      </c>
      <c r="J636">
        <v>1.2</v>
      </c>
      <c r="K636">
        <v>20</v>
      </c>
      <c r="L636">
        <v>3</v>
      </c>
      <c r="M636">
        <v>1315930</v>
      </c>
      <c r="N636">
        <v>3947790</v>
      </c>
      <c r="O636">
        <v>3499008</v>
      </c>
      <c r="P636">
        <v>448782</v>
      </c>
    </row>
    <row r="637" spans="1:16" x14ac:dyDescent="0.3">
      <c r="A637">
        <v>1636</v>
      </c>
      <c r="B637" t="s">
        <v>499</v>
      </c>
      <c r="C637">
        <v>2024</v>
      </c>
      <c r="D637" t="s">
        <v>76</v>
      </c>
      <c r="E637" t="s">
        <v>44</v>
      </c>
      <c r="F637" t="s">
        <v>62</v>
      </c>
      <c r="G637" t="s">
        <v>59</v>
      </c>
      <c r="H637" t="s">
        <v>56</v>
      </c>
      <c r="I637" t="s">
        <v>48</v>
      </c>
      <c r="J637">
        <v>1.5</v>
      </c>
      <c r="K637">
        <v>18</v>
      </c>
      <c r="L637">
        <v>3</v>
      </c>
      <c r="M637">
        <v>920294</v>
      </c>
      <c r="N637">
        <v>2760882</v>
      </c>
      <c r="O637">
        <v>2098404</v>
      </c>
      <c r="P637">
        <v>662478</v>
      </c>
    </row>
    <row r="638" spans="1:16" x14ac:dyDescent="0.3">
      <c r="A638">
        <v>1637</v>
      </c>
      <c r="B638" t="s">
        <v>330</v>
      </c>
      <c r="C638">
        <v>2024</v>
      </c>
      <c r="D638" t="s">
        <v>76</v>
      </c>
      <c r="E638" t="s">
        <v>18</v>
      </c>
      <c r="F638" t="s">
        <v>107</v>
      </c>
      <c r="G638" t="s">
        <v>59</v>
      </c>
      <c r="H638" t="s">
        <v>47</v>
      </c>
      <c r="I638" t="s">
        <v>48</v>
      </c>
      <c r="J638">
        <v>1.5</v>
      </c>
      <c r="K638">
        <v>18</v>
      </c>
      <c r="L638">
        <v>8</v>
      </c>
      <c r="M638">
        <v>1288512</v>
      </c>
      <c r="N638">
        <v>10308096</v>
      </c>
      <c r="O638">
        <v>7753302</v>
      </c>
      <c r="P638">
        <v>2554794</v>
      </c>
    </row>
    <row r="639" spans="1:16" x14ac:dyDescent="0.3">
      <c r="A639">
        <v>1638</v>
      </c>
      <c r="B639" t="s">
        <v>263</v>
      </c>
      <c r="C639">
        <v>2024</v>
      </c>
      <c r="D639" t="s">
        <v>34</v>
      </c>
      <c r="E639" t="s">
        <v>25</v>
      </c>
      <c r="F639" t="s">
        <v>84</v>
      </c>
      <c r="G639" t="s">
        <v>30</v>
      </c>
      <c r="H639" t="s">
        <v>54</v>
      </c>
      <c r="I639" t="s">
        <v>48</v>
      </c>
      <c r="J639">
        <v>2</v>
      </c>
      <c r="K639">
        <v>16</v>
      </c>
      <c r="L639">
        <v>6</v>
      </c>
      <c r="M639">
        <v>1159017</v>
      </c>
      <c r="N639">
        <v>6954102</v>
      </c>
      <c r="O639">
        <v>6252547</v>
      </c>
      <c r="P639">
        <v>701555</v>
      </c>
    </row>
    <row r="640" spans="1:16" x14ac:dyDescent="0.3">
      <c r="A640">
        <v>1639</v>
      </c>
      <c r="B640" t="s">
        <v>366</v>
      </c>
      <c r="C640">
        <v>2024</v>
      </c>
      <c r="D640" t="s">
        <v>17</v>
      </c>
      <c r="E640" t="s">
        <v>44</v>
      </c>
      <c r="F640" t="s">
        <v>92</v>
      </c>
      <c r="G640" t="s">
        <v>59</v>
      </c>
      <c r="H640" t="s">
        <v>21</v>
      </c>
      <c r="I640" t="s">
        <v>22</v>
      </c>
      <c r="J640">
        <v>1.5</v>
      </c>
      <c r="K640">
        <v>23</v>
      </c>
      <c r="L640">
        <v>5</v>
      </c>
      <c r="M640">
        <v>859282</v>
      </c>
      <c r="N640">
        <v>4296410</v>
      </c>
      <c r="O640">
        <v>3361292</v>
      </c>
      <c r="P640">
        <v>935118</v>
      </c>
    </row>
    <row r="641" spans="1:16" x14ac:dyDescent="0.3">
      <c r="A641">
        <v>1640</v>
      </c>
      <c r="B641" t="s">
        <v>185</v>
      </c>
      <c r="C641">
        <v>2023</v>
      </c>
      <c r="D641" t="s">
        <v>74</v>
      </c>
      <c r="E641" t="s">
        <v>40</v>
      </c>
      <c r="F641" t="s">
        <v>68</v>
      </c>
      <c r="G641" t="s">
        <v>59</v>
      </c>
      <c r="H641" t="s">
        <v>52</v>
      </c>
      <c r="I641" t="s">
        <v>22</v>
      </c>
      <c r="J641">
        <v>2</v>
      </c>
      <c r="K641">
        <v>22</v>
      </c>
      <c r="L641">
        <v>4</v>
      </c>
      <c r="M641">
        <v>1430283</v>
      </c>
      <c r="N641">
        <v>5721132</v>
      </c>
      <c r="O641">
        <v>4694064</v>
      </c>
      <c r="P641">
        <v>1027068</v>
      </c>
    </row>
    <row r="642" spans="1:16" x14ac:dyDescent="0.3">
      <c r="A642">
        <v>1641</v>
      </c>
      <c r="B642" t="s">
        <v>195</v>
      </c>
      <c r="C642">
        <v>2023</v>
      </c>
      <c r="D642" t="s">
        <v>76</v>
      </c>
      <c r="E642" t="s">
        <v>18</v>
      </c>
      <c r="F642" t="s">
        <v>72</v>
      </c>
      <c r="G642" t="s">
        <v>20</v>
      </c>
      <c r="H642" t="s">
        <v>54</v>
      </c>
      <c r="I642" t="s">
        <v>48</v>
      </c>
      <c r="J642">
        <v>1.2</v>
      </c>
      <c r="K642">
        <v>23</v>
      </c>
      <c r="L642">
        <v>7</v>
      </c>
      <c r="M642">
        <v>1086409</v>
      </c>
      <c r="N642">
        <v>7604863</v>
      </c>
      <c r="O642">
        <v>6556682</v>
      </c>
      <c r="P642">
        <v>1048181</v>
      </c>
    </row>
    <row r="643" spans="1:16" x14ac:dyDescent="0.3">
      <c r="A643">
        <v>1642</v>
      </c>
      <c r="B643" t="s">
        <v>150</v>
      </c>
      <c r="C643">
        <v>2023</v>
      </c>
      <c r="D643" t="s">
        <v>43</v>
      </c>
      <c r="E643" t="s">
        <v>44</v>
      </c>
      <c r="F643" t="s">
        <v>62</v>
      </c>
      <c r="G643" t="s">
        <v>46</v>
      </c>
      <c r="H643" t="s">
        <v>21</v>
      </c>
      <c r="I643" t="s">
        <v>22</v>
      </c>
      <c r="J643">
        <v>1</v>
      </c>
      <c r="K643">
        <v>18</v>
      </c>
      <c r="L643">
        <v>1</v>
      </c>
      <c r="M643">
        <v>1122555</v>
      </c>
      <c r="N643">
        <v>1122555</v>
      </c>
      <c r="O643">
        <v>936893</v>
      </c>
      <c r="P643">
        <v>185662</v>
      </c>
    </row>
    <row r="644" spans="1:16" x14ac:dyDescent="0.3">
      <c r="A644">
        <v>1643</v>
      </c>
      <c r="B644" t="s">
        <v>500</v>
      </c>
      <c r="C644">
        <v>2023</v>
      </c>
      <c r="D644" t="s">
        <v>74</v>
      </c>
      <c r="E644" t="s">
        <v>40</v>
      </c>
      <c r="F644" t="s">
        <v>120</v>
      </c>
      <c r="G644" t="s">
        <v>90</v>
      </c>
      <c r="H644" t="s">
        <v>37</v>
      </c>
      <c r="I644" t="s">
        <v>32</v>
      </c>
      <c r="J644">
        <v>1.2</v>
      </c>
      <c r="K644">
        <v>20</v>
      </c>
      <c r="L644">
        <v>4</v>
      </c>
      <c r="M644">
        <v>679339</v>
      </c>
      <c r="N644">
        <v>2717356</v>
      </c>
      <c r="O644">
        <v>2295967</v>
      </c>
      <c r="P644">
        <v>421389</v>
      </c>
    </row>
    <row r="645" spans="1:16" x14ac:dyDescent="0.3">
      <c r="A645">
        <v>1644</v>
      </c>
      <c r="B645" t="s">
        <v>161</v>
      </c>
      <c r="C645">
        <v>2023</v>
      </c>
      <c r="D645" t="s">
        <v>50</v>
      </c>
      <c r="E645" t="s">
        <v>18</v>
      </c>
      <c r="F645" t="s">
        <v>19</v>
      </c>
      <c r="G645" t="s">
        <v>30</v>
      </c>
      <c r="H645" t="s">
        <v>47</v>
      </c>
      <c r="I645" t="s">
        <v>48</v>
      </c>
      <c r="J645">
        <v>1.2</v>
      </c>
      <c r="K645">
        <v>18</v>
      </c>
      <c r="L645">
        <v>7</v>
      </c>
      <c r="M645">
        <v>922338</v>
      </c>
      <c r="N645">
        <v>6456366</v>
      </c>
      <c r="O645">
        <v>5760557</v>
      </c>
      <c r="P645">
        <v>695809</v>
      </c>
    </row>
    <row r="646" spans="1:16" x14ac:dyDescent="0.3">
      <c r="A646">
        <v>1645</v>
      </c>
      <c r="B646" t="s">
        <v>501</v>
      </c>
      <c r="C646">
        <v>2024</v>
      </c>
      <c r="D646" t="s">
        <v>24</v>
      </c>
      <c r="E646" t="s">
        <v>40</v>
      </c>
      <c r="F646" t="s">
        <v>68</v>
      </c>
      <c r="G646" t="s">
        <v>51</v>
      </c>
      <c r="H646" t="s">
        <v>37</v>
      </c>
      <c r="I646" t="s">
        <v>32</v>
      </c>
      <c r="J646">
        <v>1.5</v>
      </c>
      <c r="K646">
        <v>16</v>
      </c>
      <c r="L646">
        <v>2</v>
      </c>
      <c r="M646">
        <v>622447</v>
      </c>
      <c r="N646">
        <v>1244894</v>
      </c>
      <c r="O646">
        <v>1011353</v>
      </c>
      <c r="P646">
        <v>233541</v>
      </c>
    </row>
    <row r="647" spans="1:16" x14ac:dyDescent="0.3">
      <c r="A647">
        <v>1646</v>
      </c>
      <c r="B647" t="s">
        <v>502</v>
      </c>
      <c r="C647">
        <v>2024</v>
      </c>
      <c r="D647" t="s">
        <v>61</v>
      </c>
      <c r="E647" t="s">
        <v>40</v>
      </c>
      <c r="F647" t="s">
        <v>68</v>
      </c>
      <c r="G647" t="s">
        <v>51</v>
      </c>
      <c r="H647" t="s">
        <v>100</v>
      </c>
      <c r="I647" t="s">
        <v>22</v>
      </c>
      <c r="J647">
        <v>2</v>
      </c>
      <c r="K647">
        <v>19</v>
      </c>
      <c r="L647">
        <v>3</v>
      </c>
      <c r="M647">
        <v>1134144</v>
      </c>
      <c r="N647">
        <v>3402432</v>
      </c>
      <c r="O647">
        <v>2673166</v>
      </c>
      <c r="P647">
        <v>729266</v>
      </c>
    </row>
    <row r="648" spans="1:16" x14ac:dyDescent="0.3">
      <c r="A648">
        <v>1647</v>
      </c>
      <c r="B648" t="s">
        <v>303</v>
      </c>
      <c r="C648">
        <v>2023</v>
      </c>
      <c r="D648" t="s">
        <v>74</v>
      </c>
      <c r="E648" t="s">
        <v>44</v>
      </c>
      <c r="F648" t="s">
        <v>45</v>
      </c>
      <c r="G648" t="s">
        <v>27</v>
      </c>
      <c r="H648" t="s">
        <v>56</v>
      </c>
      <c r="I648" t="s">
        <v>48</v>
      </c>
      <c r="J648">
        <v>1</v>
      </c>
      <c r="K648">
        <v>16</v>
      </c>
      <c r="L648">
        <v>8</v>
      </c>
      <c r="M648">
        <v>1403068</v>
      </c>
      <c r="N648">
        <v>11224544</v>
      </c>
      <c r="O648">
        <v>8867431</v>
      </c>
      <c r="P648">
        <v>2357113</v>
      </c>
    </row>
    <row r="649" spans="1:16" x14ac:dyDescent="0.3">
      <c r="A649">
        <v>1648</v>
      </c>
      <c r="B649" t="s">
        <v>503</v>
      </c>
      <c r="C649">
        <v>2023</v>
      </c>
      <c r="D649" t="s">
        <v>29</v>
      </c>
      <c r="E649" t="s">
        <v>40</v>
      </c>
      <c r="F649" t="s">
        <v>68</v>
      </c>
      <c r="G649" t="s">
        <v>51</v>
      </c>
      <c r="H649" t="s">
        <v>54</v>
      </c>
      <c r="I649" t="s">
        <v>48</v>
      </c>
      <c r="J649">
        <v>1.2</v>
      </c>
      <c r="K649">
        <v>22</v>
      </c>
      <c r="L649">
        <v>5</v>
      </c>
      <c r="M649">
        <v>1096217</v>
      </c>
      <c r="N649">
        <v>5481085</v>
      </c>
      <c r="O649">
        <v>4126314</v>
      </c>
      <c r="P649">
        <v>1354771</v>
      </c>
    </row>
    <row r="650" spans="1:16" x14ac:dyDescent="0.3">
      <c r="A650">
        <v>1649</v>
      </c>
      <c r="B650" t="s">
        <v>504</v>
      </c>
      <c r="C650">
        <v>2023</v>
      </c>
      <c r="D650" t="s">
        <v>97</v>
      </c>
      <c r="E650" t="s">
        <v>44</v>
      </c>
      <c r="F650" t="s">
        <v>62</v>
      </c>
      <c r="G650" t="s">
        <v>36</v>
      </c>
      <c r="H650" t="s">
        <v>79</v>
      </c>
      <c r="I650" t="s">
        <v>48</v>
      </c>
      <c r="J650">
        <v>1.2</v>
      </c>
      <c r="K650">
        <v>22</v>
      </c>
      <c r="L650">
        <v>6</v>
      </c>
      <c r="M650">
        <v>1175333</v>
      </c>
      <c r="N650">
        <v>7051998</v>
      </c>
      <c r="O650">
        <v>6301973</v>
      </c>
      <c r="P650">
        <v>750025</v>
      </c>
    </row>
    <row r="651" spans="1:16" x14ac:dyDescent="0.3">
      <c r="A651">
        <v>1650</v>
      </c>
      <c r="B651" t="s">
        <v>505</v>
      </c>
      <c r="C651">
        <v>2024</v>
      </c>
      <c r="D651" t="s">
        <v>34</v>
      </c>
      <c r="E651" t="s">
        <v>44</v>
      </c>
      <c r="F651" t="s">
        <v>62</v>
      </c>
      <c r="G651" t="s">
        <v>59</v>
      </c>
      <c r="H651" t="s">
        <v>100</v>
      </c>
      <c r="I651" t="s">
        <v>22</v>
      </c>
      <c r="J651">
        <v>1.5</v>
      </c>
      <c r="K651">
        <v>19</v>
      </c>
      <c r="L651">
        <v>6</v>
      </c>
      <c r="M651">
        <v>1087368</v>
      </c>
      <c r="N651">
        <v>6524208</v>
      </c>
      <c r="O651">
        <v>5356901</v>
      </c>
      <c r="P651">
        <v>1167307</v>
      </c>
    </row>
    <row r="652" spans="1:16" x14ac:dyDescent="0.3">
      <c r="A652">
        <v>1651</v>
      </c>
      <c r="B652" t="s">
        <v>333</v>
      </c>
      <c r="C652">
        <v>2023</v>
      </c>
      <c r="D652" t="s">
        <v>67</v>
      </c>
      <c r="E652" t="s">
        <v>25</v>
      </c>
      <c r="F652" t="s">
        <v>77</v>
      </c>
      <c r="G652" t="s">
        <v>30</v>
      </c>
      <c r="H652" t="s">
        <v>56</v>
      </c>
      <c r="I652" t="s">
        <v>48</v>
      </c>
      <c r="J652">
        <v>1</v>
      </c>
      <c r="K652">
        <v>20</v>
      </c>
      <c r="L652">
        <v>4</v>
      </c>
      <c r="M652">
        <v>1228680</v>
      </c>
      <c r="N652">
        <v>4914720</v>
      </c>
      <c r="O652">
        <v>4112757</v>
      </c>
      <c r="P652">
        <v>801963</v>
      </c>
    </row>
    <row r="653" spans="1:16" x14ac:dyDescent="0.3">
      <c r="A653">
        <v>1652</v>
      </c>
      <c r="B653" t="s">
        <v>506</v>
      </c>
      <c r="C653">
        <v>2023</v>
      </c>
      <c r="D653" t="s">
        <v>29</v>
      </c>
      <c r="E653" t="s">
        <v>44</v>
      </c>
      <c r="F653" t="s">
        <v>62</v>
      </c>
      <c r="G653" t="s">
        <v>36</v>
      </c>
      <c r="H653" t="s">
        <v>47</v>
      </c>
      <c r="I653" t="s">
        <v>48</v>
      </c>
      <c r="J653">
        <v>1</v>
      </c>
      <c r="K653">
        <v>16</v>
      </c>
      <c r="L653">
        <v>2</v>
      </c>
      <c r="M653">
        <v>1391260</v>
      </c>
      <c r="N653">
        <v>2782520</v>
      </c>
      <c r="O653">
        <v>2490202</v>
      </c>
      <c r="P653">
        <v>292318</v>
      </c>
    </row>
    <row r="654" spans="1:16" x14ac:dyDescent="0.3">
      <c r="A654">
        <v>1653</v>
      </c>
      <c r="B654" t="s">
        <v>507</v>
      </c>
      <c r="C654">
        <v>2023</v>
      </c>
      <c r="D654" t="s">
        <v>43</v>
      </c>
      <c r="E654" t="s">
        <v>44</v>
      </c>
      <c r="F654" t="s">
        <v>70</v>
      </c>
      <c r="G654" t="s">
        <v>46</v>
      </c>
      <c r="H654" t="s">
        <v>31</v>
      </c>
      <c r="I654" t="s">
        <v>32</v>
      </c>
      <c r="J654">
        <v>2</v>
      </c>
      <c r="K654">
        <v>21</v>
      </c>
      <c r="L654">
        <v>8</v>
      </c>
      <c r="M654">
        <v>918504</v>
      </c>
      <c r="N654">
        <v>7348032</v>
      </c>
      <c r="O654">
        <v>6577191</v>
      </c>
      <c r="P654">
        <v>770841</v>
      </c>
    </row>
    <row r="655" spans="1:16" x14ac:dyDescent="0.3">
      <c r="A655">
        <v>1654</v>
      </c>
      <c r="B655" t="s">
        <v>508</v>
      </c>
      <c r="C655">
        <v>2024</v>
      </c>
      <c r="D655" t="s">
        <v>34</v>
      </c>
      <c r="E655" t="s">
        <v>40</v>
      </c>
      <c r="F655" t="s">
        <v>68</v>
      </c>
      <c r="G655" t="s">
        <v>46</v>
      </c>
      <c r="H655" t="s">
        <v>21</v>
      </c>
      <c r="I655" t="s">
        <v>22</v>
      </c>
      <c r="J655">
        <v>2</v>
      </c>
      <c r="K655">
        <v>23</v>
      </c>
      <c r="L655">
        <v>1</v>
      </c>
      <c r="M655">
        <v>1259633</v>
      </c>
      <c r="N655">
        <v>1259633</v>
      </c>
      <c r="O655">
        <v>1049227</v>
      </c>
      <c r="P655">
        <v>210406</v>
      </c>
    </row>
    <row r="656" spans="1:16" x14ac:dyDescent="0.3">
      <c r="A656">
        <v>1655</v>
      </c>
      <c r="B656" t="s">
        <v>202</v>
      </c>
      <c r="C656">
        <v>2023</v>
      </c>
      <c r="D656" t="s">
        <v>67</v>
      </c>
      <c r="E656" t="s">
        <v>44</v>
      </c>
      <c r="F656" t="s">
        <v>70</v>
      </c>
      <c r="G656" t="s">
        <v>51</v>
      </c>
      <c r="H656" t="s">
        <v>31</v>
      </c>
      <c r="I656" t="s">
        <v>32</v>
      </c>
      <c r="J656">
        <v>1.2</v>
      </c>
      <c r="K656">
        <v>18</v>
      </c>
      <c r="L656">
        <v>1</v>
      </c>
      <c r="M656">
        <v>824131</v>
      </c>
      <c r="N656">
        <v>824131</v>
      </c>
      <c r="O656">
        <v>675731</v>
      </c>
      <c r="P656">
        <v>148400</v>
      </c>
    </row>
    <row r="657" spans="1:16" x14ac:dyDescent="0.3">
      <c r="A657">
        <v>1656</v>
      </c>
      <c r="B657" t="s">
        <v>278</v>
      </c>
      <c r="C657">
        <v>2023</v>
      </c>
      <c r="D657" t="s">
        <v>50</v>
      </c>
      <c r="E657" t="s">
        <v>25</v>
      </c>
      <c r="F657" t="s">
        <v>58</v>
      </c>
      <c r="G657" t="s">
        <v>27</v>
      </c>
      <c r="H657" t="s">
        <v>52</v>
      </c>
      <c r="I657" t="s">
        <v>22</v>
      </c>
      <c r="J657">
        <v>1.5</v>
      </c>
      <c r="K657">
        <v>21</v>
      </c>
      <c r="L657">
        <v>6</v>
      </c>
      <c r="M657">
        <v>1492110</v>
      </c>
      <c r="N657">
        <v>8952660</v>
      </c>
      <c r="O657">
        <v>7971982</v>
      </c>
      <c r="P657">
        <v>980678</v>
      </c>
    </row>
    <row r="658" spans="1:16" x14ac:dyDescent="0.3">
      <c r="A658">
        <v>1657</v>
      </c>
      <c r="B658" t="s">
        <v>509</v>
      </c>
      <c r="C658">
        <v>2023</v>
      </c>
      <c r="D658" t="s">
        <v>67</v>
      </c>
      <c r="E658" t="s">
        <v>18</v>
      </c>
      <c r="F658" t="s">
        <v>35</v>
      </c>
      <c r="G658" t="s">
        <v>27</v>
      </c>
      <c r="H658" t="s">
        <v>54</v>
      </c>
      <c r="I658" t="s">
        <v>48</v>
      </c>
      <c r="J658">
        <v>1.2</v>
      </c>
      <c r="K658">
        <v>18</v>
      </c>
      <c r="L658">
        <v>5</v>
      </c>
      <c r="M658">
        <v>1316545</v>
      </c>
      <c r="N658">
        <v>6582725</v>
      </c>
      <c r="O658">
        <v>5648058</v>
      </c>
      <c r="P658">
        <v>934667</v>
      </c>
    </row>
    <row r="659" spans="1:16" x14ac:dyDescent="0.3">
      <c r="A659">
        <v>1658</v>
      </c>
      <c r="B659" t="s">
        <v>257</v>
      </c>
      <c r="C659">
        <v>2024</v>
      </c>
      <c r="D659" t="s">
        <v>76</v>
      </c>
      <c r="E659" t="s">
        <v>40</v>
      </c>
      <c r="F659" t="s">
        <v>68</v>
      </c>
      <c r="G659" t="s">
        <v>20</v>
      </c>
      <c r="H659" t="s">
        <v>47</v>
      </c>
      <c r="I659" t="s">
        <v>48</v>
      </c>
      <c r="J659">
        <v>2</v>
      </c>
      <c r="K659">
        <v>22</v>
      </c>
      <c r="L659">
        <v>1</v>
      </c>
      <c r="M659">
        <v>1451844</v>
      </c>
      <c r="N659">
        <v>1451844</v>
      </c>
      <c r="O659">
        <v>1281594</v>
      </c>
      <c r="P659">
        <v>170250</v>
      </c>
    </row>
    <row r="660" spans="1:16" x14ac:dyDescent="0.3">
      <c r="A660">
        <v>1659</v>
      </c>
      <c r="B660" t="s">
        <v>510</v>
      </c>
      <c r="C660">
        <v>2024</v>
      </c>
      <c r="D660" t="s">
        <v>17</v>
      </c>
      <c r="E660" t="s">
        <v>18</v>
      </c>
      <c r="F660" t="s">
        <v>35</v>
      </c>
      <c r="G660" t="s">
        <v>90</v>
      </c>
      <c r="H660" t="s">
        <v>54</v>
      </c>
      <c r="I660" t="s">
        <v>48</v>
      </c>
      <c r="J660">
        <v>1.5</v>
      </c>
      <c r="K660">
        <v>20</v>
      </c>
      <c r="L660">
        <v>4</v>
      </c>
      <c r="M660">
        <v>1296692</v>
      </c>
      <c r="N660">
        <v>5186768</v>
      </c>
      <c r="O660">
        <v>4568288</v>
      </c>
      <c r="P660">
        <v>618480</v>
      </c>
    </row>
    <row r="661" spans="1:16" x14ac:dyDescent="0.3">
      <c r="A661">
        <v>1660</v>
      </c>
      <c r="B661" t="s">
        <v>511</v>
      </c>
      <c r="C661">
        <v>2024</v>
      </c>
      <c r="D661" t="s">
        <v>34</v>
      </c>
      <c r="E661" t="s">
        <v>40</v>
      </c>
      <c r="F661" t="s">
        <v>41</v>
      </c>
      <c r="G661" t="s">
        <v>36</v>
      </c>
      <c r="H661" t="s">
        <v>56</v>
      </c>
      <c r="I661" t="s">
        <v>48</v>
      </c>
      <c r="J661">
        <v>1.2</v>
      </c>
      <c r="K661">
        <v>23</v>
      </c>
      <c r="L661">
        <v>7</v>
      </c>
      <c r="M661">
        <v>1217962</v>
      </c>
      <c r="N661">
        <v>8525734</v>
      </c>
      <c r="O661">
        <v>6913867</v>
      </c>
      <c r="P661">
        <v>1611867</v>
      </c>
    </row>
    <row r="662" spans="1:16" x14ac:dyDescent="0.3">
      <c r="A662">
        <v>1661</v>
      </c>
      <c r="B662" t="s">
        <v>454</v>
      </c>
      <c r="C662">
        <v>2024</v>
      </c>
      <c r="D662" t="s">
        <v>39</v>
      </c>
      <c r="E662" t="s">
        <v>40</v>
      </c>
      <c r="F662" t="s">
        <v>68</v>
      </c>
      <c r="G662" t="s">
        <v>59</v>
      </c>
      <c r="H662" t="s">
        <v>56</v>
      </c>
      <c r="I662" t="s">
        <v>48</v>
      </c>
      <c r="J662">
        <v>1</v>
      </c>
      <c r="K662">
        <v>23</v>
      </c>
      <c r="L662">
        <v>2</v>
      </c>
      <c r="M662">
        <v>1368542</v>
      </c>
      <c r="N662">
        <v>2737084</v>
      </c>
      <c r="O662">
        <v>2446773</v>
      </c>
      <c r="P662">
        <v>290311</v>
      </c>
    </row>
    <row r="663" spans="1:16" x14ac:dyDescent="0.3">
      <c r="A663">
        <v>1662</v>
      </c>
      <c r="B663" t="s">
        <v>468</v>
      </c>
      <c r="C663">
        <v>2023</v>
      </c>
      <c r="D663" t="s">
        <v>29</v>
      </c>
      <c r="E663" t="s">
        <v>25</v>
      </c>
      <c r="F663" t="s">
        <v>58</v>
      </c>
      <c r="G663" t="s">
        <v>36</v>
      </c>
      <c r="H663" t="s">
        <v>54</v>
      </c>
      <c r="I663" t="s">
        <v>48</v>
      </c>
      <c r="J663">
        <v>1.5</v>
      </c>
      <c r="K663">
        <v>22</v>
      </c>
      <c r="L663">
        <v>6</v>
      </c>
      <c r="M663">
        <v>739342</v>
      </c>
      <c r="N663">
        <v>4436052</v>
      </c>
      <c r="O663">
        <v>3576940</v>
      </c>
      <c r="P663">
        <v>859112</v>
      </c>
    </row>
    <row r="664" spans="1:16" x14ac:dyDescent="0.3">
      <c r="A664">
        <v>1663</v>
      </c>
      <c r="B664" t="s">
        <v>512</v>
      </c>
      <c r="C664">
        <v>2023</v>
      </c>
      <c r="D664" t="s">
        <v>17</v>
      </c>
      <c r="E664" t="s">
        <v>44</v>
      </c>
      <c r="F664" t="s">
        <v>45</v>
      </c>
      <c r="G664" t="s">
        <v>59</v>
      </c>
      <c r="H664" t="s">
        <v>79</v>
      </c>
      <c r="I664" t="s">
        <v>48</v>
      </c>
      <c r="J664">
        <v>1.5</v>
      </c>
      <c r="K664">
        <v>18</v>
      </c>
      <c r="L664">
        <v>2</v>
      </c>
      <c r="M664">
        <v>974986</v>
      </c>
      <c r="N664">
        <v>1949972</v>
      </c>
      <c r="O664">
        <v>1541198</v>
      </c>
      <c r="P664">
        <v>408774</v>
      </c>
    </row>
    <row r="665" spans="1:16" x14ac:dyDescent="0.3">
      <c r="A665">
        <v>1664</v>
      </c>
      <c r="B665" t="s">
        <v>346</v>
      </c>
      <c r="C665">
        <v>2023</v>
      </c>
      <c r="D665" t="s">
        <v>97</v>
      </c>
      <c r="E665" t="s">
        <v>25</v>
      </c>
      <c r="F665" t="s">
        <v>26</v>
      </c>
      <c r="G665" t="s">
        <v>51</v>
      </c>
      <c r="H665" t="s">
        <v>47</v>
      </c>
      <c r="I665" t="s">
        <v>48</v>
      </c>
      <c r="J665">
        <v>2</v>
      </c>
      <c r="K665">
        <v>22</v>
      </c>
      <c r="L665">
        <v>7</v>
      </c>
      <c r="M665">
        <v>603123</v>
      </c>
      <c r="N665">
        <v>4221861</v>
      </c>
      <c r="O665">
        <v>3573645</v>
      </c>
      <c r="P665">
        <v>648216</v>
      </c>
    </row>
    <row r="666" spans="1:16" x14ac:dyDescent="0.3">
      <c r="A666">
        <v>1665</v>
      </c>
      <c r="B666" t="s">
        <v>168</v>
      </c>
      <c r="C666">
        <v>2024</v>
      </c>
      <c r="D666" t="s">
        <v>76</v>
      </c>
      <c r="E666" t="s">
        <v>18</v>
      </c>
      <c r="F666" t="s">
        <v>35</v>
      </c>
      <c r="G666" t="s">
        <v>20</v>
      </c>
      <c r="H666" t="s">
        <v>54</v>
      </c>
      <c r="I666" t="s">
        <v>48</v>
      </c>
      <c r="J666">
        <v>1.5</v>
      </c>
      <c r="K666">
        <v>19</v>
      </c>
      <c r="L666">
        <v>3</v>
      </c>
      <c r="M666">
        <v>1285756</v>
      </c>
      <c r="N666">
        <v>3857268</v>
      </c>
      <c r="O666">
        <v>3286168</v>
      </c>
      <c r="P666">
        <v>571100</v>
      </c>
    </row>
    <row r="667" spans="1:16" x14ac:dyDescent="0.3">
      <c r="A667">
        <v>1666</v>
      </c>
      <c r="B667" t="s">
        <v>513</v>
      </c>
      <c r="C667">
        <v>2024</v>
      </c>
      <c r="D667" t="s">
        <v>76</v>
      </c>
      <c r="E667" t="s">
        <v>25</v>
      </c>
      <c r="F667" t="s">
        <v>77</v>
      </c>
      <c r="G667" t="s">
        <v>30</v>
      </c>
      <c r="H667" t="s">
        <v>54</v>
      </c>
      <c r="I667" t="s">
        <v>48</v>
      </c>
      <c r="J667">
        <v>2</v>
      </c>
      <c r="K667">
        <v>20</v>
      </c>
      <c r="L667">
        <v>2</v>
      </c>
      <c r="M667">
        <v>1023906</v>
      </c>
      <c r="N667">
        <v>2047812</v>
      </c>
      <c r="O667">
        <v>1581486</v>
      </c>
      <c r="P667">
        <v>466326</v>
      </c>
    </row>
    <row r="668" spans="1:16" x14ac:dyDescent="0.3">
      <c r="A668">
        <v>1667</v>
      </c>
      <c r="B668" t="s">
        <v>514</v>
      </c>
      <c r="C668">
        <v>2023</v>
      </c>
      <c r="D668" t="s">
        <v>67</v>
      </c>
      <c r="E668" t="s">
        <v>44</v>
      </c>
      <c r="F668" t="s">
        <v>92</v>
      </c>
      <c r="G668" t="s">
        <v>59</v>
      </c>
      <c r="H668" t="s">
        <v>31</v>
      </c>
      <c r="I668" t="s">
        <v>32</v>
      </c>
      <c r="J668">
        <v>1.5</v>
      </c>
      <c r="K668">
        <v>19</v>
      </c>
      <c r="L668">
        <v>6</v>
      </c>
      <c r="M668">
        <v>1285846</v>
      </c>
      <c r="N668">
        <v>7715076</v>
      </c>
      <c r="O668">
        <v>6873583</v>
      </c>
      <c r="P668">
        <v>841493</v>
      </c>
    </row>
    <row r="669" spans="1:16" x14ac:dyDescent="0.3">
      <c r="A669">
        <v>1668</v>
      </c>
      <c r="B669" t="s">
        <v>515</v>
      </c>
      <c r="C669">
        <v>2024</v>
      </c>
      <c r="D669" t="s">
        <v>29</v>
      </c>
      <c r="E669" t="s">
        <v>25</v>
      </c>
      <c r="F669" t="s">
        <v>26</v>
      </c>
      <c r="G669" t="s">
        <v>27</v>
      </c>
      <c r="H669" t="s">
        <v>54</v>
      </c>
      <c r="I669" t="s">
        <v>48</v>
      </c>
      <c r="J669">
        <v>2</v>
      </c>
      <c r="K669">
        <v>19</v>
      </c>
      <c r="L669">
        <v>3</v>
      </c>
      <c r="M669">
        <v>1480033</v>
      </c>
      <c r="N669">
        <v>4440099</v>
      </c>
      <c r="O669">
        <v>3694490</v>
      </c>
      <c r="P669">
        <v>745609</v>
      </c>
    </row>
    <row r="670" spans="1:16" x14ac:dyDescent="0.3">
      <c r="A670">
        <v>1669</v>
      </c>
      <c r="B670" t="s">
        <v>516</v>
      </c>
      <c r="C670">
        <v>2023</v>
      </c>
      <c r="D670" t="s">
        <v>67</v>
      </c>
      <c r="E670" t="s">
        <v>25</v>
      </c>
      <c r="F670" t="s">
        <v>84</v>
      </c>
      <c r="G670" t="s">
        <v>46</v>
      </c>
      <c r="H670" t="s">
        <v>63</v>
      </c>
      <c r="I670" t="s">
        <v>22</v>
      </c>
      <c r="J670">
        <v>1.5</v>
      </c>
      <c r="K670">
        <v>22</v>
      </c>
      <c r="L670">
        <v>7</v>
      </c>
      <c r="M670">
        <v>827545</v>
      </c>
      <c r="N670">
        <v>5792815</v>
      </c>
      <c r="O670">
        <v>4932547</v>
      </c>
      <c r="P670">
        <v>860268</v>
      </c>
    </row>
    <row r="671" spans="1:16" x14ac:dyDescent="0.3">
      <c r="A671">
        <v>1670</v>
      </c>
      <c r="B671" t="s">
        <v>507</v>
      </c>
      <c r="C671">
        <v>2023</v>
      </c>
      <c r="D671" t="s">
        <v>43</v>
      </c>
      <c r="E671" t="s">
        <v>25</v>
      </c>
      <c r="F671" t="s">
        <v>84</v>
      </c>
      <c r="G671" t="s">
        <v>46</v>
      </c>
      <c r="H671" t="s">
        <v>21</v>
      </c>
      <c r="I671" t="s">
        <v>22</v>
      </c>
      <c r="J671">
        <v>1.5</v>
      </c>
      <c r="K671">
        <v>18</v>
      </c>
      <c r="L671">
        <v>7</v>
      </c>
      <c r="M671">
        <v>1319690</v>
      </c>
      <c r="N671">
        <v>9237830</v>
      </c>
      <c r="O671">
        <v>7023889</v>
      </c>
      <c r="P671">
        <v>2213941</v>
      </c>
    </row>
    <row r="672" spans="1:16" x14ac:dyDescent="0.3">
      <c r="A672">
        <v>1671</v>
      </c>
      <c r="B672" t="s">
        <v>502</v>
      </c>
      <c r="C672">
        <v>2024</v>
      </c>
      <c r="D672" t="s">
        <v>61</v>
      </c>
      <c r="E672" t="s">
        <v>25</v>
      </c>
      <c r="F672" t="s">
        <v>77</v>
      </c>
      <c r="G672" t="s">
        <v>27</v>
      </c>
      <c r="H672" t="s">
        <v>56</v>
      </c>
      <c r="I672" t="s">
        <v>48</v>
      </c>
      <c r="J672">
        <v>1</v>
      </c>
      <c r="K672">
        <v>21</v>
      </c>
      <c r="L672">
        <v>8</v>
      </c>
      <c r="M672">
        <v>1123811</v>
      </c>
      <c r="N672">
        <v>8990488</v>
      </c>
      <c r="O672">
        <v>7418141</v>
      </c>
      <c r="P672">
        <v>1572347</v>
      </c>
    </row>
    <row r="673" spans="1:16" x14ac:dyDescent="0.3">
      <c r="A673">
        <v>1672</v>
      </c>
      <c r="B673" t="s">
        <v>517</v>
      </c>
      <c r="C673">
        <v>2024</v>
      </c>
      <c r="D673" t="s">
        <v>97</v>
      </c>
      <c r="E673" t="s">
        <v>44</v>
      </c>
      <c r="F673" t="s">
        <v>45</v>
      </c>
      <c r="G673" t="s">
        <v>30</v>
      </c>
      <c r="H673" t="s">
        <v>56</v>
      </c>
      <c r="I673" t="s">
        <v>48</v>
      </c>
      <c r="J673">
        <v>1.5</v>
      </c>
      <c r="K673">
        <v>23</v>
      </c>
      <c r="L673">
        <v>2</v>
      </c>
      <c r="M673">
        <v>1211358</v>
      </c>
      <c r="N673">
        <v>2422716</v>
      </c>
      <c r="O673">
        <v>2026623</v>
      </c>
      <c r="P673">
        <v>396093</v>
      </c>
    </row>
    <row r="674" spans="1:16" x14ac:dyDescent="0.3">
      <c r="A674">
        <v>1673</v>
      </c>
      <c r="B674" t="s">
        <v>349</v>
      </c>
      <c r="C674">
        <v>2024</v>
      </c>
      <c r="D674" t="s">
        <v>50</v>
      </c>
      <c r="E674" t="s">
        <v>25</v>
      </c>
      <c r="F674" t="s">
        <v>77</v>
      </c>
      <c r="G674" t="s">
        <v>46</v>
      </c>
      <c r="H674" t="s">
        <v>31</v>
      </c>
      <c r="I674" t="s">
        <v>32</v>
      </c>
      <c r="J674">
        <v>1.2</v>
      </c>
      <c r="K674">
        <v>16</v>
      </c>
      <c r="L674">
        <v>6</v>
      </c>
      <c r="M674">
        <v>687281</v>
      </c>
      <c r="N674">
        <v>4123686</v>
      </c>
      <c r="O674">
        <v>3271568</v>
      </c>
      <c r="P674">
        <v>852118</v>
      </c>
    </row>
    <row r="675" spans="1:16" x14ac:dyDescent="0.3">
      <c r="A675">
        <v>1674</v>
      </c>
      <c r="B675" t="s">
        <v>518</v>
      </c>
      <c r="C675">
        <v>2024</v>
      </c>
      <c r="D675" t="s">
        <v>74</v>
      </c>
      <c r="E675" t="s">
        <v>18</v>
      </c>
      <c r="F675" t="s">
        <v>35</v>
      </c>
      <c r="G675" t="s">
        <v>59</v>
      </c>
      <c r="H675" t="s">
        <v>79</v>
      </c>
      <c r="I675" t="s">
        <v>48</v>
      </c>
      <c r="J675">
        <v>2</v>
      </c>
      <c r="K675">
        <v>22</v>
      </c>
      <c r="L675">
        <v>5</v>
      </c>
      <c r="M675">
        <v>985358</v>
      </c>
      <c r="N675">
        <v>4926790</v>
      </c>
      <c r="O675">
        <v>4431369</v>
      </c>
      <c r="P675">
        <v>495421</v>
      </c>
    </row>
    <row r="676" spans="1:16" x14ac:dyDescent="0.3">
      <c r="A676">
        <v>1675</v>
      </c>
      <c r="B676" t="s">
        <v>55</v>
      </c>
      <c r="C676">
        <v>2023</v>
      </c>
      <c r="D676" t="s">
        <v>50</v>
      </c>
      <c r="E676" t="s">
        <v>25</v>
      </c>
      <c r="F676" t="s">
        <v>26</v>
      </c>
      <c r="G676" t="s">
        <v>30</v>
      </c>
      <c r="H676" t="s">
        <v>79</v>
      </c>
      <c r="I676" t="s">
        <v>48</v>
      </c>
      <c r="J676">
        <v>1</v>
      </c>
      <c r="K676">
        <v>21</v>
      </c>
      <c r="L676">
        <v>5</v>
      </c>
      <c r="M676">
        <v>1498258</v>
      </c>
      <c r="N676">
        <v>7491290</v>
      </c>
      <c r="O676">
        <v>6650316</v>
      </c>
      <c r="P676">
        <v>840974</v>
      </c>
    </row>
    <row r="677" spans="1:16" x14ac:dyDescent="0.3">
      <c r="A677">
        <v>1676</v>
      </c>
      <c r="B677" t="s">
        <v>358</v>
      </c>
      <c r="C677">
        <v>2023</v>
      </c>
      <c r="D677" t="s">
        <v>50</v>
      </c>
      <c r="E677" t="s">
        <v>40</v>
      </c>
      <c r="F677" t="s">
        <v>120</v>
      </c>
      <c r="G677" t="s">
        <v>20</v>
      </c>
      <c r="H677" t="s">
        <v>21</v>
      </c>
      <c r="I677" t="s">
        <v>22</v>
      </c>
      <c r="J677">
        <v>2</v>
      </c>
      <c r="K677">
        <v>21</v>
      </c>
      <c r="L677">
        <v>1</v>
      </c>
      <c r="M677">
        <v>803966</v>
      </c>
      <c r="N677">
        <v>803966</v>
      </c>
      <c r="O677">
        <v>672925</v>
      </c>
      <c r="P677">
        <v>131041</v>
      </c>
    </row>
    <row r="678" spans="1:16" x14ac:dyDescent="0.3">
      <c r="A678">
        <v>1677</v>
      </c>
      <c r="B678" t="s">
        <v>96</v>
      </c>
      <c r="C678">
        <v>2024</v>
      </c>
      <c r="D678" t="s">
        <v>97</v>
      </c>
      <c r="E678" t="s">
        <v>40</v>
      </c>
      <c r="F678" t="s">
        <v>104</v>
      </c>
      <c r="G678" t="s">
        <v>51</v>
      </c>
      <c r="H678" t="s">
        <v>63</v>
      </c>
      <c r="I678" t="s">
        <v>22</v>
      </c>
      <c r="J678">
        <v>1</v>
      </c>
      <c r="K678">
        <v>21</v>
      </c>
      <c r="L678">
        <v>3</v>
      </c>
      <c r="M678">
        <v>719570</v>
      </c>
      <c r="N678">
        <v>2158710</v>
      </c>
      <c r="O678">
        <v>1871539</v>
      </c>
      <c r="P678">
        <v>287171</v>
      </c>
    </row>
    <row r="679" spans="1:16" x14ac:dyDescent="0.3">
      <c r="A679">
        <v>1678</v>
      </c>
      <c r="B679" t="s">
        <v>519</v>
      </c>
      <c r="C679">
        <v>2024</v>
      </c>
      <c r="D679" t="s">
        <v>50</v>
      </c>
      <c r="E679" t="s">
        <v>44</v>
      </c>
      <c r="F679" t="s">
        <v>92</v>
      </c>
      <c r="G679" t="s">
        <v>90</v>
      </c>
      <c r="H679" t="s">
        <v>31</v>
      </c>
      <c r="I679" t="s">
        <v>32</v>
      </c>
      <c r="J679">
        <v>1.2</v>
      </c>
      <c r="K679">
        <v>18</v>
      </c>
      <c r="L679">
        <v>5</v>
      </c>
      <c r="M679">
        <v>974423</v>
      </c>
      <c r="N679">
        <v>4872115</v>
      </c>
      <c r="O679">
        <v>4020298</v>
      </c>
      <c r="P679">
        <v>851817</v>
      </c>
    </row>
    <row r="680" spans="1:16" x14ac:dyDescent="0.3">
      <c r="A680">
        <v>1679</v>
      </c>
      <c r="B680" t="s">
        <v>187</v>
      </c>
      <c r="C680">
        <v>2024</v>
      </c>
      <c r="D680" t="s">
        <v>74</v>
      </c>
      <c r="E680" t="s">
        <v>25</v>
      </c>
      <c r="F680" t="s">
        <v>77</v>
      </c>
      <c r="G680" t="s">
        <v>20</v>
      </c>
      <c r="H680" t="s">
        <v>79</v>
      </c>
      <c r="I680" t="s">
        <v>48</v>
      </c>
      <c r="J680">
        <v>2</v>
      </c>
      <c r="K680">
        <v>18</v>
      </c>
      <c r="L680">
        <v>7</v>
      </c>
      <c r="M680">
        <v>1127471</v>
      </c>
      <c r="N680">
        <v>7892297</v>
      </c>
      <c r="O680">
        <v>6956766</v>
      </c>
      <c r="P680">
        <v>935531</v>
      </c>
    </row>
    <row r="681" spans="1:16" x14ac:dyDescent="0.3">
      <c r="A681">
        <v>1680</v>
      </c>
      <c r="B681" t="s">
        <v>78</v>
      </c>
      <c r="C681">
        <v>2024</v>
      </c>
      <c r="D681" t="s">
        <v>67</v>
      </c>
      <c r="E681" t="s">
        <v>44</v>
      </c>
      <c r="F681" t="s">
        <v>62</v>
      </c>
      <c r="G681" t="s">
        <v>36</v>
      </c>
      <c r="H681" t="s">
        <v>63</v>
      </c>
      <c r="I681" t="s">
        <v>22</v>
      </c>
      <c r="J681">
        <v>1</v>
      </c>
      <c r="K681">
        <v>20</v>
      </c>
      <c r="L681">
        <v>3</v>
      </c>
      <c r="M681">
        <v>735601</v>
      </c>
      <c r="N681">
        <v>2206803</v>
      </c>
      <c r="O681">
        <v>1743703</v>
      </c>
      <c r="P681">
        <v>463100</v>
      </c>
    </row>
    <row r="682" spans="1:16" x14ac:dyDescent="0.3">
      <c r="A682">
        <v>1681</v>
      </c>
      <c r="B682" t="s">
        <v>65</v>
      </c>
      <c r="C682">
        <v>2023</v>
      </c>
      <c r="D682" t="s">
        <v>17</v>
      </c>
      <c r="E682" t="s">
        <v>40</v>
      </c>
      <c r="F682" t="s">
        <v>120</v>
      </c>
      <c r="G682" t="s">
        <v>90</v>
      </c>
      <c r="H682" t="s">
        <v>47</v>
      </c>
      <c r="I682" t="s">
        <v>48</v>
      </c>
      <c r="J682">
        <v>1.5</v>
      </c>
      <c r="K682">
        <v>20</v>
      </c>
      <c r="L682">
        <v>8</v>
      </c>
      <c r="M682">
        <v>606354</v>
      </c>
      <c r="N682">
        <v>4850832</v>
      </c>
      <c r="O682">
        <v>3861379</v>
      </c>
      <c r="P682">
        <v>989453</v>
      </c>
    </row>
    <row r="683" spans="1:16" x14ac:dyDescent="0.3">
      <c r="A683">
        <v>1682</v>
      </c>
      <c r="B683" t="s">
        <v>520</v>
      </c>
      <c r="C683">
        <v>2023</v>
      </c>
      <c r="D683" t="s">
        <v>50</v>
      </c>
      <c r="E683" t="s">
        <v>18</v>
      </c>
      <c r="F683" t="s">
        <v>35</v>
      </c>
      <c r="G683" t="s">
        <v>90</v>
      </c>
      <c r="H683" t="s">
        <v>31</v>
      </c>
      <c r="I683" t="s">
        <v>32</v>
      </c>
      <c r="J683">
        <v>2</v>
      </c>
      <c r="K683">
        <v>23</v>
      </c>
      <c r="L683">
        <v>7</v>
      </c>
      <c r="M683">
        <v>1498959</v>
      </c>
      <c r="N683">
        <v>10492713</v>
      </c>
      <c r="O683">
        <v>8860700</v>
      </c>
      <c r="P683">
        <v>1632013</v>
      </c>
    </row>
    <row r="684" spans="1:16" x14ac:dyDescent="0.3">
      <c r="A684">
        <v>1683</v>
      </c>
      <c r="B684" t="s">
        <v>179</v>
      </c>
      <c r="C684">
        <v>2023</v>
      </c>
      <c r="D684" t="s">
        <v>29</v>
      </c>
      <c r="E684" t="s">
        <v>25</v>
      </c>
      <c r="F684" t="s">
        <v>26</v>
      </c>
      <c r="G684" t="s">
        <v>59</v>
      </c>
      <c r="H684" t="s">
        <v>56</v>
      </c>
      <c r="I684" t="s">
        <v>48</v>
      </c>
      <c r="J684">
        <v>1</v>
      </c>
      <c r="K684">
        <v>16</v>
      </c>
      <c r="L684">
        <v>7</v>
      </c>
      <c r="M684">
        <v>1114720</v>
      </c>
      <c r="N684">
        <v>7803040</v>
      </c>
      <c r="O684">
        <v>6996518</v>
      </c>
      <c r="P684">
        <v>806522</v>
      </c>
    </row>
    <row r="685" spans="1:16" x14ac:dyDescent="0.3">
      <c r="A685">
        <v>1684</v>
      </c>
      <c r="B685" t="s">
        <v>237</v>
      </c>
      <c r="C685">
        <v>2024</v>
      </c>
      <c r="D685" t="s">
        <v>24</v>
      </c>
      <c r="E685" t="s">
        <v>18</v>
      </c>
      <c r="F685" t="s">
        <v>19</v>
      </c>
      <c r="G685" t="s">
        <v>20</v>
      </c>
      <c r="H685" t="s">
        <v>47</v>
      </c>
      <c r="I685" t="s">
        <v>48</v>
      </c>
      <c r="J685">
        <v>1</v>
      </c>
      <c r="K685">
        <v>23</v>
      </c>
      <c r="L685">
        <v>1</v>
      </c>
      <c r="M685">
        <v>740141</v>
      </c>
      <c r="N685">
        <v>740141</v>
      </c>
      <c r="O685">
        <v>572789</v>
      </c>
      <c r="P685">
        <v>167352</v>
      </c>
    </row>
    <row r="686" spans="1:16" x14ac:dyDescent="0.3">
      <c r="A686">
        <v>1685</v>
      </c>
      <c r="B686" t="s">
        <v>521</v>
      </c>
      <c r="C686">
        <v>2024</v>
      </c>
      <c r="D686" t="s">
        <v>61</v>
      </c>
      <c r="E686" t="s">
        <v>18</v>
      </c>
      <c r="F686" t="s">
        <v>72</v>
      </c>
      <c r="G686" t="s">
        <v>51</v>
      </c>
      <c r="H686" t="s">
        <v>37</v>
      </c>
      <c r="I686" t="s">
        <v>32</v>
      </c>
      <c r="J686">
        <v>2</v>
      </c>
      <c r="K686">
        <v>18</v>
      </c>
      <c r="L686">
        <v>5</v>
      </c>
      <c r="M686">
        <v>994610</v>
      </c>
      <c r="N686">
        <v>4973050</v>
      </c>
      <c r="O686">
        <v>3822769</v>
      </c>
      <c r="P686">
        <v>1150281</v>
      </c>
    </row>
    <row r="687" spans="1:16" x14ac:dyDescent="0.3">
      <c r="A687">
        <v>1686</v>
      </c>
      <c r="B687" t="s">
        <v>522</v>
      </c>
      <c r="C687">
        <v>2024</v>
      </c>
      <c r="D687" t="s">
        <v>74</v>
      </c>
      <c r="E687" t="s">
        <v>40</v>
      </c>
      <c r="F687" t="s">
        <v>41</v>
      </c>
      <c r="G687" t="s">
        <v>46</v>
      </c>
      <c r="H687" t="s">
        <v>63</v>
      </c>
      <c r="I687" t="s">
        <v>22</v>
      </c>
      <c r="J687">
        <v>1.2</v>
      </c>
      <c r="K687">
        <v>22</v>
      </c>
      <c r="L687">
        <v>8</v>
      </c>
      <c r="M687">
        <v>1329436</v>
      </c>
      <c r="N687">
        <v>10635488</v>
      </c>
      <c r="O687">
        <v>9428606</v>
      </c>
      <c r="P687">
        <v>1206882</v>
      </c>
    </row>
    <row r="688" spans="1:16" x14ac:dyDescent="0.3">
      <c r="A688">
        <v>1687</v>
      </c>
      <c r="B688" t="s">
        <v>523</v>
      </c>
      <c r="C688">
        <v>2023</v>
      </c>
      <c r="D688" t="s">
        <v>76</v>
      </c>
      <c r="E688" t="s">
        <v>40</v>
      </c>
      <c r="F688" t="s">
        <v>68</v>
      </c>
      <c r="G688" t="s">
        <v>90</v>
      </c>
      <c r="H688" t="s">
        <v>54</v>
      </c>
      <c r="I688" t="s">
        <v>48</v>
      </c>
      <c r="J688">
        <v>1.2</v>
      </c>
      <c r="K688">
        <v>20</v>
      </c>
      <c r="L688">
        <v>7</v>
      </c>
      <c r="M688">
        <v>721781</v>
      </c>
      <c r="N688">
        <v>5052467</v>
      </c>
      <c r="O688">
        <v>4210220</v>
      </c>
      <c r="P688">
        <v>842247</v>
      </c>
    </row>
    <row r="689" spans="1:16" x14ac:dyDescent="0.3">
      <c r="A689">
        <v>1688</v>
      </c>
      <c r="B689" t="s">
        <v>524</v>
      </c>
      <c r="C689">
        <v>2024</v>
      </c>
      <c r="D689" t="s">
        <v>67</v>
      </c>
      <c r="E689" t="s">
        <v>44</v>
      </c>
      <c r="F689" t="s">
        <v>45</v>
      </c>
      <c r="G689" t="s">
        <v>51</v>
      </c>
      <c r="H689" t="s">
        <v>100</v>
      </c>
      <c r="I689" t="s">
        <v>22</v>
      </c>
      <c r="J689">
        <v>1</v>
      </c>
      <c r="K689">
        <v>21</v>
      </c>
      <c r="L689">
        <v>8</v>
      </c>
      <c r="M689">
        <v>709320</v>
      </c>
      <c r="N689">
        <v>5674560</v>
      </c>
      <c r="O689">
        <v>4770090</v>
      </c>
      <c r="P689">
        <v>904470</v>
      </c>
    </row>
    <row r="690" spans="1:16" x14ac:dyDescent="0.3">
      <c r="A690">
        <v>1689</v>
      </c>
      <c r="B690" t="s">
        <v>413</v>
      </c>
      <c r="C690">
        <v>2023</v>
      </c>
      <c r="D690" t="s">
        <v>76</v>
      </c>
      <c r="E690" t="s">
        <v>25</v>
      </c>
      <c r="F690" t="s">
        <v>84</v>
      </c>
      <c r="G690" t="s">
        <v>90</v>
      </c>
      <c r="H690" t="s">
        <v>47</v>
      </c>
      <c r="I690" t="s">
        <v>48</v>
      </c>
      <c r="J690">
        <v>2</v>
      </c>
      <c r="K690">
        <v>22</v>
      </c>
      <c r="L690">
        <v>4</v>
      </c>
      <c r="M690">
        <v>838197</v>
      </c>
      <c r="N690">
        <v>3352788</v>
      </c>
      <c r="O690">
        <v>2612919</v>
      </c>
      <c r="P690">
        <v>739869</v>
      </c>
    </row>
    <row r="691" spans="1:16" x14ac:dyDescent="0.3">
      <c r="A691">
        <v>1690</v>
      </c>
      <c r="B691" t="s">
        <v>513</v>
      </c>
      <c r="C691">
        <v>2024</v>
      </c>
      <c r="D691" t="s">
        <v>76</v>
      </c>
      <c r="E691" t="s">
        <v>25</v>
      </c>
      <c r="F691" t="s">
        <v>77</v>
      </c>
      <c r="G691" t="s">
        <v>51</v>
      </c>
      <c r="H691" t="s">
        <v>54</v>
      </c>
      <c r="I691" t="s">
        <v>48</v>
      </c>
      <c r="J691">
        <v>2</v>
      </c>
      <c r="K691">
        <v>21</v>
      </c>
      <c r="L691">
        <v>8</v>
      </c>
      <c r="M691">
        <v>657925</v>
      </c>
      <c r="N691">
        <v>5263400</v>
      </c>
      <c r="O691">
        <v>4206665</v>
      </c>
      <c r="P691">
        <v>1056735</v>
      </c>
    </row>
    <row r="692" spans="1:16" x14ac:dyDescent="0.3">
      <c r="A692">
        <v>1691</v>
      </c>
      <c r="B692" t="s">
        <v>525</v>
      </c>
      <c r="C692">
        <v>2024</v>
      </c>
      <c r="D692" t="s">
        <v>43</v>
      </c>
      <c r="E692" t="s">
        <v>25</v>
      </c>
      <c r="F692" t="s">
        <v>58</v>
      </c>
      <c r="G692" t="s">
        <v>20</v>
      </c>
      <c r="H692" t="s">
        <v>47</v>
      </c>
      <c r="I692" t="s">
        <v>48</v>
      </c>
      <c r="J692">
        <v>1.5</v>
      </c>
      <c r="K692">
        <v>16</v>
      </c>
      <c r="L692">
        <v>5</v>
      </c>
      <c r="M692">
        <v>1004958</v>
      </c>
      <c r="N692">
        <v>5024790</v>
      </c>
      <c r="O692">
        <v>4222844</v>
      </c>
      <c r="P692">
        <v>801946</v>
      </c>
    </row>
    <row r="693" spans="1:16" x14ac:dyDescent="0.3">
      <c r="A693">
        <v>1692</v>
      </c>
      <c r="B693" t="s">
        <v>127</v>
      </c>
      <c r="C693">
        <v>2024</v>
      </c>
      <c r="D693" t="s">
        <v>34</v>
      </c>
      <c r="E693" t="s">
        <v>25</v>
      </c>
      <c r="F693" t="s">
        <v>26</v>
      </c>
      <c r="G693" t="s">
        <v>59</v>
      </c>
      <c r="H693" t="s">
        <v>47</v>
      </c>
      <c r="I693" t="s">
        <v>48</v>
      </c>
      <c r="J693">
        <v>1.2</v>
      </c>
      <c r="K693">
        <v>19</v>
      </c>
      <c r="L693">
        <v>2</v>
      </c>
      <c r="M693">
        <v>728781</v>
      </c>
      <c r="N693">
        <v>1457562</v>
      </c>
      <c r="O693">
        <v>1174656</v>
      </c>
      <c r="P693">
        <v>282906</v>
      </c>
    </row>
    <row r="694" spans="1:16" x14ac:dyDescent="0.3">
      <c r="A694">
        <v>1693</v>
      </c>
      <c r="B694" t="s">
        <v>117</v>
      </c>
      <c r="C694">
        <v>2023</v>
      </c>
      <c r="D694" t="s">
        <v>43</v>
      </c>
      <c r="E694" t="s">
        <v>25</v>
      </c>
      <c r="F694" t="s">
        <v>84</v>
      </c>
      <c r="G694" t="s">
        <v>20</v>
      </c>
      <c r="H694" t="s">
        <v>52</v>
      </c>
      <c r="I694" t="s">
        <v>22</v>
      </c>
      <c r="J694">
        <v>1.5</v>
      </c>
      <c r="K694">
        <v>21</v>
      </c>
      <c r="L694">
        <v>5</v>
      </c>
      <c r="M694">
        <v>637143</v>
      </c>
      <c r="N694">
        <v>3185715</v>
      </c>
      <c r="O694">
        <v>2719128</v>
      </c>
      <c r="P694">
        <v>466587</v>
      </c>
    </row>
    <row r="695" spans="1:16" x14ac:dyDescent="0.3">
      <c r="A695">
        <v>1694</v>
      </c>
      <c r="B695" t="s">
        <v>526</v>
      </c>
      <c r="C695">
        <v>2023</v>
      </c>
      <c r="D695" t="s">
        <v>43</v>
      </c>
      <c r="E695" t="s">
        <v>44</v>
      </c>
      <c r="F695" t="s">
        <v>70</v>
      </c>
      <c r="G695" t="s">
        <v>46</v>
      </c>
      <c r="H695" t="s">
        <v>31</v>
      </c>
      <c r="I695" t="s">
        <v>32</v>
      </c>
      <c r="J695">
        <v>2</v>
      </c>
      <c r="K695">
        <v>16</v>
      </c>
      <c r="L695">
        <v>5</v>
      </c>
      <c r="M695">
        <v>705887</v>
      </c>
      <c r="N695">
        <v>3529435</v>
      </c>
      <c r="O695">
        <v>2655005</v>
      </c>
      <c r="P695">
        <v>874430</v>
      </c>
    </row>
    <row r="696" spans="1:16" x14ac:dyDescent="0.3">
      <c r="A696">
        <v>1695</v>
      </c>
      <c r="B696" t="s">
        <v>443</v>
      </c>
      <c r="C696">
        <v>2024</v>
      </c>
      <c r="D696" t="s">
        <v>50</v>
      </c>
      <c r="E696" t="s">
        <v>25</v>
      </c>
      <c r="F696" t="s">
        <v>77</v>
      </c>
      <c r="G696" t="s">
        <v>27</v>
      </c>
      <c r="H696" t="s">
        <v>31</v>
      </c>
      <c r="I696" t="s">
        <v>32</v>
      </c>
      <c r="J696">
        <v>2</v>
      </c>
      <c r="K696">
        <v>16</v>
      </c>
      <c r="L696">
        <v>2</v>
      </c>
      <c r="M696">
        <v>1340539</v>
      </c>
      <c r="N696">
        <v>2681078</v>
      </c>
      <c r="O696">
        <v>2164186</v>
      </c>
      <c r="P696">
        <v>516892</v>
      </c>
    </row>
    <row r="697" spans="1:16" x14ac:dyDescent="0.3">
      <c r="A697">
        <v>1696</v>
      </c>
      <c r="B697" t="s">
        <v>257</v>
      </c>
      <c r="C697">
        <v>2024</v>
      </c>
      <c r="D697" t="s">
        <v>76</v>
      </c>
      <c r="E697" t="s">
        <v>44</v>
      </c>
      <c r="F697" t="s">
        <v>92</v>
      </c>
      <c r="G697" t="s">
        <v>59</v>
      </c>
      <c r="H697" t="s">
        <v>47</v>
      </c>
      <c r="I697" t="s">
        <v>48</v>
      </c>
      <c r="J697">
        <v>1.5</v>
      </c>
      <c r="K697">
        <v>22</v>
      </c>
      <c r="L697">
        <v>7</v>
      </c>
      <c r="M697">
        <v>1494078</v>
      </c>
      <c r="N697">
        <v>10458546</v>
      </c>
      <c r="O697">
        <v>8318548</v>
      </c>
      <c r="P697">
        <v>2139998</v>
      </c>
    </row>
    <row r="698" spans="1:16" x14ac:dyDescent="0.3">
      <c r="A698">
        <v>1697</v>
      </c>
      <c r="B698" t="s">
        <v>243</v>
      </c>
      <c r="C698">
        <v>2023</v>
      </c>
      <c r="D698" t="s">
        <v>50</v>
      </c>
      <c r="E698" t="s">
        <v>44</v>
      </c>
      <c r="F698" t="s">
        <v>45</v>
      </c>
      <c r="G698" t="s">
        <v>59</v>
      </c>
      <c r="H698" t="s">
        <v>21</v>
      </c>
      <c r="I698" t="s">
        <v>22</v>
      </c>
      <c r="J698">
        <v>1</v>
      </c>
      <c r="K698">
        <v>23</v>
      </c>
      <c r="L698">
        <v>8</v>
      </c>
      <c r="M698">
        <v>1009781</v>
      </c>
      <c r="N698">
        <v>8078248</v>
      </c>
      <c r="O698">
        <v>6898951</v>
      </c>
      <c r="P698">
        <v>1179297</v>
      </c>
    </row>
    <row r="699" spans="1:16" x14ac:dyDescent="0.3">
      <c r="A699">
        <v>1698</v>
      </c>
      <c r="B699" t="s">
        <v>527</v>
      </c>
      <c r="C699">
        <v>2024</v>
      </c>
      <c r="D699" t="s">
        <v>24</v>
      </c>
      <c r="E699" t="s">
        <v>18</v>
      </c>
      <c r="F699" t="s">
        <v>107</v>
      </c>
      <c r="G699" t="s">
        <v>20</v>
      </c>
      <c r="H699" t="s">
        <v>54</v>
      </c>
      <c r="I699" t="s">
        <v>48</v>
      </c>
      <c r="J699">
        <v>2</v>
      </c>
      <c r="K699">
        <v>22</v>
      </c>
      <c r="L699">
        <v>2</v>
      </c>
      <c r="M699">
        <v>1224705</v>
      </c>
      <c r="N699">
        <v>2449410</v>
      </c>
      <c r="O699">
        <v>1978622</v>
      </c>
      <c r="P699">
        <v>470788</v>
      </c>
    </row>
    <row r="700" spans="1:16" x14ac:dyDescent="0.3">
      <c r="A700">
        <v>1699</v>
      </c>
      <c r="B700" t="s">
        <v>220</v>
      </c>
      <c r="C700">
        <v>2024</v>
      </c>
      <c r="D700" t="s">
        <v>43</v>
      </c>
      <c r="E700" t="s">
        <v>44</v>
      </c>
      <c r="F700" t="s">
        <v>62</v>
      </c>
      <c r="G700" t="s">
        <v>30</v>
      </c>
      <c r="H700" t="s">
        <v>31</v>
      </c>
      <c r="I700" t="s">
        <v>32</v>
      </c>
      <c r="J700">
        <v>2</v>
      </c>
      <c r="K700">
        <v>19</v>
      </c>
      <c r="L700">
        <v>3</v>
      </c>
      <c r="M700">
        <v>894452</v>
      </c>
      <c r="N700">
        <v>2683356</v>
      </c>
      <c r="O700">
        <v>2347291</v>
      </c>
      <c r="P700">
        <v>336065</v>
      </c>
    </row>
    <row r="701" spans="1:16" x14ac:dyDescent="0.3">
      <c r="A701">
        <v>1700</v>
      </c>
      <c r="B701" t="s">
        <v>347</v>
      </c>
      <c r="C701">
        <v>2024</v>
      </c>
      <c r="D701" t="s">
        <v>17</v>
      </c>
      <c r="E701" t="s">
        <v>40</v>
      </c>
      <c r="F701" t="s">
        <v>41</v>
      </c>
      <c r="G701" t="s">
        <v>27</v>
      </c>
      <c r="H701" t="s">
        <v>79</v>
      </c>
      <c r="I701" t="s">
        <v>48</v>
      </c>
      <c r="J701">
        <v>1.5</v>
      </c>
      <c r="K701">
        <v>23</v>
      </c>
      <c r="L701">
        <v>6</v>
      </c>
      <c r="M701">
        <v>765441</v>
      </c>
      <c r="N701">
        <v>4592646</v>
      </c>
      <c r="O701">
        <v>4074875</v>
      </c>
      <c r="P701">
        <v>517771</v>
      </c>
    </row>
    <row r="702" spans="1:16" x14ac:dyDescent="0.3">
      <c r="A702">
        <v>1701</v>
      </c>
      <c r="B702" t="s">
        <v>509</v>
      </c>
      <c r="C702">
        <v>2023</v>
      </c>
      <c r="D702" t="s">
        <v>67</v>
      </c>
      <c r="E702" t="s">
        <v>25</v>
      </c>
      <c r="F702" t="s">
        <v>77</v>
      </c>
      <c r="G702" t="s">
        <v>59</v>
      </c>
      <c r="H702" t="s">
        <v>47</v>
      </c>
      <c r="I702" t="s">
        <v>48</v>
      </c>
      <c r="J702">
        <v>1</v>
      </c>
      <c r="K702">
        <v>18</v>
      </c>
      <c r="L702">
        <v>1</v>
      </c>
      <c r="M702">
        <v>681690</v>
      </c>
      <c r="N702">
        <v>681690</v>
      </c>
      <c r="O702">
        <v>602000</v>
      </c>
      <c r="P702">
        <v>79690</v>
      </c>
    </row>
    <row r="703" spans="1:16" x14ac:dyDescent="0.3">
      <c r="A703">
        <v>1702</v>
      </c>
      <c r="B703" t="s">
        <v>528</v>
      </c>
      <c r="C703">
        <v>2023</v>
      </c>
      <c r="D703" t="s">
        <v>74</v>
      </c>
      <c r="E703" t="s">
        <v>18</v>
      </c>
      <c r="F703" t="s">
        <v>35</v>
      </c>
      <c r="G703" t="s">
        <v>46</v>
      </c>
      <c r="H703" t="s">
        <v>56</v>
      </c>
      <c r="I703" t="s">
        <v>48</v>
      </c>
      <c r="J703">
        <v>1</v>
      </c>
      <c r="K703">
        <v>22</v>
      </c>
      <c r="L703">
        <v>6</v>
      </c>
      <c r="M703">
        <v>741678</v>
      </c>
      <c r="N703">
        <v>4450068</v>
      </c>
      <c r="O703">
        <v>3427473</v>
      </c>
      <c r="P703">
        <v>1022595</v>
      </c>
    </row>
    <row r="704" spans="1:16" x14ac:dyDescent="0.3">
      <c r="A704">
        <v>1703</v>
      </c>
      <c r="B704" t="s">
        <v>529</v>
      </c>
      <c r="C704">
        <v>2023</v>
      </c>
      <c r="D704" t="s">
        <v>24</v>
      </c>
      <c r="E704" t="s">
        <v>25</v>
      </c>
      <c r="F704" t="s">
        <v>58</v>
      </c>
      <c r="G704" t="s">
        <v>20</v>
      </c>
      <c r="H704" t="s">
        <v>52</v>
      </c>
      <c r="I704" t="s">
        <v>22</v>
      </c>
      <c r="J704">
        <v>2</v>
      </c>
      <c r="K704">
        <v>22</v>
      </c>
      <c r="L704">
        <v>8</v>
      </c>
      <c r="M704">
        <v>1109638</v>
      </c>
      <c r="N704">
        <v>8877104</v>
      </c>
      <c r="O704">
        <v>7444068</v>
      </c>
      <c r="P704">
        <v>1433036</v>
      </c>
    </row>
    <row r="705" spans="1:16" x14ac:dyDescent="0.3">
      <c r="A705">
        <v>1704</v>
      </c>
      <c r="B705" t="s">
        <v>530</v>
      </c>
      <c r="C705">
        <v>2023</v>
      </c>
      <c r="D705" t="s">
        <v>24</v>
      </c>
      <c r="E705" t="s">
        <v>18</v>
      </c>
      <c r="F705" t="s">
        <v>35</v>
      </c>
      <c r="G705" t="s">
        <v>90</v>
      </c>
      <c r="H705" t="s">
        <v>79</v>
      </c>
      <c r="I705" t="s">
        <v>48</v>
      </c>
      <c r="J705">
        <v>1.2</v>
      </c>
      <c r="K705">
        <v>20</v>
      </c>
      <c r="L705">
        <v>6</v>
      </c>
      <c r="M705">
        <v>1010533</v>
      </c>
      <c r="N705">
        <v>6063198</v>
      </c>
      <c r="O705">
        <v>5071405</v>
      </c>
      <c r="P705">
        <v>991793</v>
      </c>
    </row>
    <row r="706" spans="1:16" x14ac:dyDescent="0.3">
      <c r="A706">
        <v>1705</v>
      </c>
      <c r="B706" t="s">
        <v>363</v>
      </c>
      <c r="C706">
        <v>2024</v>
      </c>
      <c r="D706" t="s">
        <v>17</v>
      </c>
      <c r="E706" t="s">
        <v>18</v>
      </c>
      <c r="F706" t="s">
        <v>107</v>
      </c>
      <c r="G706" t="s">
        <v>46</v>
      </c>
      <c r="H706" t="s">
        <v>52</v>
      </c>
      <c r="I706" t="s">
        <v>22</v>
      </c>
      <c r="J706">
        <v>1</v>
      </c>
      <c r="K706">
        <v>22</v>
      </c>
      <c r="L706">
        <v>8</v>
      </c>
      <c r="M706">
        <v>1065780</v>
      </c>
      <c r="N706">
        <v>8526240</v>
      </c>
      <c r="O706">
        <v>7372054</v>
      </c>
      <c r="P706">
        <v>1154186</v>
      </c>
    </row>
    <row r="707" spans="1:16" x14ac:dyDescent="0.3">
      <c r="A707">
        <v>1706</v>
      </c>
      <c r="B707" t="s">
        <v>531</v>
      </c>
      <c r="C707">
        <v>2024</v>
      </c>
      <c r="D707" t="s">
        <v>29</v>
      </c>
      <c r="E707" t="s">
        <v>44</v>
      </c>
      <c r="F707" t="s">
        <v>92</v>
      </c>
      <c r="G707" t="s">
        <v>90</v>
      </c>
      <c r="H707" t="s">
        <v>31</v>
      </c>
      <c r="I707" t="s">
        <v>32</v>
      </c>
      <c r="J707">
        <v>1</v>
      </c>
      <c r="K707">
        <v>22</v>
      </c>
      <c r="L707">
        <v>4</v>
      </c>
      <c r="M707">
        <v>1160764</v>
      </c>
      <c r="N707">
        <v>4643056</v>
      </c>
      <c r="O707">
        <v>4116334</v>
      </c>
      <c r="P707">
        <v>526722</v>
      </c>
    </row>
    <row r="708" spans="1:16" x14ac:dyDescent="0.3">
      <c r="A708">
        <v>1707</v>
      </c>
      <c r="B708" t="s">
        <v>145</v>
      </c>
      <c r="C708">
        <v>2023</v>
      </c>
      <c r="D708" t="s">
        <v>34</v>
      </c>
      <c r="E708" t="s">
        <v>44</v>
      </c>
      <c r="F708" t="s">
        <v>92</v>
      </c>
      <c r="G708" t="s">
        <v>36</v>
      </c>
      <c r="H708" t="s">
        <v>63</v>
      </c>
      <c r="I708" t="s">
        <v>22</v>
      </c>
      <c r="J708">
        <v>1.2</v>
      </c>
      <c r="K708">
        <v>22</v>
      </c>
      <c r="L708">
        <v>6</v>
      </c>
      <c r="M708">
        <v>1498891</v>
      </c>
      <c r="N708">
        <v>8993346</v>
      </c>
      <c r="O708">
        <v>7421787</v>
      </c>
      <c r="P708">
        <v>1571559</v>
      </c>
    </row>
    <row r="709" spans="1:16" x14ac:dyDescent="0.3">
      <c r="A709">
        <v>1708</v>
      </c>
      <c r="B709" t="s">
        <v>153</v>
      </c>
      <c r="C709">
        <v>2024</v>
      </c>
      <c r="D709" t="s">
        <v>43</v>
      </c>
      <c r="E709" t="s">
        <v>18</v>
      </c>
      <c r="F709" t="s">
        <v>72</v>
      </c>
      <c r="G709" t="s">
        <v>36</v>
      </c>
      <c r="H709" t="s">
        <v>63</v>
      </c>
      <c r="I709" t="s">
        <v>22</v>
      </c>
      <c r="J709">
        <v>1.2</v>
      </c>
      <c r="K709">
        <v>16</v>
      </c>
      <c r="L709">
        <v>8</v>
      </c>
      <c r="M709">
        <v>720070</v>
      </c>
      <c r="N709">
        <v>5760560</v>
      </c>
      <c r="O709">
        <v>4544054</v>
      </c>
      <c r="P709">
        <v>1216506</v>
      </c>
    </row>
    <row r="710" spans="1:16" x14ac:dyDescent="0.3">
      <c r="A710">
        <v>1709</v>
      </c>
      <c r="B710" t="s">
        <v>385</v>
      </c>
      <c r="C710">
        <v>2023</v>
      </c>
      <c r="D710" t="s">
        <v>50</v>
      </c>
      <c r="E710" t="s">
        <v>44</v>
      </c>
      <c r="F710" t="s">
        <v>62</v>
      </c>
      <c r="G710" t="s">
        <v>51</v>
      </c>
      <c r="H710" t="s">
        <v>31</v>
      </c>
      <c r="I710" t="s">
        <v>32</v>
      </c>
      <c r="J710">
        <v>1.5</v>
      </c>
      <c r="K710">
        <v>18</v>
      </c>
      <c r="L710">
        <v>4</v>
      </c>
      <c r="M710">
        <v>611114</v>
      </c>
      <c r="N710">
        <v>2444456</v>
      </c>
      <c r="O710">
        <v>2140629</v>
      </c>
      <c r="P710">
        <v>303827</v>
      </c>
    </row>
    <row r="711" spans="1:16" x14ac:dyDescent="0.3">
      <c r="A711">
        <v>1710</v>
      </c>
      <c r="B711" t="s">
        <v>532</v>
      </c>
      <c r="C711">
        <v>2023</v>
      </c>
      <c r="D711" t="s">
        <v>24</v>
      </c>
      <c r="E711" t="s">
        <v>18</v>
      </c>
      <c r="F711" t="s">
        <v>19</v>
      </c>
      <c r="G711" t="s">
        <v>36</v>
      </c>
      <c r="H711" t="s">
        <v>54</v>
      </c>
      <c r="I711" t="s">
        <v>48</v>
      </c>
      <c r="J711">
        <v>1</v>
      </c>
      <c r="K711">
        <v>20</v>
      </c>
      <c r="L711">
        <v>4</v>
      </c>
      <c r="M711">
        <v>919112</v>
      </c>
      <c r="N711">
        <v>3676448</v>
      </c>
      <c r="O711">
        <v>2925791</v>
      </c>
      <c r="P711">
        <v>750657</v>
      </c>
    </row>
    <row r="712" spans="1:16" x14ac:dyDescent="0.3">
      <c r="A712">
        <v>1711</v>
      </c>
      <c r="B712" t="s">
        <v>533</v>
      </c>
      <c r="C712">
        <v>2024</v>
      </c>
      <c r="D712" t="s">
        <v>17</v>
      </c>
      <c r="E712" t="s">
        <v>18</v>
      </c>
      <c r="F712" t="s">
        <v>35</v>
      </c>
      <c r="G712" t="s">
        <v>36</v>
      </c>
      <c r="H712" t="s">
        <v>21</v>
      </c>
      <c r="I712" t="s">
        <v>22</v>
      </c>
      <c r="J712">
        <v>1.5</v>
      </c>
      <c r="K712">
        <v>20</v>
      </c>
      <c r="L712">
        <v>3</v>
      </c>
      <c r="M712">
        <v>1038524</v>
      </c>
      <c r="N712">
        <v>3115572</v>
      </c>
      <c r="O712">
        <v>2597952</v>
      </c>
      <c r="P712">
        <v>517620</v>
      </c>
    </row>
    <row r="713" spans="1:16" x14ac:dyDescent="0.3">
      <c r="A713">
        <v>1712</v>
      </c>
      <c r="B713" t="s">
        <v>80</v>
      </c>
      <c r="C713">
        <v>2024</v>
      </c>
      <c r="D713" t="s">
        <v>39</v>
      </c>
      <c r="E713" t="s">
        <v>18</v>
      </c>
      <c r="F713" t="s">
        <v>107</v>
      </c>
      <c r="G713" t="s">
        <v>46</v>
      </c>
      <c r="H713" t="s">
        <v>79</v>
      </c>
      <c r="I713" t="s">
        <v>48</v>
      </c>
      <c r="J713">
        <v>1.2</v>
      </c>
      <c r="K713">
        <v>23</v>
      </c>
      <c r="L713">
        <v>1</v>
      </c>
      <c r="M713">
        <v>837418</v>
      </c>
      <c r="N713">
        <v>837418</v>
      </c>
      <c r="O713">
        <v>684819</v>
      </c>
      <c r="P713">
        <v>152599</v>
      </c>
    </row>
    <row r="714" spans="1:16" x14ac:dyDescent="0.3">
      <c r="A714">
        <v>1713</v>
      </c>
      <c r="B714" t="s">
        <v>534</v>
      </c>
      <c r="C714">
        <v>2024</v>
      </c>
      <c r="D714" t="s">
        <v>24</v>
      </c>
      <c r="E714" t="s">
        <v>25</v>
      </c>
      <c r="F714" t="s">
        <v>58</v>
      </c>
      <c r="G714" t="s">
        <v>36</v>
      </c>
      <c r="H714" t="s">
        <v>52</v>
      </c>
      <c r="I714" t="s">
        <v>22</v>
      </c>
      <c r="J714">
        <v>1.2</v>
      </c>
      <c r="K714">
        <v>22</v>
      </c>
      <c r="L714">
        <v>6</v>
      </c>
      <c r="M714">
        <v>1214729</v>
      </c>
      <c r="N714">
        <v>7288374</v>
      </c>
      <c r="O714">
        <v>6385461</v>
      </c>
      <c r="P714">
        <v>902913</v>
      </c>
    </row>
    <row r="715" spans="1:16" x14ac:dyDescent="0.3">
      <c r="A715">
        <v>1714</v>
      </c>
      <c r="B715" t="s">
        <v>395</v>
      </c>
      <c r="C715">
        <v>2023</v>
      </c>
      <c r="D715" t="s">
        <v>43</v>
      </c>
      <c r="E715" t="s">
        <v>25</v>
      </c>
      <c r="F715" t="s">
        <v>84</v>
      </c>
      <c r="G715" t="s">
        <v>46</v>
      </c>
      <c r="H715" t="s">
        <v>56</v>
      </c>
      <c r="I715" t="s">
        <v>48</v>
      </c>
      <c r="J715">
        <v>1.2</v>
      </c>
      <c r="K715">
        <v>19</v>
      </c>
      <c r="L715">
        <v>8</v>
      </c>
      <c r="M715">
        <v>1402251</v>
      </c>
      <c r="N715">
        <v>11218008</v>
      </c>
      <c r="O715">
        <v>8584724</v>
      </c>
      <c r="P715">
        <v>2633284</v>
      </c>
    </row>
    <row r="716" spans="1:16" x14ac:dyDescent="0.3">
      <c r="A716">
        <v>1715</v>
      </c>
      <c r="B716" t="s">
        <v>394</v>
      </c>
      <c r="C716">
        <v>2024</v>
      </c>
      <c r="D716" t="s">
        <v>29</v>
      </c>
      <c r="E716" t="s">
        <v>25</v>
      </c>
      <c r="F716" t="s">
        <v>58</v>
      </c>
      <c r="G716" t="s">
        <v>20</v>
      </c>
      <c r="H716" t="s">
        <v>63</v>
      </c>
      <c r="I716" t="s">
        <v>22</v>
      </c>
      <c r="J716">
        <v>1.5</v>
      </c>
      <c r="K716">
        <v>16</v>
      </c>
      <c r="L716">
        <v>7</v>
      </c>
      <c r="M716">
        <v>1007277</v>
      </c>
      <c r="N716">
        <v>7050939</v>
      </c>
      <c r="O716">
        <v>5298215</v>
      </c>
      <c r="P716">
        <v>1752724</v>
      </c>
    </row>
    <row r="717" spans="1:16" x14ac:dyDescent="0.3">
      <c r="A717">
        <v>1716</v>
      </c>
      <c r="B717" t="s">
        <v>247</v>
      </c>
      <c r="C717">
        <v>2024</v>
      </c>
      <c r="D717" t="s">
        <v>76</v>
      </c>
      <c r="E717" t="s">
        <v>44</v>
      </c>
      <c r="F717" t="s">
        <v>70</v>
      </c>
      <c r="G717" t="s">
        <v>20</v>
      </c>
      <c r="H717" t="s">
        <v>100</v>
      </c>
      <c r="I717" t="s">
        <v>22</v>
      </c>
      <c r="J717">
        <v>1.5</v>
      </c>
      <c r="K717">
        <v>16</v>
      </c>
      <c r="L717">
        <v>8</v>
      </c>
      <c r="M717">
        <v>956232</v>
      </c>
      <c r="N717">
        <v>7649856</v>
      </c>
      <c r="O717">
        <v>6055980</v>
      </c>
      <c r="P717">
        <v>1593876</v>
      </c>
    </row>
    <row r="718" spans="1:16" x14ac:dyDescent="0.3">
      <c r="A718">
        <v>1717</v>
      </c>
      <c r="B718" t="s">
        <v>490</v>
      </c>
      <c r="C718">
        <v>2024</v>
      </c>
      <c r="D718" t="s">
        <v>67</v>
      </c>
      <c r="E718" t="s">
        <v>25</v>
      </c>
      <c r="F718" t="s">
        <v>26</v>
      </c>
      <c r="G718" t="s">
        <v>30</v>
      </c>
      <c r="H718" t="s">
        <v>47</v>
      </c>
      <c r="I718" t="s">
        <v>48</v>
      </c>
      <c r="J718">
        <v>1.5</v>
      </c>
      <c r="K718">
        <v>19</v>
      </c>
      <c r="L718">
        <v>4</v>
      </c>
      <c r="M718">
        <v>813808</v>
      </c>
      <c r="N718">
        <v>3255232</v>
      </c>
      <c r="O718">
        <v>2454108</v>
      </c>
      <c r="P718">
        <v>801124</v>
      </c>
    </row>
    <row r="719" spans="1:16" x14ac:dyDescent="0.3">
      <c r="A719">
        <v>1718</v>
      </c>
      <c r="B719" t="s">
        <v>411</v>
      </c>
      <c r="C719">
        <v>2023</v>
      </c>
      <c r="D719" t="s">
        <v>61</v>
      </c>
      <c r="E719" t="s">
        <v>40</v>
      </c>
      <c r="F719" t="s">
        <v>68</v>
      </c>
      <c r="G719" t="s">
        <v>51</v>
      </c>
      <c r="H719" t="s">
        <v>31</v>
      </c>
      <c r="I719" t="s">
        <v>32</v>
      </c>
      <c r="J719">
        <v>1</v>
      </c>
      <c r="K719">
        <v>16</v>
      </c>
      <c r="L719">
        <v>7</v>
      </c>
      <c r="M719">
        <v>1031195</v>
      </c>
      <c r="N719">
        <v>7218365</v>
      </c>
      <c r="O719">
        <v>5580246</v>
      </c>
      <c r="P719">
        <v>1638119</v>
      </c>
    </row>
    <row r="720" spans="1:16" x14ac:dyDescent="0.3">
      <c r="A720">
        <v>1719</v>
      </c>
      <c r="B720" t="s">
        <v>315</v>
      </c>
      <c r="C720">
        <v>2024</v>
      </c>
      <c r="D720" t="s">
        <v>76</v>
      </c>
      <c r="E720" t="s">
        <v>25</v>
      </c>
      <c r="F720" t="s">
        <v>84</v>
      </c>
      <c r="G720" t="s">
        <v>27</v>
      </c>
      <c r="H720" t="s">
        <v>52</v>
      </c>
      <c r="I720" t="s">
        <v>22</v>
      </c>
      <c r="J720">
        <v>1</v>
      </c>
      <c r="K720">
        <v>16</v>
      </c>
      <c r="L720">
        <v>6</v>
      </c>
      <c r="M720">
        <v>611155</v>
      </c>
      <c r="N720">
        <v>3666930</v>
      </c>
      <c r="O720">
        <v>3168287</v>
      </c>
      <c r="P720">
        <v>498643</v>
      </c>
    </row>
    <row r="721" spans="1:16" x14ac:dyDescent="0.3">
      <c r="A721">
        <v>1720</v>
      </c>
      <c r="B721" t="s">
        <v>535</v>
      </c>
      <c r="C721">
        <v>2024</v>
      </c>
      <c r="D721" t="s">
        <v>50</v>
      </c>
      <c r="E721" t="s">
        <v>18</v>
      </c>
      <c r="F721" t="s">
        <v>19</v>
      </c>
      <c r="G721" t="s">
        <v>51</v>
      </c>
      <c r="H721" t="s">
        <v>37</v>
      </c>
      <c r="I721" t="s">
        <v>32</v>
      </c>
      <c r="J721">
        <v>1</v>
      </c>
      <c r="K721">
        <v>20</v>
      </c>
      <c r="L721">
        <v>7</v>
      </c>
      <c r="M721">
        <v>1212560</v>
      </c>
      <c r="N721">
        <v>8487920</v>
      </c>
      <c r="O721">
        <v>6739602</v>
      </c>
      <c r="P721">
        <v>1748318</v>
      </c>
    </row>
    <row r="722" spans="1:16" x14ac:dyDescent="0.3">
      <c r="A722">
        <v>1721</v>
      </c>
      <c r="B722" t="s">
        <v>122</v>
      </c>
      <c r="C722">
        <v>2024</v>
      </c>
      <c r="D722" t="s">
        <v>67</v>
      </c>
      <c r="E722" t="s">
        <v>40</v>
      </c>
      <c r="F722" t="s">
        <v>68</v>
      </c>
      <c r="G722" t="s">
        <v>20</v>
      </c>
      <c r="H722" t="s">
        <v>63</v>
      </c>
      <c r="I722" t="s">
        <v>22</v>
      </c>
      <c r="J722">
        <v>1</v>
      </c>
      <c r="K722">
        <v>16</v>
      </c>
      <c r="L722">
        <v>8</v>
      </c>
      <c r="M722">
        <v>1402790</v>
      </c>
      <c r="N722">
        <v>11222320</v>
      </c>
      <c r="O722">
        <v>9074728</v>
      </c>
      <c r="P722">
        <v>2147592</v>
      </c>
    </row>
    <row r="723" spans="1:16" x14ac:dyDescent="0.3">
      <c r="A723">
        <v>1722</v>
      </c>
      <c r="B723" t="s">
        <v>536</v>
      </c>
      <c r="C723">
        <v>2023</v>
      </c>
      <c r="D723" t="s">
        <v>67</v>
      </c>
      <c r="E723" t="s">
        <v>18</v>
      </c>
      <c r="F723" t="s">
        <v>72</v>
      </c>
      <c r="G723" t="s">
        <v>27</v>
      </c>
      <c r="H723" t="s">
        <v>21</v>
      </c>
      <c r="I723" t="s">
        <v>22</v>
      </c>
      <c r="J723">
        <v>1</v>
      </c>
      <c r="K723">
        <v>20</v>
      </c>
      <c r="L723">
        <v>1</v>
      </c>
      <c r="M723">
        <v>959899</v>
      </c>
      <c r="N723">
        <v>959899</v>
      </c>
      <c r="O723">
        <v>759660</v>
      </c>
      <c r="P723">
        <v>200239</v>
      </c>
    </row>
    <row r="724" spans="1:16" x14ac:dyDescent="0.3">
      <c r="A724">
        <v>1723</v>
      </c>
      <c r="B724" t="s">
        <v>451</v>
      </c>
      <c r="C724">
        <v>2023</v>
      </c>
      <c r="D724" t="s">
        <v>39</v>
      </c>
      <c r="E724" t="s">
        <v>44</v>
      </c>
      <c r="F724" t="s">
        <v>92</v>
      </c>
      <c r="G724" t="s">
        <v>20</v>
      </c>
      <c r="H724" t="s">
        <v>37</v>
      </c>
      <c r="I724" t="s">
        <v>32</v>
      </c>
      <c r="J724">
        <v>2</v>
      </c>
      <c r="K724">
        <v>23</v>
      </c>
      <c r="L724">
        <v>3</v>
      </c>
      <c r="M724">
        <v>1421669</v>
      </c>
      <c r="N724">
        <v>4265007</v>
      </c>
      <c r="O724">
        <v>3779655</v>
      </c>
      <c r="P724">
        <v>485352</v>
      </c>
    </row>
    <row r="725" spans="1:16" x14ac:dyDescent="0.3">
      <c r="A725">
        <v>1724</v>
      </c>
      <c r="B725" t="s">
        <v>537</v>
      </c>
      <c r="C725">
        <v>2024</v>
      </c>
      <c r="D725" t="s">
        <v>61</v>
      </c>
      <c r="E725" t="s">
        <v>18</v>
      </c>
      <c r="F725" t="s">
        <v>35</v>
      </c>
      <c r="G725" t="s">
        <v>20</v>
      </c>
      <c r="H725" t="s">
        <v>63</v>
      </c>
      <c r="I725" t="s">
        <v>22</v>
      </c>
      <c r="J725">
        <v>1</v>
      </c>
      <c r="K725">
        <v>22</v>
      </c>
      <c r="L725">
        <v>4</v>
      </c>
      <c r="M725">
        <v>1466325</v>
      </c>
      <c r="N725">
        <v>5865300</v>
      </c>
      <c r="O725">
        <v>4513474</v>
      </c>
      <c r="P725">
        <v>1351826</v>
      </c>
    </row>
    <row r="726" spans="1:16" x14ac:dyDescent="0.3">
      <c r="A726">
        <v>1725</v>
      </c>
      <c r="B726" t="s">
        <v>188</v>
      </c>
      <c r="C726">
        <v>2024</v>
      </c>
      <c r="D726" t="s">
        <v>29</v>
      </c>
      <c r="E726" t="s">
        <v>18</v>
      </c>
      <c r="F726" t="s">
        <v>35</v>
      </c>
      <c r="G726" t="s">
        <v>30</v>
      </c>
      <c r="H726" t="s">
        <v>63</v>
      </c>
      <c r="I726" t="s">
        <v>22</v>
      </c>
      <c r="J726">
        <v>1</v>
      </c>
      <c r="K726">
        <v>22</v>
      </c>
      <c r="L726">
        <v>2</v>
      </c>
      <c r="M726">
        <v>1277305</v>
      </c>
      <c r="N726">
        <v>2554610</v>
      </c>
      <c r="O726">
        <v>2278010</v>
      </c>
      <c r="P726">
        <v>276600</v>
      </c>
    </row>
    <row r="727" spans="1:16" x14ac:dyDescent="0.3">
      <c r="A727">
        <v>1726</v>
      </c>
      <c r="B727" t="s">
        <v>389</v>
      </c>
      <c r="C727">
        <v>2024</v>
      </c>
      <c r="D727" t="s">
        <v>97</v>
      </c>
      <c r="E727" t="s">
        <v>18</v>
      </c>
      <c r="F727" t="s">
        <v>35</v>
      </c>
      <c r="G727" t="s">
        <v>20</v>
      </c>
      <c r="H727" t="s">
        <v>54</v>
      </c>
      <c r="I727" t="s">
        <v>48</v>
      </c>
      <c r="J727">
        <v>2</v>
      </c>
      <c r="K727">
        <v>18</v>
      </c>
      <c r="L727">
        <v>5</v>
      </c>
      <c r="M727">
        <v>907736</v>
      </c>
      <c r="N727">
        <v>4538680</v>
      </c>
      <c r="O727">
        <v>3507116</v>
      </c>
      <c r="P727">
        <v>1031564</v>
      </c>
    </row>
    <row r="728" spans="1:16" x14ac:dyDescent="0.3">
      <c r="A728">
        <v>1727</v>
      </c>
      <c r="B728" t="s">
        <v>538</v>
      </c>
      <c r="C728">
        <v>2023</v>
      </c>
      <c r="D728" t="s">
        <v>74</v>
      </c>
      <c r="E728" t="s">
        <v>40</v>
      </c>
      <c r="F728" t="s">
        <v>120</v>
      </c>
      <c r="G728" t="s">
        <v>59</v>
      </c>
      <c r="H728" t="s">
        <v>52</v>
      </c>
      <c r="I728" t="s">
        <v>22</v>
      </c>
      <c r="J728">
        <v>1</v>
      </c>
      <c r="K728">
        <v>18</v>
      </c>
      <c r="L728">
        <v>7</v>
      </c>
      <c r="M728">
        <v>1262861</v>
      </c>
      <c r="N728">
        <v>8840027</v>
      </c>
      <c r="O728">
        <v>7055179</v>
      </c>
      <c r="P728">
        <v>1784848</v>
      </c>
    </row>
    <row r="729" spans="1:16" x14ac:dyDescent="0.3">
      <c r="A729">
        <v>1728</v>
      </c>
      <c r="B729" t="s">
        <v>509</v>
      </c>
      <c r="C729">
        <v>2023</v>
      </c>
      <c r="D729" t="s">
        <v>67</v>
      </c>
      <c r="E729" t="s">
        <v>18</v>
      </c>
      <c r="F729" t="s">
        <v>107</v>
      </c>
      <c r="G729" t="s">
        <v>46</v>
      </c>
      <c r="H729" t="s">
        <v>54</v>
      </c>
      <c r="I729" t="s">
        <v>48</v>
      </c>
      <c r="J729">
        <v>1</v>
      </c>
      <c r="K729">
        <v>21</v>
      </c>
      <c r="L729">
        <v>5</v>
      </c>
      <c r="M729">
        <v>660688</v>
      </c>
      <c r="N729">
        <v>3303440</v>
      </c>
      <c r="O729">
        <v>2609362</v>
      </c>
      <c r="P729">
        <v>694078</v>
      </c>
    </row>
    <row r="730" spans="1:16" x14ac:dyDescent="0.3">
      <c r="A730">
        <v>1729</v>
      </c>
      <c r="B730" t="s">
        <v>539</v>
      </c>
      <c r="C730">
        <v>2023</v>
      </c>
      <c r="D730" t="s">
        <v>24</v>
      </c>
      <c r="E730" t="s">
        <v>25</v>
      </c>
      <c r="F730" t="s">
        <v>26</v>
      </c>
      <c r="G730" t="s">
        <v>51</v>
      </c>
      <c r="H730" t="s">
        <v>56</v>
      </c>
      <c r="I730" t="s">
        <v>48</v>
      </c>
      <c r="J730">
        <v>1</v>
      </c>
      <c r="K730">
        <v>20</v>
      </c>
      <c r="L730">
        <v>2</v>
      </c>
      <c r="M730">
        <v>988818</v>
      </c>
      <c r="N730">
        <v>1977636</v>
      </c>
      <c r="O730">
        <v>1640314</v>
      </c>
      <c r="P730">
        <v>337322</v>
      </c>
    </row>
    <row r="731" spans="1:16" x14ac:dyDescent="0.3">
      <c r="A731">
        <v>1730</v>
      </c>
      <c r="B731" t="s">
        <v>540</v>
      </c>
      <c r="C731">
        <v>2023</v>
      </c>
      <c r="D731" t="s">
        <v>34</v>
      </c>
      <c r="E731" t="s">
        <v>18</v>
      </c>
      <c r="F731" t="s">
        <v>107</v>
      </c>
      <c r="G731" t="s">
        <v>30</v>
      </c>
      <c r="H731" t="s">
        <v>37</v>
      </c>
      <c r="I731" t="s">
        <v>32</v>
      </c>
      <c r="J731">
        <v>1.2</v>
      </c>
      <c r="K731">
        <v>21</v>
      </c>
      <c r="L731">
        <v>4</v>
      </c>
      <c r="M731">
        <v>1267568</v>
      </c>
      <c r="N731">
        <v>5070272</v>
      </c>
      <c r="O731">
        <v>4325348</v>
      </c>
      <c r="P731">
        <v>744924</v>
      </c>
    </row>
    <row r="732" spans="1:16" x14ac:dyDescent="0.3">
      <c r="A732">
        <v>1731</v>
      </c>
      <c r="B732" t="s">
        <v>108</v>
      </c>
      <c r="C732">
        <v>2024</v>
      </c>
      <c r="D732" t="s">
        <v>43</v>
      </c>
      <c r="E732" t="s">
        <v>44</v>
      </c>
      <c r="F732" t="s">
        <v>62</v>
      </c>
      <c r="G732" t="s">
        <v>46</v>
      </c>
      <c r="H732" t="s">
        <v>54</v>
      </c>
      <c r="I732" t="s">
        <v>48</v>
      </c>
      <c r="J732">
        <v>1.5</v>
      </c>
      <c r="K732">
        <v>23</v>
      </c>
      <c r="L732">
        <v>3</v>
      </c>
      <c r="M732">
        <v>995327</v>
      </c>
      <c r="N732">
        <v>2985981</v>
      </c>
      <c r="O732">
        <v>2268692</v>
      </c>
      <c r="P732">
        <v>717289</v>
      </c>
    </row>
    <row r="733" spans="1:16" x14ac:dyDescent="0.3">
      <c r="A733">
        <v>1732</v>
      </c>
      <c r="B733" t="s">
        <v>242</v>
      </c>
      <c r="C733">
        <v>2024</v>
      </c>
      <c r="D733" t="s">
        <v>97</v>
      </c>
      <c r="E733" t="s">
        <v>18</v>
      </c>
      <c r="F733" t="s">
        <v>19</v>
      </c>
      <c r="G733" t="s">
        <v>27</v>
      </c>
      <c r="H733" t="s">
        <v>31</v>
      </c>
      <c r="I733" t="s">
        <v>32</v>
      </c>
      <c r="J733">
        <v>1</v>
      </c>
      <c r="K733">
        <v>21</v>
      </c>
      <c r="L733">
        <v>6</v>
      </c>
      <c r="M733">
        <v>1462199</v>
      </c>
      <c r="N733">
        <v>8773194</v>
      </c>
      <c r="O733">
        <v>6607790</v>
      </c>
      <c r="P733">
        <v>2165404</v>
      </c>
    </row>
    <row r="734" spans="1:16" x14ac:dyDescent="0.3">
      <c r="A734">
        <v>1733</v>
      </c>
      <c r="B734" t="s">
        <v>298</v>
      </c>
      <c r="C734">
        <v>2023</v>
      </c>
      <c r="D734" t="s">
        <v>61</v>
      </c>
      <c r="E734" t="s">
        <v>44</v>
      </c>
      <c r="F734" t="s">
        <v>92</v>
      </c>
      <c r="G734" t="s">
        <v>36</v>
      </c>
      <c r="H734" t="s">
        <v>79</v>
      </c>
      <c r="I734" t="s">
        <v>48</v>
      </c>
      <c r="J734">
        <v>2</v>
      </c>
      <c r="K734">
        <v>22</v>
      </c>
      <c r="L734">
        <v>1</v>
      </c>
      <c r="M734">
        <v>1230739</v>
      </c>
      <c r="N734">
        <v>1230739</v>
      </c>
      <c r="O734">
        <v>938571</v>
      </c>
      <c r="P734">
        <v>292168</v>
      </c>
    </row>
    <row r="735" spans="1:16" x14ac:dyDescent="0.3">
      <c r="A735">
        <v>1734</v>
      </c>
      <c r="B735" t="s">
        <v>470</v>
      </c>
      <c r="C735">
        <v>2023</v>
      </c>
      <c r="D735" t="s">
        <v>74</v>
      </c>
      <c r="E735" t="s">
        <v>18</v>
      </c>
      <c r="F735" t="s">
        <v>72</v>
      </c>
      <c r="G735" t="s">
        <v>90</v>
      </c>
      <c r="H735" t="s">
        <v>52</v>
      </c>
      <c r="I735" t="s">
        <v>22</v>
      </c>
      <c r="J735">
        <v>2</v>
      </c>
      <c r="K735">
        <v>19</v>
      </c>
      <c r="L735">
        <v>4</v>
      </c>
      <c r="M735">
        <v>936326</v>
      </c>
      <c r="N735">
        <v>3745304</v>
      </c>
      <c r="O735">
        <v>3198867</v>
      </c>
      <c r="P735">
        <v>546437</v>
      </c>
    </row>
    <row r="736" spans="1:16" x14ac:dyDescent="0.3">
      <c r="A736">
        <v>1735</v>
      </c>
      <c r="B736" t="s">
        <v>541</v>
      </c>
      <c r="C736">
        <v>2024</v>
      </c>
      <c r="D736" t="s">
        <v>97</v>
      </c>
      <c r="E736" t="s">
        <v>40</v>
      </c>
      <c r="F736" t="s">
        <v>120</v>
      </c>
      <c r="G736" t="s">
        <v>30</v>
      </c>
      <c r="H736" t="s">
        <v>52</v>
      </c>
      <c r="I736" t="s">
        <v>22</v>
      </c>
      <c r="J736">
        <v>1.5</v>
      </c>
      <c r="K736">
        <v>22</v>
      </c>
      <c r="L736">
        <v>7</v>
      </c>
      <c r="M736">
        <v>1206981</v>
      </c>
      <c r="N736">
        <v>8448867</v>
      </c>
      <c r="O736">
        <v>6414605</v>
      </c>
      <c r="P736">
        <v>2034262</v>
      </c>
    </row>
    <row r="737" spans="1:16" x14ac:dyDescent="0.3">
      <c r="A737">
        <v>1736</v>
      </c>
      <c r="B737" t="s">
        <v>542</v>
      </c>
      <c r="C737">
        <v>2023</v>
      </c>
      <c r="D737" t="s">
        <v>43</v>
      </c>
      <c r="E737" t="s">
        <v>18</v>
      </c>
      <c r="F737" t="s">
        <v>19</v>
      </c>
      <c r="G737" t="s">
        <v>90</v>
      </c>
      <c r="H737" t="s">
        <v>54</v>
      </c>
      <c r="I737" t="s">
        <v>48</v>
      </c>
      <c r="J737">
        <v>1.5</v>
      </c>
      <c r="K737">
        <v>16</v>
      </c>
      <c r="L737">
        <v>8</v>
      </c>
      <c r="M737">
        <v>1094072</v>
      </c>
      <c r="N737">
        <v>8752576</v>
      </c>
      <c r="O737">
        <v>6660865</v>
      </c>
      <c r="P737">
        <v>2091711</v>
      </c>
    </row>
    <row r="738" spans="1:16" x14ac:dyDescent="0.3">
      <c r="A738">
        <v>1737</v>
      </c>
      <c r="B738" t="s">
        <v>342</v>
      </c>
      <c r="C738">
        <v>2023</v>
      </c>
      <c r="D738" t="s">
        <v>50</v>
      </c>
      <c r="E738" t="s">
        <v>40</v>
      </c>
      <c r="F738" t="s">
        <v>120</v>
      </c>
      <c r="G738" t="s">
        <v>30</v>
      </c>
      <c r="H738" t="s">
        <v>79</v>
      </c>
      <c r="I738" t="s">
        <v>48</v>
      </c>
      <c r="J738">
        <v>2</v>
      </c>
      <c r="K738">
        <v>20</v>
      </c>
      <c r="L738">
        <v>1</v>
      </c>
      <c r="M738">
        <v>1245275</v>
      </c>
      <c r="N738">
        <v>1245275</v>
      </c>
      <c r="O738">
        <v>1012105</v>
      </c>
      <c r="P738">
        <v>233170</v>
      </c>
    </row>
    <row r="739" spans="1:16" x14ac:dyDescent="0.3">
      <c r="A739">
        <v>1738</v>
      </c>
      <c r="B739" t="s">
        <v>543</v>
      </c>
      <c r="C739">
        <v>2023</v>
      </c>
      <c r="D739" t="s">
        <v>97</v>
      </c>
      <c r="E739" t="s">
        <v>44</v>
      </c>
      <c r="F739" t="s">
        <v>70</v>
      </c>
      <c r="G739" t="s">
        <v>59</v>
      </c>
      <c r="H739" t="s">
        <v>79</v>
      </c>
      <c r="I739" t="s">
        <v>48</v>
      </c>
      <c r="J739">
        <v>1.2</v>
      </c>
      <c r="K739">
        <v>23</v>
      </c>
      <c r="L739">
        <v>5</v>
      </c>
      <c r="M739">
        <v>1388339</v>
      </c>
      <c r="N739">
        <v>6941695</v>
      </c>
      <c r="O739">
        <v>5937017</v>
      </c>
      <c r="P739">
        <v>1004678</v>
      </c>
    </row>
    <row r="740" spans="1:16" x14ac:dyDescent="0.3">
      <c r="A740">
        <v>1739</v>
      </c>
      <c r="B740" t="s">
        <v>94</v>
      </c>
      <c r="C740">
        <v>2024</v>
      </c>
      <c r="D740" t="s">
        <v>43</v>
      </c>
      <c r="E740" t="s">
        <v>40</v>
      </c>
      <c r="F740" t="s">
        <v>41</v>
      </c>
      <c r="G740" t="s">
        <v>20</v>
      </c>
      <c r="H740" t="s">
        <v>56</v>
      </c>
      <c r="I740" t="s">
        <v>48</v>
      </c>
      <c r="J740">
        <v>1</v>
      </c>
      <c r="K740">
        <v>22</v>
      </c>
      <c r="L740">
        <v>4</v>
      </c>
      <c r="M740">
        <v>815217</v>
      </c>
      <c r="N740">
        <v>3260868</v>
      </c>
      <c r="O740">
        <v>2880047</v>
      </c>
      <c r="P740">
        <v>380821</v>
      </c>
    </row>
    <row r="741" spans="1:16" x14ac:dyDescent="0.3">
      <c r="A741">
        <v>1740</v>
      </c>
      <c r="B741" t="s">
        <v>140</v>
      </c>
      <c r="C741">
        <v>2024</v>
      </c>
      <c r="D741" t="s">
        <v>39</v>
      </c>
      <c r="E741" t="s">
        <v>18</v>
      </c>
      <c r="F741" t="s">
        <v>72</v>
      </c>
      <c r="G741" t="s">
        <v>90</v>
      </c>
      <c r="H741" t="s">
        <v>31</v>
      </c>
      <c r="I741" t="s">
        <v>32</v>
      </c>
      <c r="J741">
        <v>1</v>
      </c>
      <c r="K741">
        <v>21</v>
      </c>
      <c r="L741">
        <v>2</v>
      </c>
      <c r="M741">
        <v>649997</v>
      </c>
      <c r="N741">
        <v>1299994</v>
      </c>
      <c r="O741">
        <v>1010742</v>
      </c>
      <c r="P741">
        <v>289252</v>
      </c>
    </row>
    <row r="742" spans="1:16" x14ac:dyDescent="0.3">
      <c r="A742">
        <v>1741</v>
      </c>
      <c r="B742" t="s">
        <v>218</v>
      </c>
      <c r="C742">
        <v>2024</v>
      </c>
      <c r="D742" t="s">
        <v>97</v>
      </c>
      <c r="E742" t="s">
        <v>25</v>
      </c>
      <c r="F742" t="s">
        <v>77</v>
      </c>
      <c r="G742" t="s">
        <v>90</v>
      </c>
      <c r="H742" t="s">
        <v>79</v>
      </c>
      <c r="I742" t="s">
        <v>48</v>
      </c>
      <c r="J742">
        <v>2</v>
      </c>
      <c r="K742">
        <v>23</v>
      </c>
      <c r="L742">
        <v>7</v>
      </c>
      <c r="M742">
        <v>1042561</v>
      </c>
      <c r="N742">
        <v>7297927</v>
      </c>
      <c r="O742">
        <v>5609458</v>
      </c>
      <c r="P742">
        <v>1688469</v>
      </c>
    </row>
    <row r="743" spans="1:16" x14ac:dyDescent="0.3">
      <c r="A743">
        <v>1742</v>
      </c>
      <c r="B743" t="s">
        <v>544</v>
      </c>
      <c r="C743">
        <v>2024</v>
      </c>
      <c r="D743" t="s">
        <v>97</v>
      </c>
      <c r="E743" t="s">
        <v>18</v>
      </c>
      <c r="F743" t="s">
        <v>35</v>
      </c>
      <c r="G743" t="s">
        <v>27</v>
      </c>
      <c r="H743" t="s">
        <v>54</v>
      </c>
      <c r="I743" t="s">
        <v>48</v>
      </c>
      <c r="J743">
        <v>1</v>
      </c>
      <c r="K743">
        <v>18</v>
      </c>
      <c r="L743">
        <v>5</v>
      </c>
      <c r="M743">
        <v>678437</v>
      </c>
      <c r="N743">
        <v>3392185</v>
      </c>
      <c r="O743">
        <v>3047165</v>
      </c>
      <c r="P743">
        <v>345020</v>
      </c>
    </row>
    <row r="744" spans="1:16" x14ac:dyDescent="0.3">
      <c r="A744">
        <v>1743</v>
      </c>
      <c r="B744" t="s">
        <v>545</v>
      </c>
      <c r="C744">
        <v>2023</v>
      </c>
      <c r="D744" t="s">
        <v>17</v>
      </c>
      <c r="E744" t="s">
        <v>40</v>
      </c>
      <c r="F744" t="s">
        <v>120</v>
      </c>
      <c r="G744" t="s">
        <v>20</v>
      </c>
      <c r="H744" t="s">
        <v>54</v>
      </c>
      <c r="I744" t="s">
        <v>48</v>
      </c>
      <c r="J744">
        <v>1.5</v>
      </c>
      <c r="K744">
        <v>21</v>
      </c>
      <c r="L744">
        <v>4</v>
      </c>
      <c r="M744">
        <v>1053631</v>
      </c>
      <c r="N744">
        <v>4214524</v>
      </c>
      <c r="O744">
        <v>3551585</v>
      </c>
      <c r="P744">
        <v>662939</v>
      </c>
    </row>
    <row r="745" spans="1:16" x14ac:dyDescent="0.3">
      <c r="A745">
        <v>1744</v>
      </c>
      <c r="B745" t="s">
        <v>524</v>
      </c>
      <c r="C745">
        <v>2024</v>
      </c>
      <c r="D745" t="s">
        <v>67</v>
      </c>
      <c r="E745" t="s">
        <v>44</v>
      </c>
      <c r="F745" t="s">
        <v>45</v>
      </c>
      <c r="G745" t="s">
        <v>20</v>
      </c>
      <c r="H745" t="s">
        <v>100</v>
      </c>
      <c r="I745" t="s">
        <v>22</v>
      </c>
      <c r="J745">
        <v>1.2</v>
      </c>
      <c r="K745">
        <v>19</v>
      </c>
      <c r="L745">
        <v>1</v>
      </c>
      <c r="M745">
        <v>873784</v>
      </c>
      <c r="N745">
        <v>873784</v>
      </c>
      <c r="O745">
        <v>765623</v>
      </c>
      <c r="P745">
        <v>108161</v>
      </c>
    </row>
    <row r="746" spans="1:16" x14ac:dyDescent="0.3">
      <c r="A746">
        <v>1745</v>
      </c>
      <c r="B746" t="s">
        <v>332</v>
      </c>
      <c r="C746">
        <v>2024</v>
      </c>
      <c r="D746" t="s">
        <v>74</v>
      </c>
      <c r="E746" t="s">
        <v>44</v>
      </c>
      <c r="F746" t="s">
        <v>45</v>
      </c>
      <c r="G746" t="s">
        <v>36</v>
      </c>
      <c r="H746" t="s">
        <v>21</v>
      </c>
      <c r="I746" t="s">
        <v>22</v>
      </c>
      <c r="J746">
        <v>1.2</v>
      </c>
      <c r="K746">
        <v>20</v>
      </c>
      <c r="L746">
        <v>7</v>
      </c>
      <c r="M746">
        <v>1071187</v>
      </c>
      <c r="N746">
        <v>7498309</v>
      </c>
      <c r="O746">
        <v>6439433</v>
      </c>
      <c r="P746">
        <v>1058876</v>
      </c>
    </row>
    <row r="747" spans="1:16" x14ac:dyDescent="0.3">
      <c r="A747">
        <v>1746</v>
      </c>
      <c r="B747" t="s">
        <v>113</v>
      </c>
      <c r="C747">
        <v>2023</v>
      </c>
      <c r="D747" t="s">
        <v>29</v>
      </c>
      <c r="E747" t="s">
        <v>25</v>
      </c>
      <c r="F747" t="s">
        <v>58</v>
      </c>
      <c r="G747" t="s">
        <v>36</v>
      </c>
      <c r="H747" t="s">
        <v>54</v>
      </c>
      <c r="I747" t="s">
        <v>48</v>
      </c>
      <c r="J747">
        <v>1.2</v>
      </c>
      <c r="K747">
        <v>19</v>
      </c>
      <c r="L747">
        <v>3</v>
      </c>
      <c r="M747">
        <v>766458</v>
      </c>
      <c r="N747">
        <v>2299374</v>
      </c>
      <c r="O747">
        <v>1984957</v>
      </c>
      <c r="P747">
        <v>314417</v>
      </c>
    </row>
    <row r="748" spans="1:16" x14ac:dyDescent="0.3">
      <c r="A748">
        <v>1747</v>
      </c>
      <c r="B748" t="s">
        <v>101</v>
      </c>
      <c r="C748">
        <v>2024</v>
      </c>
      <c r="D748" t="s">
        <v>17</v>
      </c>
      <c r="E748" t="s">
        <v>40</v>
      </c>
      <c r="F748" t="s">
        <v>41</v>
      </c>
      <c r="G748" t="s">
        <v>27</v>
      </c>
      <c r="H748" t="s">
        <v>47</v>
      </c>
      <c r="I748" t="s">
        <v>48</v>
      </c>
      <c r="J748">
        <v>1</v>
      </c>
      <c r="K748">
        <v>22</v>
      </c>
      <c r="L748">
        <v>3</v>
      </c>
      <c r="M748">
        <v>1215187</v>
      </c>
      <c r="N748">
        <v>3645561</v>
      </c>
      <c r="O748">
        <v>2894506</v>
      </c>
      <c r="P748">
        <v>751055</v>
      </c>
    </row>
    <row r="749" spans="1:16" x14ac:dyDescent="0.3">
      <c r="A749">
        <v>1748</v>
      </c>
      <c r="B749" t="s">
        <v>546</v>
      </c>
      <c r="C749">
        <v>2023</v>
      </c>
      <c r="D749" t="s">
        <v>43</v>
      </c>
      <c r="E749" t="s">
        <v>18</v>
      </c>
      <c r="F749" t="s">
        <v>35</v>
      </c>
      <c r="G749" t="s">
        <v>51</v>
      </c>
      <c r="H749" t="s">
        <v>63</v>
      </c>
      <c r="I749" t="s">
        <v>22</v>
      </c>
      <c r="J749">
        <v>2</v>
      </c>
      <c r="K749">
        <v>19</v>
      </c>
      <c r="L749">
        <v>4</v>
      </c>
      <c r="M749">
        <v>910864</v>
      </c>
      <c r="N749">
        <v>3643456</v>
      </c>
      <c r="O749">
        <v>3222108</v>
      </c>
      <c r="P749">
        <v>421348</v>
      </c>
    </row>
    <row r="750" spans="1:16" x14ac:dyDescent="0.3">
      <c r="A750">
        <v>1749</v>
      </c>
      <c r="B750" t="s">
        <v>547</v>
      </c>
      <c r="C750">
        <v>2023</v>
      </c>
      <c r="D750" t="s">
        <v>74</v>
      </c>
      <c r="E750" t="s">
        <v>40</v>
      </c>
      <c r="F750" t="s">
        <v>41</v>
      </c>
      <c r="G750" t="s">
        <v>30</v>
      </c>
      <c r="H750" t="s">
        <v>63</v>
      </c>
      <c r="I750" t="s">
        <v>22</v>
      </c>
      <c r="J750">
        <v>1.2</v>
      </c>
      <c r="K750">
        <v>19</v>
      </c>
      <c r="L750">
        <v>5</v>
      </c>
      <c r="M750">
        <v>1026263</v>
      </c>
      <c r="N750">
        <v>5131315</v>
      </c>
      <c r="O750">
        <v>4320829</v>
      </c>
      <c r="P750">
        <v>810486</v>
      </c>
    </row>
    <row r="751" spans="1:16" x14ac:dyDescent="0.3">
      <c r="A751">
        <v>1750</v>
      </c>
      <c r="B751" t="s">
        <v>548</v>
      </c>
      <c r="C751">
        <v>2023</v>
      </c>
      <c r="D751" t="s">
        <v>74</v>
      </c>
      <c r="E751" t="s">
        <v>40</v>
      </c>
      <c r="F751" t="s">
        <v>104</v>
      </c>
      <c r="G751" t="s">
        <v>51</v>
      </c>
      <c r="H751" t="s">
        <v>47</v>
      </c>
      <c r="I751" t="s">
        <v>48</v>
      </c>
      <c r="J751">
        <v>2</v>
      </c>
      <c r="K751">
        <v>18</v>
      </c>
      <c r="L751">
        <v>5</v>
      </c>
      <c r="M751">
        <v>717535</v>
      </c>
      <c r="N751">
        <v>3587675</v>
      </c>
      <c r="O751">
        <v>2760445</v>
      </c>
      <c r="P751">
        <v>827230</v>
      </c>
    </row>
    <row r="752" spans="1:16" x14ac:dyDescent="0.3">
      <c r="A752">
        <v>1751</v>
      </c>
      <c r="B752" t="s">
        <v>233</v>
      </c>
      <c r="C752">
        <v>2023</v>
      </c>
      <c r="D752" t="s">
        <v>43</v>
      </c>
      <c r="E752" t="s">
        <v>40</v>
      </c>
      <c r="F752" t="s">
        <v>41</v>
      </c>
      <c r="G752" t="s">
        <v>36</v>
      </c>
      <c r="H752" t="s">
        <v>79</v>
      </c>
      <c r="I752" t="s">
        <v>48</v>
      </c>
      <c r="J752">
        <v>2</v>
      </c>
      <c r="K752">
        <v>18</v>
      </c>
      <c r="L752">
        <v>8</v>
      </c>
      <c r="M752">
        <v>1262153</v>
      </c>
      <c r="N752">
        <v>10097224</v>
      </c>
      <c r="O752">
        <v>8007356</v>
      </c>
      <c r="P752">
        <v>2089868</v>
      </c>
    </row>
    <row r="753" spans="1:16" x14ac:dyDescent="0.3">
      <c r="A753">
        <v>1752</v>
      </c>
      <c r="B753" t="s">
        <v>549</v>
      </c>
      <c r="C753">
        <v>2024</v>
      </c>
      <c r="D753" t="s">
        <v>43</v>
      </c>
      <c r="E753" t="s">
        <v>18</v>
      </c>
      <c r="F753" t="s">
        <v>107</v>
      </c>
      <c r="G753" t="s">
        <v>27</v>
      </c>
      <c r="H753" t="s">
        <v>21</v>
      </c>
      <c r="I753" t="s">
        <v>22</v>
      </c>
      <c r="J753">
        <v>1</v>
      </c>
      <c r="K753">
        <v>23</v>
      </c>
      <c r="L753">
        <v>8</v>
      </c>
      <c r="M753">
        <v>1103891</v>
      </c>
      <c r="N753">
        <v>8831128</v>
      </c>
      <c r="O753">
        <v>7721394</v>
      </c>
      <c r="P753">
        <v>1109734</v>
      </c>
    </row>
    <row r="754" spans="1:16" x14ac:dyDescent="0.3">
      <c r="A754">
        <v>1753</v>
      </c>
      <c r="B754" t="s">
        <v>256</v>
      </c>
      <c r="C754">
        <v>2024</v>
      </c>
      <c r="D754" t="s">
        <v>39</v>
      </c>
      <c r="E754" t="s">
        <v>44</v>
      </c>
      <c r="F754" t="s">
        <v>45</v>
      </c>
      <c r="G754" t="s">
        <v>20</v>
      </c>
      <c r="H754" t="s">
        <v>52</v>
      </c>
      <c r="I754" t="s">
        <v>22</v>
      </c>
      <c r="J754">
        <v>1.5</v>
      </c>
      <c r="K754">
        <v>21</v>
      </c>
      <c r="L754">
        <v>7</v>
      </c>
      <c r="M754">
        <v>990047</v>
      </c>
      <c r="N754">
        <v>6930329</v>
      </c>
      <c r="O754">
        <v>5486440</v>
      </c>
      <c r="P754">
        <v>1443889</v>
      </c>
    </row>
    <row r="755" spans="1:16" x14ac:dyDescent="0.3">
      <c r="A755">
        <v>1754</v>
      </c>
      <c r="B755" t="s">
        <v>550</v>
      </c>
      <c r="C755">
        <v>2024</v>
      </c>
      <c r="D755" t="s">
        <v>67</v>
      </c>
      <c r="E755" t="s">
        <v>25</v>
      </c>
      <c r="F755" t="s">
        <v>26</v>
      </c>
      <c r="G755" t="s">
        <v>46</v>
      </c>
      <c r="H755" t="s">
        <v>31</v>
      </c>
      <c r="I755" t="s">
        <v>32</v>
      </c>
      <c r="J755">
        <v>2</v>
      </c>
      <c r="K755">
        <v>23</v>
      </c>
      <c r="L755">
        <v>4</v>
      </c>
      <c r="M755">
        <v>805435</v>
      </c>
      <c r="N755">
        <v>3221740</v>
      </c>
      <c r="O755">
        <v>2758067</v>
      </c>
      <c r="P755">
        <v>463673</v>
      </c>
    </row>
    <row r="756" spans="1:16" x14ac:dyDescent="0.3">
      <c r="A756">
        <v>1755</v>
      </c>
      <c r="B756" t="s">
        <v>495</v>
      </c>
      <c r="C756">
        <v>2024</v>
      </c>
      <c r="D756" t="s">
        <v>29</v>
      </c>
      <c r="E756" t="s">
        <v>18</v>
      </c>
      <c r="F756" t="s">
        <v>107</v>
      </c>
      <c r="G756" t="s">
        <v>59</v>
      </c>
      <c r="H756" t="s">
        <v>37</v>
      </c>
      <c r="I756" t="s">
        <v>32</v>
      </c>
      <c r="J756">
        <v>1.5</v>
      </c>
      <c r="K756">
        <v>21</v>
      </c>
      <c r="L756">
        <v>1</v>
      </c>
      <c r="M756">
        <v>684210</v>
      </c>
      <c r="N756">
        <v>684210</v>
      </c>
      <c r="O756">
        <v>605032</v>
      </c>
      <c r="P756">
        <v>79178</v>
      </c>
    </row>
    <row r="757" spans="1:16" x14ac:dyDescent="0.3">
      <c r="A757">
        <v>1756</v>
      </c>
      <c r="B757" t="s">
        <v>78</v>
      </c>
      <c r="C757">
        <v>2024</v>
      </c>
      <c r="D757" t="s">
        <v>67</v>
      </c>
      <c r="E757" t="s">
        <v>44</v>
      </c>
      <c r="F757" t="s">
        <v>70</v>
      </c>
      <c r="G757" t="s">
        <v>90</v>
      </c>
      <c r="H757" t="s">
        <v>52</v>
      </c>
      <c r="I757" t="s">
        <v>22</v>
      </c>
      <c r="J757">
        <v>1.5</v>
      </c>
      <c r="K757">
        <v>22</v>
      </c>
      <c r="L757">
        <v>7</v>
      </c>
      <c r="M757">
        <v>813218</v>
      </c>
      <c r="N757">
        <v>5692526</v>
      </c>
      <c r="O757">
        <v>4771085</v>
      </c>
      <c r="P757">
        <v>921441</v>
      </c>
    </row>
    <row r="758" spans="1:16" x14ac:dyDescent="0.3">
      <c r="A758">
        <v>1757</v>
      </c>
      <c r="B758" t="s">
        <v>201</v>
      </c>
      <c r="C758">
        <v>2023</v>
      </c>
      <c r="D758" t="s">
        <v>50</v>
      </c>
      <c r="E758" t="s">
        <v>40</v>
      </c>
      <c r="F758" t="s">
        <v>120</v>
      </c>
      <c r="G758" t="s">
        <v>51</v>
      </c>
      <c r="H758" t="s">
        <v>56</v>
      </c>
      <c r="I758" t="s">
        <v>48</v>
      </c>
      <c r="J758">
        <v>1.5</v>
      </c>
      <c r="K758">
        <v>23</v>
      </c>
      <c r="L758">
        <v>8</v>
      </c>
      <c r="M758">
        <v>1233939</v>
      </c>
      <c r="N758">
        <v>9871512</v>
      </c>
      <c r="O758">
        <v>7609035</v>
      </c>
      <c r="P758">
        <v>2262477</v>
      </c>
    </row>
    <row r="759" spans="1:16" x14ac:dyDescent="0.3">
      <c r="A759">
        <v>1758</v>
      </c>
      <c r="B759" t="s">
        <v>383</v>
      </c>
      <c r="C759">
        <v>2023</v>
      </c>
      <c r="D759" t="s">
        <v>76</v>
      </c>
      <c r="E759" t="s">
        <v>25</v>
      </c>
      <c r="F759" t="s">
        <v>84</v>
      </c>
      <c r="G759" t="s">
        <v>30</v>
      </c>
      <c r="H759" t="s">
        <v>37</v>
      </c>
      <c r="I759" t="s">
        <v>32</v>
      </c>
      <c r="J759">
        <v>1.2</v>
      </c>
      <c r="K759">
        <v>21</v>
      </c>
      <c r="L759">
        <v>7</v>
      </c>
      <c r="M759">
        <v>1401635</v>
      </c>
      <c r="N759">
        <v>9811445</v>
      </c>
      <c r="O759">
        <v>8323342</v>
      </c>
      <c r="P759">
        <v>1488103</v>
      </c>
    </row>
    <row r="760" spans="1:16" x14ac:dyDescent="0.3">
      <c r="A760">
        <v>1759</v>
      </c>
      <c r="B760" t="s">
        <v>245</v>
      </c>
      <c r="C760">
        <v>2024</v>
      </c>
      <c r="D760" t="s">
        <v>29</v>
      </c>
      <c r="E760" t="s">
        <v>44</v>
      </c>
      <c r="F760" t="s">
        <v>45</v>
      </c>
      <c r="G760" t="s">
        <v>27</v>
      </c>
      <c r="H760" t="s">
        <v>56</v>
      </c>
      <c r="I760" t="s">
        <v>48</v>
      </c>
      <c r="J760">
        <v>1.5</v>
      </c>
      <c r="K760">
        <v>21</v>
      </c>
      <c r="L760">
        <v>8</v>
      </c>
      <c r="M760">
        <v>1099429</v>
      </c>
      <c r="N760">
        <v>8795432</v>
      </c>
      <c r="O760">
        <v>6661100</v>
      </c>
      <c r="P760">
        <v>2134332</v>
      </c>
    </row>
    <row r="761" spans="1:16" x14ac:dyDescent="0.3">
      <c r="A761">
        <v>1760</v>
      </c>
      <c r="B761" t="s">
        <v>337</v>
      </c>
      <c r="C761">
        <v>2023</v>
      </c>
      <c r="D761" t="s">
        <v>97</v>
      </c>
      <c r="E761" t="s">
        <v>18</v>
      </c>
      <c r="F761" t="s">
        <v>72</v>
      </c>
      <c r="G761" t="s">
        <v>46</v>
      </c>
      <c r="H761" t="s">
        <v>52</v>
      </c>
      <c r="I761" t="s">
        <v>22</v>
      </c>
      <c r="J761">
        <v>1</v>
      </c>
      <c r="K761">
        <v>20</v>
      </c>
      <c r="L761">
        <v>4</v>
      </c>
      <c r="M761">
        <v>1199340</v>
      </c>
      <c r="N761">
        <v>4797360</v>
      </c>
      <c r="O761">
        <v>4256847</v>
      </c>
      <c r="P761">
        <v>540513</v>
      </c>
    </row>
    <row r="762" spans="1:16" x14ac:dyDescent="0.3">
      <c r="A762">
        <v>1761</v>
      </c>
      <c r="B762" t="s">
        <v>551</v>
      </c>
      <c r="C762">
        <v>2024</v>
      </c>
      <c r="D762" t="s">
        <v>50</v>
      </c>
      <c r="E762" t="s">
        <v>25</v>
      </c>
      <c r="F762" t="s">
        <v>26</v>
      </c>
      <c r="G762" t="s">
        <v>27</v>
      </c>
      <c r="H762" t="s">
        <v>56</v>
      </c>
      <c r="I762" t="s">
        <v>48</v>
      </c>
      <c r="J762">
        <v>1</v>
      </c>
      <c r="K762">
        <v>23</v>
      </c>
      <c r="L762">
        <v>4</v>
      </c>
      <c r="M762">
        <v>868345</v>
      </c>
      <c r="N762">
        <v>3473380</v>
      </c>
      <c r="O762">
        <v>2932110</v>
      </c>
      <c r="P762">
        <v>541270</v>
      </c>
    </row>
    <row r="763" spans="1:16" x14ac:dyDescent="0.3">
      <c r="A763">
        <v>1762</v>
      </c>
      <c r="B763" t="s">
        <v>270</v>
      </c>
      <c r="C763">
        <v>2023</v>
      </c>
      <c r="D763" t="s">
        <v>67</v>
      </c>
      <c r="E763" t="s">
        <v>40</v>
      </c>
      <c r="F763" t="s">
        <v>68</v>
      </c>
      <c r="G763" t="s">
        <v>30</v>
      </c>
      <c r="H763" t="s">
        <v>37</v>
      </c>
      <c r="I763" t="s">
        <v>32</v>
      </c>
      <c r="J763">
        <v>2</v>
      </c>
      <c r="K763">
        <v>18</v>
      </c>
      <c r="L763">
        <v>8</v>
      </c>
      <c r="M763">
        <v>1322227</v>
      </c>
      <c r="N763">
        <v>10577816</v>
      </c>
      <c r="O763">
        <v>7993279</v>
      </c>
      <c r="P763">
        <v>2584537</v>
      </c>
    </row>
    <row r="764" spans="1:16" x14ac:dyDescent="0.3">
      <c r="A764">
        <v>1763</v>
      </c>
      <c r="B764" t="s">
        <v>552</v>
      </c>
      <c r="C764">
        <v>2023</v>
      </c>
      <c r="D764" t="s">
        <v>39</v>
      </c>
      <c r="E764" t="s">
        <v>25</v>
      </c>
      <c r="F764" t="s">
        <v>84</v>
      </c>
      <c r="G764" t="s">
        <v>30</v>
      </c>
      <c r="H764" t="s">
        <v>52</v>
      </c>
      <c r="I764" t="s">
        <v>22</v>
      </c>
      <c r="J764">
        <v>1.2</v>
      </c>
      <c r="K764">
        <v>20</v>
      </c>
      <c r="L764">
        <v>8</v>
      </c>
      <c r="M764">
        <v>1141233</v>
      </c>
      <c r="N764">
        <v>9129864</v>
      </c>
      <c r="O764">
        <v>7439207</v>
      </c>
      <c r="P764">
        <v>1690657</v>
      </c>
    </row>
    <row r="765" spans="1:16" x14ac:dyDescent="0.3">
      <c r="A765">
        <v>1764</v>
      </c>
      <c r="B765" t="s">
        <v>277</v>
      </c>
      <c r="C765">
        <v>2023</v>
      </c>
      <c r="D765" t="s">
        <v>29</v>
      </c>
      <c r="E765" t="s">
        <v>25</v>
      </c>
      <c r="F765" t="s">
        <v>58</v>
      </c>
      <c r="G765" t="s">
        <v>59</v>
      </c>
      <c r="H765" t="s">
        <v>21</v>
      </c>
      <c r="I765" t="s">
        <v>22</v>
      </c>
      <c r="J765">
        <v>1.2</v>
      </c>
      <c r="K765">
        <v>16</v>
      </c>
      <c r="L765">
        <v>1</v>
      </c>
      <c r="M765">
        <v>1224213</v>
      </c>
      <c r="N765">
        <v>1224213</v>
      </c>
      <c r="O765">
        <v>1060484</v>
      </c>
      <c r="P765">
        <v>163729</v>
      </c>
    </row>
    <row r="766" spans="1:16" x14ac:dyDescent="0.3">
      <c r="A766">
        <v>1765</v>
      </c>
      <c r="B766" t="s">
        <v>553</v>
      </c>
      <c r="C766">
        <v>2024</v>
      </c>
      <c r="D766" t="s">
        <v>29</v>
      </c>
      <c r="E766" t="s">
        <v>25</v>
      </c>
      <c r="F766" t="s">
        <v>26</v>
      </c>
      <c r="G766" t="s">
        <v>30</v>
      </c>
      <c r="H766" t="s">
        <v>47</v>
      </c>
      <c r="I766" t="s">
        <v>48</v>
      </c>
      <c r="J766">
        <v>1.2</v>
      </c>
      <c r="K766">
        <v>23</v>
      </c>
      <c r="L766">
        <v>2</v>
      </c>
      <c r="M766">
        <v>1116880</v>
      </c>
      <c r="N766">
        <v>2233760</v>
      </c>
      <c r="O766">
        <v>1997813</v>
      </c>
      <c r="P766">
        <v>235947</v>
      </c>
    </row>
    <row r="767" spans="1:16" x14ac:dyDescent="0.3">
      <c r="A767">
        <v>1766</v>
      </c>
      <c r="B767" t="s">
        <v>554</v>
      </c>
      <c r="C767">
        <v>2024</v>
      </c>
      <c r="D767" t="s">
        <v>76</v>
      </c>
      <c r="E767" t="s">
        <v>44</v>
      </c>
      <c r="F767" t="s">
        <v>62</v>
      </c>
      <c r="G767" t="s">
        <v>51</v>
      </c>
      <c r="H767" t="s">
        <v>47</v>
      </c>
      <c r="I767" t="s">
        <v>48</v>
      </c>
      <c r="J767">
        <v>2</v>
      </c>
      <c r="K767">
        <v>22</v>
      </c>
      <c r="L767">
        <v>2</v>
      </c>
      <c r="M767">
        <v>872145</v>
      </c>
      <c r="N767">
        <v>1744290</v>
      </c>
      <c r="O767">
        <v>1528456</v>
      </c>
      <c r="P767">
        <v>215834</v>
      </c>
    </row>
    <row r="768" spans="1:16" x14ac:dyDescent="0.3">
      <c r="A768">
        <v>1767</v>
      </c>
      <c r="B768" t="s">
        <v>376</v>
      </c>
      <c r="C768">
        <v>2023</v>
      </c>
      <c r="D768" t="s">
        <v>50</v>
      </c>
      <c r="E768" t="s">
        <v>25</v>
      </c>
      <c r="F768" t="s">
        <v>84</v>
      </c>
      <c r="G768" t="s">
        <v>20</v>
      </c>
      <c r="H768" t="s">
        <v>31</v>
      </c>
      <c r="I768" t="s">
        <v>32</v>
      </c>
      <c r="J768">
        <v>1.5</v>
      </c>
      <c r="K768">
        <v>22</v>
      </c>
      <c r="L768">
        <v>4</v>
      </c>
      <c r="M768">
        <v>979433</v>
      </c>
      <c r="N768">
        <v>3917732</v>
      </c>
      <c r="O768">
        <v>2984318</v>
      </c>
      <c r="P768">
        <v>933414</v>
      </c>
    </row>
    <row r="769" spans="1:16" x14ac:dyDescent="0.3">
      <c r="A769">
        <v>1768</v>
      </c>
      <c r="B769" t="s">
        <v>555</v>
      </c>
      <c r="C769">
        <v>2023</v>
      </c>
      <c r="D769" t="s">
        <v>39</v>
      </c>
      <c r="E769" t="s">
        <v>44</v>
      </c>
      <c r="F769" t="s">
        <v>92</v>
      </c>
      <c r="G769" t="s">
        <v>46</v>
      </c>
      <c r="H769" t="s">
        <v>31</v>
      </c>
      <c r="I769" t="s">
        <v>32</v>
      </c>
      <c r="J769">
        <v>2</v>
      </c>
      <c r="K769">
        <v>19</v>
      </c>
      <c r="L769">
        <v>4</v>
      </c>
      <c r="M769">
        <v>1100704</v>
      </c>
      <c r="N769">
        <v>4402816</v>
      </c>
      <c r="O769">
        <v>3371379</v>
      </c>
      <c r="P769">
        <v>1031437</v>
      </c>
    </row>
    <row r="770" spans="1:16" x14ac:dyDescent="0.3">
      <c r="A770">
        <v>1769</v>
      </c>
      <c r="B770" t="s">
        <v>73</v>
      </c>
      <c r="C770">
        <v>2024</v>
      </c>
      <c r="D770" t="s">
        <v>74</v>
      </c>
      <c r="E770" t="s">
        <v>40</v>
      </c>
      <c r="F770" t="s">
        <v>104</v>
      </c>
      <c r="G770" t="s">
        <v>59</v>
      </c>
      <c r="H770" t="s">
        <v>79</v>
      </c>
      <c r="I770" t="s">
        <v>48</v>
      </c>
      <c r="J770">
        <v>1.2</v>
      </c>
      <c r="K770">
        <v>21</v>
      </c>
      <c r="L770">
        <v>8</v>
      </c>
      <c r="M770">
        <v>1364037</v>
      </c>
      <c r="N770">
        <v>10912296</v>
      </c>
      <c r="O770">
        <v>9413657</v>
      </c>
      <c r="P770">
        <v>1498639</v>
      </c>
    </row>
    <row r="771" spans="1:16" x14ac:dyDescent="0.3">
      <c r="A771">
        <v>1770</v>
      </c>
      <c r="B771" t="s">
        <v>376</v>
      </c>
      <c r="C771">
        <v>2023</v>
      </c>
      <c r="D771" t="s">
        <v>50</v>
      </c>
      <c r="E771" t="s">
        <v>18</v>
      </c>
      <c r="F771" t="s">
        <v>107</v>
      </c>
      <c r="G771" t="s">
        <v>59</v>
      </c>
      <c r="H771" t="s">
        <v>56</v>
      </c>
      <c r="I771" t="s">
        <v>48</v>
      </c>
      <c r="J771">
        <v>2</v>
      </c>
      <c r="K771">
        <v>22</v>
      </c>
      <c r="L771">
        <v>4</v>
      </c>
      <c r="M771">
        <v>1272761</v>
      </c>
      <c r="N771">
        <v>5091044</v>
      </c>
      <c r="O771">
        <v>3933266</v>
      </c>
      <c r="P771">
        <v>1157778</v>
      </c>
    </row>
    <row r="772" spans="1:16" x14ac:dyDescent="0.3">
      <c r="A772">
        <v>1771</v>
      </c>
      <c r="B772" t="s">
        <v>179</v>
      </c>
      <c r="C772">
        <v>2023</v>
      </c>
      <c r="D772" t="s">
        <v>29</v>
      </c>
      <c r="E772" t="s">
        <v>25</v>
      </c>
      <c r="F772" t="s">
        <v>26</v>
      </c>
      <c r="G772" t="s">
        <v>30</v>
      </c>
      <c r="H772" t="s">
        <v>31</v>
      </c>
      <c r="I772" t="s">
        <v>32</v>
      </c>
      <c r="J772">
        <v>1.2</v>
      </c>
      <c r="K772">
        <v>19</v>
      </c>
      <c r="L772">
        <v>7</v>
      </c>
      <c r="M772">
        <v>994884</v>
      </c>
      <c r="N772">
        <v>6964188</v>
      </c>
      <c r="O772">
        <v>5547792</v>
      </c>
      <c r="P772">
        <v>1416396</v>
      </c>
    </row>
    <row r="773" spans="1:16" x14ac:dyDescent="0.3">
      <c r="A773">
        <v>1772</v>
      </c>
      <c r="B773" t="s">
        <v>251</v>
      </c>
      <c r="C773">
        <v>2024</v>
      </c>
      <c r="D773" t="s">
        <v>24</v>
      </c>
      <c r="E773" t="s">
        <v>40</v>
      </c>
      <c r="F773" t="s">
        <v>41</v>
      </c>
      <c r="G773" t="s">
        <v>90</v>
      </c>
      <c r="H773" t="s">
        <v>37</v>
      </c>
      <c r="I773" t="s">
        <v>32</v>
      </c>
      <c r="J773">
        <v>1.2</v>
      </c>
      <c r="K773">
        <v>18</v>
      </c>
      <c r="L773">
        <v>6</v>
      </c>
      <c r="M773">
        <v>1323804</v>
      </c>
      <c r="N773">
        <v>7942824</v>
      </c>
      <c r="O773">
        <v>6564114</v>
      </c>
      <c r="P773">
        <v>1378710</v>
      </c>
    </row>
    <row r="774" spans="1:16" x14ac:dyDescent="0.3">
      <c r="A774">
        <v>1773</v>
      </c>
      <c r="B774" t="s">
        <v>218</v>
      </c>
      <c r="C774">
        <v>2024</v>
      </c>
      <c r="D774" t="s">
        <v>97</v>
      </c>
      <c r="E774" t="s">
        <v>40</v>
      </c>
      <c r="F774" t="s">
        <v>120</v>
      </c>
      <c r="G774" t="s">
        <v>90</v>
      </c>
      <c r="H774" t="s">
        <v>63</v>
      </c>
      <c r="I774" t="s">
        <v>22</v>
      </c>
      <c r="J774">
        <v>1.2</v>
      </c>
      <c r="K774">
        <v>22</v>
      </c>
      <c r="L774">
        <v>3</v>
      </c>
      <c r="M774">
        <v>760551</v>
      </c>
      <c r="N774">
        <v>2281653</v>
      </c>
      <c r="O774">
        <v>1959506</v>
      </c>
      <c r="P774">
        <v>322147</v>
      </c>
    </row>
    <row r="775" spans="1:16" x14ac:dyDescent="0.3">
      <c r="A775">
        <v>1774</v>
      </c>
      <c r="B775" t="s">
        <v>556</v>
      </c>
      <c r="C775">
        <v>2023</v>
      </c>
      <c r="D775" t="s">
        <v>50</v>
      </c>
      <c r="E775" t="s">
        <v>40</v>
      </c>
      <c r="F775" t="s">
        <v>41</v>
      </c>
      <c r="G775" t="s">
        <v>30</v>
      </c>
      <c r="H775" t="s">
        <v>37</v>
      </c>
      <c r="I775" t="s">
        <v>32</v>
      </c>
      <c r="J775">
        <v>1.5</v>
      </c>
      <c r="K775">
        <v>20</v>
      </c>
      <c r="L775">
        <v>2</v>
      </c>
      <c r="M775">
        <v>1399677</v>
      </c>
      <c r="N775">
        <v>2799354</v>
      </c>
      <c r="O775">
        <v>2279508</v>
      </c>
      <c r="P775">
        <v>519846</v>
      </c>
    </row>
    <row r="776" spans="1:16" x14ac:dyDescent="0.3">
      <c r="A776">
        <v>1775</v>
      </c>
      <c r="B776" t="s">
        <v>258</v>
      </c>
      <c r="C776">
        <v>2024</v>
      </c>
      <c r="D776" t="s">
        <v>29</v>
      </c>
      <c r="E776" t="s">
        <v>18</v>
      </c>
      <c r="F776" t="s">
        <v>72</v>
      </c>
      <c r="G776" t="s">
        <v>59</v>
      </c>
      <c r="H776" t="s">
        <v>54</v>
      </c>
      <c r="I776" t="s">
        <v>48</v>
      </c>
      <c r="J776">
        <v>1.2</v>
      </c>
      <c r="K776">
        <v>20</v>
      </c>
      <c r="L776">
        <v>1</v>
      </c>
      <c r="M776">
        <v>734512</v>
      </c>
      <c r="N776">
        <v>734512</v>
      </c>
      <c r="O776">
        <v>607967</v>
      </c>
      <c r="P776">
        <v>126545</v>
      </c>
    </row>
    <row r="777" spans="1:16" x14ac:dyDescent="0.3">
      <c r="A777">
        <v>1776</v>
      </c>
      <c r="B777" t="s">
        <v>69</v>
      </c>
      <c r="C777">
        <v>2023</v>
      </c>
      <c r="D777" t="s">
        <v>24</v>
      </c>
      <c r="E777" t="s">
        <v>18</v>
      </c>
      <c r="F777" t="s">
        <v>19</v>
      </c>
      <c r="G777" t="s">
        <v>59</v>
      </c>
      <c r="H777" t="s">
        <v>21</v>
      </c>
      <c r="I777" t="s">
        <v>22</v>
      </c>
      <c r="J777">
        <v>1.5</v>
      </c>
      <c r="K777">
        <v>19</v>
      </c>
      <c r="L777">
        <v>5</v>
      </c>
      <c r="M777">
        <v>1183734</v>
      </c>
      <c r="N777">
        <v>5918670</v>
      </c>
      <c r="O777">
        <v>5320650</v>
      </c>
      <c r="P777">
        <v>598020</v>
      </c>
    </row>
    <row r="778" spans="1:16" x14ac:dyDescent="0.3">
      <c r="A778">
        <v>1777</v>
      </c>
      <c r="B778" t="s">
        <v>384</v>
      </c>
      <c r="C778">
        <v>2023</v>
      </c>
      <c r="D778" t="s">
        <v>39</v>
      </c>
      <c r="E778" t="s">
        <v>44</v>
      </c>
      <c r="F778" t="s">
        <v>70</v>
      </c>
      <c r="G778" t="s">
        <v>59</v>
      </c>
      <c r="H778" t="s">
        <v>54</v>
      </c>
      <c r="I778" t="s">
        <v>48</v>
      </c>
      <c r="J778">
        <v>1.2</v>
      </c>
      <c r="K778">
        <v>23</v>
      </c>
      <c r="L778">
        <v>4</v>
      </c>
      <c r="M778">
        <v>1127693</v>
      </c>
      <c r="N778">
        <v>4510772</v>
      </c>
      <c r="O778">
        <v>3557546</v>
      </c>
      <c r="P778">
        <v>953226</v>
      </c>
    </row>
    <row r="779" spans="1:16" x14ac:dyDescent="0.3">
      <c r="A779">
        <v>1778</v>
      </c>
      <c r="B779" t="s">
        <v>557</v>
      </c>
      <c r="C779">
        <v>2023</v>
      </c>
      <c r="D779" t="s">
        <v>34</v>
      </c>
      <c r="E779" t="s">
        <v>25</v>
      </c>
      <c r="F779" t="s">
        <v>58</v>
      </c>
      <c r="G779" t="s">
        <v>30</v>
      </c>
      <c r="H779" t="s">
        <v>100</v>
      </c>
      <c r="I779" t="s">
        <v>22</v>
      </c>
      <c r="J779">
        <v>1.2</v>
      </c>
      <c r="K779">
        <v>21</v>
      </c>
      <c r="L779">
        <v>7</v>
      </c>
      <c r="M779">
        <v>751633</v>
      </c>
      <c r="N779">
        <v>5261431</v>
      </c>
      <c r="O779">
        <v>4022236</v>
      </c>
      <c r="P779">
        <v>1239195</v>
      </c>
    </row>
    <row r="780" spans="1:16" x14ac:dyDescent="0.3">
      <c r="A780">
        <v>1779</v>
      </c>
      <c r="B780" t="s">
        <v>558</v>
      </c>
      <c r="C780">
        <v>2023</v>
      </c>
      <c r="D780" t="s">
        <v>50</v>
      </c>
      <c r="E780" t="s">
        <v>18</v>
      </c>
      <c r="F780" t="s">
        <v>35</v>
      </c>
      <c r="G780" t="s">
        <v>51</v>
      </c>
      <c r="H780" t="s">
        <v>21</v>
      </c>
      <c r="I780" t="s">
        <v>22</v>
      </c>
      <c r="J780">
        <v>1.2</v>
      </c>
      <c r="K780">
        <v>16</v>
      </c>
      <c r="L780">
        <v>1</v>
      </c>
      <c r="M780">
        <v>1486226</v>
      </c>
      <c r="N780">
        <v>1486226</v>
      </c>
      <c r="O780">
        <v>1335880</v>
      </c>
      <c r="P780">
        <v>150346</v>
      </c>
    </row>
    <row r="781" spans="1:16" x14ac:dyDescent="0.3">
      <c r="A781">
        <v>1780</v>
      </c>
      <c r="B781" t="s">
        <v>559</v>
      </c>
      <c r="C781">
        <v>2024</v>
      </c>
      <c r="D781" t="s">
        <v>50</v>
      </c>
      <c r="E781" t="s">
        <v>18</v>
      </c>
      <c r="F781" t="s">
        <v>107</v>
      </c>
      <c r="G781" t="s">
        <v>30</v>
      </c>
      <c r="H781" t="s">
        <v>52</v>
      </c>
      <c r="I781" t="s">
        <v>22</v>
      </c>
      <c r="J781">
        <v>1.2</v>
      </c>
      <c r="K781">
        <v>19</v>
      </c>
      <c r="L781">
        <v>6</v>
      </c>
      <c r="M781">
        <v>804850</v>
      </c>
      <c r="N781">
        <v>4829100</v>
      </c>
      <c r="O781">
        <v>4088710</v>
      </c>
      <c r="P781">
        <v>740390</v>
      </c>
    </row>
    <row r="782" spans="1:16" x14ac:dyDescent="0.3">
      <c r="A782">
        <v>1781</v>
      </c>
      <c r="B782" t="s">
        <v>236</v>
      </c>
      <c r="C782">
        <v>2023</v>
      </c>
      <c r="D782" t="s">
        <v>50</v>
      </c>
      <c r="E782" t="s">
        <v>44</v>
      </c>
      <c r="F782" t="s">
        <v>70</v>
      </c>
      <c r="G782" t="s">
        <v>90</v>
      </c>
      <c r="H782" t="s">
        <v>100</v>
      </c>
      <c r="I782" t="s">
        <v>22</v>
      </c>
      <c r="J782">
        <v>1.2</v>
      </c>
      <c r="K782">
        <v>20</v>
      </c>
      <c r="L782">
        <v>3</v>
      </c>
      <c r="M782">
        <v>1375931</v>
      </c>
      <c r="N782">
        <v>4127793</v>
      </c>
      <c r="O782">
        <v>3609787</v>
      </c>
      <c r="P782">
        <v>518006</v>
      </c>
    </row>
    <row r="783" spans="1:16" x14ac:dyDescent="0.3">
      <c r="A783">
        <v>1782</v>
      </c>
      <c r="B783" t="s">
        <v>431</v>
      </c>
      <c r="C783">
        <v>2024</v>
      </c>
      <c r="D783" t="s">
        <v>61</v>
      </c>
      <c r="E783" t="s">
        <v>44</v>
      </c>
      <c r="F783" t="s">
        <v>45</v>
      </c>
      <c r="G783" t="s">
        <v>27</v>
      </c>
      <c r="H783" t="s">
        <v>63</v>
      </c>
      <c r="I783" t="s">
        <v>22</v>
      </c>
      <c r="J783">
        <v>1.5</v>
      </c>
      <c r="K783">
        <v>22</v>
      </c>
      <c r="L783">
        <v>1</v>
      </c>
      <c r="M783">
        <v>1286178</v>
      </c>
      <c r="N783">
        <v>1286178</v>
      </c>
      <c r="O783">
        <v>1129461</v>
      </c>
      <c r="P783">
        <v>156717</v>
      </c>
    </row>
    <row r="784" spans="1:16" x14ac:dyDescent="0.3">
      <c r="A784">
        <v>1783</v>
      </c>
      <c r="B784" t="s">
        <v>560</v>
      </c>
      <c r="C784">
        <v>2024</v>
      </c>
      <c r="D784" t="s">
        <v>17</v>
      </c>
      <c r="E784" t="s">
        <v>44</v>
      </c>
      <c r="F784" t="s">
        <v>70</v>
      </c>
      <c r="G784" t="s">
        <v>30</v>
      </c>
      <c r="H784" t="s">
        <v>47</v>
      </c>
      <c r="I784" t="s">
        <v>48</v>
      </c>
      <c r="J784">
        <v>1</v>
      </c>
      <c r="K784">
        <v>21</v>
      </c>
      <c r="L784">
        <v>2</v>
      </c>
      <c r="M784">
        <v>1400113</v>
      </c>
      <c r="N784">
        <v>2800226</v>
      </c>
      <c r="O784">
        <v>2159119</v>
      </c>
      <c r="P784">
        <v>641107</v>
      </c>
    </row>
    <row r="785" spans="1:16" x14ac:dyDescent="0.3">
      <c r="A785">
        <v>1784</v>
      </c>
      <c r="B785" t="s">
        <v>95</v>
      </c>
      <c r="C785">
        <v>2023</v>
      </c>
      <c r="D785" t="s">
        <v>29</v>
      </c>
      <c r="E785" t="s">
        <v>18</v>
      </c>
      <c r="F785" t="s">
        <v>72</v>
      </c>
      <c r="G785" t="s">
        <v>59</v>
      </c>
      <c r="H785" t="s">
        <v>21</v>
      </c>
      <c r="I785" t="s">
        <v>22</v>
      </c>
      <c r="J785">
        <v>1.5</v>
      </c>
      <c r="K785">
        <v>23</v>
      </c>
      <c r="L785">
        <v>8</v>
      </c>
      <c r="M785">
        <v>931179</v>
      </c>
      <c r="N785">
        <v>7449432</v>
      </c>
      <c r="O785">
        <v>5602816</v>
      </c>
      <c r="P785">
        <v>1846616</v>
      </c>
    </row>
    <row r="786" spans="1:16" x14ac:dyDescent="0.3">
      <c r="A786">
        <v>1785</v>
      </c>
      <c r="B786" t="s">
        <v>533</v>
      </c>
      <c r="C786">
        <v>2024</v>
      </c>
      <c r="D786" t="s">
        <v>17</v>
      </c>
      <c r="E786" t="s">
        <v>40</v>
      </c>
      <c r="F786" t="s">
        <v>120</v>
      </c>
      <c r="G786" t="s">
        <v>90</v>
      </c>
      <c r="H786" t="s">
        <v>21</v>
      </c>
      <c r="I786" t="s">
        <v>22</v>
      </c>
      <c r="J786">
        <v>1.5</v>
      </c>
      <c r="K786">
        <v>20</v>
      </c>
      <c r="L786">
        <v>3</v>
      </c>
      <c r="M786">
        <v>1240505</v>
      </c>
      <c r="N786">
        <v>3721515</v>
      </c>
      <c r="O786">
        <v>3041778</v>
      </c>
      <c r="P786">
        <v>679737</v>
      </c>
    </row>
    <row r="787" spans="1:16" x14ac:dyDescent="0.3">
      <c r="A787">
        <v>1786</v>
      </c>
      <c r="B787" t="s">
        <v>561</v>
      </c>
      <c r="C787">
        <v>2023</v>
      </c>
      <c r="D787" t="s">
        <v>74</v>
      </c>
      <c r="E787" t="s">
        <v>44</v>
      </c>
      <c r="F787" t="s">
        <v>62</v>
      </c>
      <c r="G787" t="s">
        <v>59</v>
      </c>
      <c r="H787" t="s">
        <v>21</v>
      </c>
      <c r="I787" t="s">
        <v>22</v>
      </c>
      <c r="J787">
        <v>1.5</v>
      </c>
      <c r="K787">
        <v>19</v>
      </c>
      <c r="L787">
        <v>8</v>
      </c>
      <c r="M787">
        <v>1254828</v>
      </c>
      <c r="N787">
        <v>10038624</v>
      </c>
      <c r="O787">
        <v>8014706</v>
      </c>
      <c r="P787">
        <v>2023918</v>
      </c>
    </row>
    <row r="788" spans="1:16" x14ac:dyDescent="0.3">
      <c r="A788">
        <v>1787</v>
      </c>
      <c r="B788" t="s">
        <v>562</v>
      </c>
      <c r="C788">
        <v>2024</v>
      </c>
      <c r="D788" t="s">
        <v>61</v>
      </c>
      <c r="E788" t="s">
        <v>25</v>
      </c>
      <c r="F788" t="s">
        <v>77</v>
      </c>
      <c r="G788" t="s">
        <v>30</v>
      </c>
      <c r="H788" t="s">
        <v>56</v>
      </c>
      <c r="I788" t="s">
        <v>48</v>
      </c>
      <c r="J788">
        <v>1.5</v>
      </c>
      <c r="K788">
        <v>23</v>
      </c>
      <c r="L788">
        <v>8</v>
      </c>
      <c r="M788">
        <v>761239</v>
      </c>
      <c r="N788">
        <v>6089912</v>
      </c>
      <c r="O788">
        <v>5048677</v>
      </c>
      <c r="P788">
        <v>1041235</v>
      </c>
    </row>
    <row r="789" spans="1:16" x14ac:dyDescent="0.3">
      <c r="A789">
        <v>1788</v>
      </c>
      <c r="B789" t="s">
        <v>164</v>
      </c>
      <c r="C789">
        <v>2023</v>
      </c>
      <c r="D789" t="s">
        <v>43</v>
      </c>
      <c r="E789" t="s">
        <v>40</v>
      </c>
      <c r="F789" t="s">
        <v>68</v>
      </c>
      <c r="G789" t="s">
        <v>51</v>
      </c>
      <c r="H789" t="s">
        <v>37</v>
      </c>
      <c r="I789" t="s">
        <v>32</v>
      </c>
      <c r="J789">
        <v>1</v>
      </c>
      <c r="K789">
        <v>22</v>
      </c>
      <c r="L789">
        <v>5</v>
      </c>
      <c r="M789">
        <v>1038250</v>
      </c>
      <c r="N789">
        <v>5191250</v>
      </c>
      <c r="O789">
        <v>4446988</v>
      </c>
      <c r="P789">
        <v>744262</v>
      </c>
    </row>
    <row r="790" spans="1:16" x14ac:dyDescent="0.3">
      <c r="A790">
        <v>1789</v>
      </c>
      <c r="B790" t="s">
        <v>563</v>
      </c>
      <c r="C790">
        <v>2024</v>
      </c>
      <c r="D790" t="s">
        <v>97</v>
      </c>
      <c r="E790" t="s">
        <v>40</v>
      </c>
      <c r="F790" t="s">
        <v>41</v>
      </c>
      <c r="G790" t="s">
        <v>36</v>
      </c>
      <c r="H790" t="s">
        <v>56</v>
      </c>
      <c r="I790" t="s">
        <v>48</v>
      </c>
      <c r="J790">
        <v>1.2</v>
      </c>
      <c r="K790">
        <v>19</v>
      </c>
      <c r="L790">
        <v>5</v>
      </c>
      <c r="M790">
        <v>1172148</v>
      </c>
      <c r="N790">
        <v>5860740</v>
      </c>
      <c r="O790">
        <v>4682880</v>
      </c>
      <c r="P790">
        <v>1177860</v>
      </c>
    </row>
    <row r="791" spans="1:16" x14ac:dyDescent="0.3">
      <c r="A791">
        <v>1790</v>
      </c>
      <c r="B791" t="s">
        <v>557</v>
      </c>
      <c r="C791">
        <v>2023</v>
      </c>
      <c r="D791" t="s">
        <v>34</v>
      </c>
      <c r="E791" t="s">
        <v>44</v>
      </c>
      <c r="F791" t="s">
        <v>70</v>
      </c>
      <c r="G791" t="s">
        <v>36</v>
      </c>
      <c r="H791" t="s">
        <v>56</v>
      </c>
      <c r="I791" t="s">
        <v>48</v>
      </c>
      <c r="J791">
        <v>1.2</v>
      </c>
      <c r="K791">
        <v>16</v>
      </c>
      <c r="L791">
        <v>2</v>
      </c>
      <c r="M791">
        <v>886996</v>
      </c>
      <c r="N791">
        <v>1773992</v>
      </c>
      <c r="O791">
        <v>1391065</v>
      </c>
      <c r="P791">
        <v>382927</v>
      </c>
    </row>
    <row r="792" spans="1:16" x14ac:dyDescent="0.3">
      <c r="A792">
        <v>1791</v>
      </c>
      <c r="B792" t="s">
        <v>316</v>
      </c>
      <c r="C792">
        <v>2023</v>
      </c>
      <c r="D792" t="s">
        <v>43</v>
      </c>
      <c r="E792" t="s">
        <v>40</v>
      </c>
      <c r="F792" t="s">
        <v>68</v>
      </c>
      <c r="G792" t="s">
        <v>90</v>
      </c>
      <c r="H792" t="s">
        <v>79</v>
      </c>
      <c r="I792" t="s">
        <v>48</v>
      </c>
      <c r="J792">
        <v>1.2</v>
      </c>
      <c r="K792">
        <v>16</v>
      </c>
      <c r="L792">
        <v>3</v>
      </c>
      <c r="M792">
        <v>1336145</v>
      </c>
      <c r="N792">
        <v>4008435</v>
      </c>
      <c r="O792">
        <v>3039332</v>
      </c>
      <c r="P792">
        <v>969103</v>
      </c>
    </row>
    <row r="793" spans="1:16" x14ac:dyDescent="0.3">
      <c r="A793">
        <v>1792</v>
      </c>
      <c r="B793" t="s">
        <v>564</v>
      </c>
      <c r="C793">
        <v>2024</v>
      </c>
      <c r="D793" t="s">
        <v>97</v>
      </c>
      <c r="E793" t="s">
        <v>25</v>
      </c>
      <c r="F793" t="s">
        <v>58</v>
      </c>
      <c r="G793" t="s">
        <v>46</v>
      </c>
      <c r="H793" t="s">
        <v>63</v>
      </c>
      <c r="I793" t="s">
        <v>22</v>
      </c>
      <c r="J793">
        <v>1.5</v>
      </c>
      <c r="K793">
        <v>18</v>
      </c>
      <c r="L793">
        <v>5</v>
      </c>
      <c r="M793">
        <v>1400988</v>
      </c>
      <c r="N793">
        <v>7004940</v>
      </c>
      <c r="O793">
        <v>5520347</v>
      </c>
      <c r="P793">
        <v>1484593</v>
      </c>
    </row>
    <row r="794" spans="1:16" x14ac:dyDescent="0.3">
      <c r="A794">
        <v>1793</v>
      </c>
      <c r="B794" t="s">
        <v>560</v>
      </c>
      <c r="C794">
        <v>2024</v>
      </c>
      <c r="D794" t="s">
        <v>17</v>
      </c>
      <c r="E794" t="s">
        <v>18</v>
      </c>
      <c r="F794" t="s">
        <v>72</v>
      </c>
      <c r="G794" t="s">
        <v>51</v>
      </c>
      <c r="H794" t="s">
        <v>21</v>
      </c>
      <c r="I794" t="s">
        <v>22</v>
      </c>
      <c r="J794">
        <v>1</v>
      </c>
      <c r="K794">
        <v>16</v>
      </c>
      <c r="L794">
        <v>8</v>
      </c>
      <c r="M794">
        <v>1266087</v>
      </c>
      <c r="N794">
        <v>10128696</v>
      </c>
      <c r="O794">
        <v>7662976</v>
      </c>
      <c r="P794">
        <v>2465720</v>
      </c>
    </row>
    <row r="795" spans="1:16" x14ac:dyDescent="0.3">
      <c r="A795">
        <v>1794</v>
      </c>
      <c r="B795" t="s">
        <v>565</v>
      </c>
      <c r="C795">
        <v>2024</v>
      </c>
      <c r="D795" t="s">
        <v>43</v>
      </c>
      <c r="E795" t="s">
        <v>25</v>
      </c>
      <c r="F795" t="s">
        <v>58</v>
      </c>
      <c r="G795" t="s">
        <v>27</v>
      </c>
      <c r="H795" t="s">
        <v>63</v>
      </c>
      <c r="I795" t="s">
        <v>22</v>
      </c>
      <c r="J795">
        <v>1.2</v>
      </c>
      <c r="K795">
        <v>21</v>
      </c>
      <c r="L795">
        <v>8</v>
      </c>
      <c r="M795">
        <v>1435895</v>
      </c>
      <c r="N795">
        <v>11487160</v>
      </c>
      <c r="O795">
        <v>8960685</v>
      </c>
      <c r="P795">
        <v>2526475</v>
      </c>
    </row>
    <row r="796" spans="1:16" x14ac:dyDescent="0.3">
      <c r="A796">
        <v>1795</v>
      </c>
      <c r="B796" t="s">
        <v>110</v>
      </c>
      <c r="C796">
        <v>2023</v>
      </c>
      <c r="D796" t="s">
        <v>39</v>
      </c>
      <c r="E796" t="s">
        <v>18</v>
      </c>
      <c r="F796" t="s">
        <v>72</v>
      </c>
      <c r="G796" t="s">
        <v>46</v>
      </c>
      <c r="H796" t="s">
        <v>79</v>
      </c>
      <c r="I796" t="s">
        <v>48</v>
      </c>
      <c r="J796">
        <v>1.2</v>
      </c>
      <c r="K796">
        <v>19</v>
      </c>
      <c r="L796">
        <v>2</v>
      </c>
      <c r="M796">
        <v>1218539</v>
      </c>
      <c r="N796">
        <v>2437078</v>
      </c>
      <c r="O796">
        <v>2076164</v>
      </c>
      <c r="P796">
        <v>360914</v>
      </c>
    </row>
    <row r="797" spans="1:16" x14ac:dyDescent="0.3">
      <c r="A797">
        <v>1796</v>
      </c>
      <c r="B797" t="s">
        <v>324</v>
      </c>
      <c r="C797">
        <v>2024</v>
      </c>
      <c r="D797" t="s">
        <v>97</v>
      </c>
      <c r="E797" t="s">
        <v>40</v>
      </c>
      <c r="F797" t="s">
        <v>41</v>
      </c>
      <c r="G797" t="s">
        <v>30</v>
      </c>
      <c r="H797" t="s">
        <v>100</v>
      </c>
      <c r="I797" t="s">
        <v>22</v>
      </c>
      <c r="J797">
        <v>2</v>
      </c>
      <c r="K797">
        <v>16</v>
      </c>
      <c r="L797">
        <v>5</v>
      </c>
      <c r="M797">
        <v>780774</v>
      </c>
      <c r="N797">
        <v>3903870</v>
      </c>
      <c r="O797">
        <v>3286819</v>
      </c>
      <c r="P797">
        <v>617051</v>
      </c>
    </row>
    <row r="798" spans="1:16" x14ac:dyDescent="0.3">
      <c r="A798">
        <v>1797</v>
      </c>
      <c r="B798" t="s">
        <v>566</v>
      </c>
      <c r="C798">
        <v>2023</v>
      </c>
      <c r="D798" t="s">
        <v>97</v>
      </c>
      <c r="E798" t="s">
        <v>44</v>
      </c>
      <c r="F798" t="s">
        <v>70</v>
      </c>
      <c r="G798" t="s">
        <v>46</v>
      </c>
      <c r="H798" t="s">
        <v>100</v>
      </c>
      <c r="I798" t="s">
        <v>22</v>
      </c>
      <c r="J798">
        <v>2</v>
      </c>
      <c r="K798">
        <v>18</v>
      </c>
      <c r="L798">
        <v>2</v>
      </c>
      <c r="M798">
        <v>632033</v>
      </c>
      <c r="N798">
        <v>1264066</v>
      </c>
      <c r="O798">
        <v>1079139</v>
      </c>
      <c r="P798">
        <v>184927</v>
      </c>
    </row>
    <row r="799" spans="1:16" x14ac:dyDescent="0.3">
      <c r="A799">
        <v>1798</v>
      </c>
      <c r="B799" t="s">
        <v>567</v>
      </c>
      <c r="C799">
        <v>2024</v>
      </c>
      <c r="D799" t="s">
        <v>34</v>
      </c>
      <c r="E799" t="s">
        <v>18</v>
      </c>
      <c r="F799" t="s">
        <v>72</v>
      </c>
      <c r="G799" t="s">
        <v>90</v>
      </c>
      <c r="H799" t="s">
        <v>79</v>
      </c>
      <c r="I799" t="s">
        <v>48</v>
      </c>
      <c r="J799">
        <v>1.5</v>
      </c>
      <c r="K799">
        <v>22</v>
      </c>
      <c r="L799">
        <v>1</v>
      </c>
      <c r="M799">
        <v>835639</v>
      </c>
      <c r="N799">
        <v>835639</v>
      </c>
      <c r="O799">
        <v>689874</v>
      </c>
      <c r="P799">
        <v>145765</v>
      </c>
    </row>
    <row r="800" spans="1:16" x14ac:dyDescent="0.3">
      <c r="A800">
        <v>1799</v>
      </c>
      <c r="B800" t="s">
        <v>65</v>
      </c>
      <c r="C800">
        <v>2023</v>
      </c>
      <c r="D800" t="s">
        <v>17</v>
      </c>
      <c r="E800" t="s">
        <v>44</v>
      </c>
      <c r="F800" t="s">
        <v>62</v>
      </c>
      <c r="G800" t="s">
        <v>36</v>
      </c>
      <c r="H800" t="s">
        <v>31</v>
      </c>
      <c r="I800" t="s">
        <v>32</v>
      </c>
      <c r="J800">
        <v>1</v>
      </c>
      <c r="K800">
        <v>18</v>
      </c>
      <c r="L800">
        <v>5</v>
      </c>
      <c r="M800">
        <v>817409</v>
      </c>
      <c r="N800">
        <v>4087045</v>
      </c>
      <c r="O800">
        <v>3661761</v>
      </c>
      <c r="P800">
        <v>425284</v>
      </c>
    </row>
    <row r="801" spans="1:16" x14ac:dyDescent="0.3">
      <c r="A801">
        <v>1800</v>
      </c>
      <c r="B801" t="s">
        <v>468</v>
      </c>
      <c r="C801">
        <v>2023</v>
      </c>
      <c r="D801" t="s">
        <v>29</v>
      </c>
      <c r="E801" t="s">
        <v>40</v>
      </c>
      <c r="F801" t="s">
        <v>104</v>
      </c>
      <c r="G801" t="s">
        <v>90</v>
      </c>
      <c r="H801" t="s">
        <v>100</v>
      </c>
      <c r="I801" t="s">
        <v>22</v>
      </c>
      <c r="J801">
        <v>1.5</v>
      </c>
      <c r="K801">
        <v>22</v>
      </c>
      <c r="L801">
        <v>5</v>
      </c>
      <c r="M801">
        <v>893795</v>
      </c>
      <c r="N801">
        <v>4468975</v>
      </c>
      <c r="O801">
        <v>3590091</v>
      </c>
      <c r="P801">
        <v>878884</v>
      </c>
    </row>
    <row r="802" spans="1:16" x14ac:dyDescent="0.3">
      <c r="A802">
        <v>1801</v>
      </c>
      <c r="B802" t="s">
        <v>568</v>
      </c>
      <c r="C802">
        <v>2023</v>
      </c>
      <c r="D802" t="s">
        <v>74</v>
      </c>
      <c r="E802" t="s">
        <v>44</v>
      </c>
      <c r="F802" t="s">
        <v>62</v>
      </c>
      <c r="G802" t="s">
        <v>51</v>
      </c>
      <c r="H802" t="s">
        <v>63</v>
      </c>
      <c r="I802" t="s">
        <v>22</v>
      </c>
      <c r="J802">
        <v>1</v>
      </c>
      <c r="K802">
        <v>19</v>
      </c>
      <c r="L802">
        <v>1</v>
      </c>
      <c r="M802">
        <v>1486943</v>
      </c>
      <c r="N802">
        <v>1486943</v>
      </c>
      <c r="O802">
        <v>1165324</v>
      </c>
      <c r="P802">
        <v>321619</v>
      </c>
    </row>
    <row r="803" spans="1:16" x14ac:dyDescent="0.3">
      <c r="A803">
        <v>1802</v>
      </c>
      <c r="B803" t="s">
        <v>438</v>
      </c>
      <c r="C803">
        <v>2024</v>
      </c>
      <c r="D803" t="s">
        <v>29</v>
      </c>
      <c r="E803" t="s">
        <v>40</v>
      </c>
      <c r="F803" t="s">
        <v>68</v>
      </c>
      <c r="G803" t="s">
        <v>46</v>
      </c>
      <c r="H803" t="s">
        <v>31</v>
      </c>
      <c r="I803" t="s">
        <v>32</v>
      </c>
      <c r="J803">
        <v>1.5</v>
      </c>
      <c r="K803">
        <v>20</v>
      </c>
      <c r="L803">
        <v>2</v>
      </c>
      <c r="M803">
        <v>1436372</v>
      </c>
      <c r="N803">
        <v>2872744</v>
      </c>
      <c r="O803">
        <v>2202053</v>
      </c>
      <c r="P803">
        <v>670691</v>
      </c>
    </row>
    <row r="804" spans="1:16" x14ac:dyDescent="0.3">
      <c r="A804">
        <v>1803</v>
      </c>
      <c r="B804" t="s">
        <v>569</v>
      </c>
      <c r="C804">
        <v>2023</v>
      </c>
      <c r="D804" t="s">
        <v>67</v>
      </c>
      <c r="E804" t="s">
        <v>40</v>
      </c>
      <c r="F804" t="s">
        <v>104</v>
      </c>
      <c r="G804" t="s">
        <v>90</v>
      </c>
      <c r="H804" t="s">
        <v>31</v>
      </c>
      <c r="I804" t="s">
        <v>32</v>
      </c>
      <c r="J804">
        <v>1.2</v>
      </c>
      <c r="K804">
        <v>18</v>
      </c>
      <c r="L804">
        <v>6</v>
      </c>
      <c r="M804">
        <v>854076</v>
      </c>
      <c r="N804">
        <v>5124456</v>
      </c>
      <c r="O804">
        <v>4351877</v>
      </c>
      <c r="P804">
        <v>772579</v>
      </c>
    </row>
    <row r="805" spans="1:16" x14ac:dyDescent="0.3">
      <c r="A805">
        <v>1804</v>
      </c>
      <c r="B805" t="s">
        <v>570</v>
      </c>
      <c r="C805">
        <v>2023</v>
      </c>
      <c r="D805" t="s">
        <v>76</v>
      </c>
      <c r="E805" t="s">
        <v>25</v>
      </c>
      <c r="F805" t="s">
        <v>58</v>
      </c>
      <c r="G805" t="s">
        <v>51</v>
      </c>
      <c r="H805" t="s">
        <v>63</v>
      </c>
      <c r="I805" t="s">
        <v>22</v>
      </c>
      <c r="J805">
        <v>1</v>
      </c>
      <c r="K805">
        <v>20</v>
      </c>
      <c r="L805">
        <v>6</v>
      </c>
      <c r="M805">
        <v>1408371</v>
      </c>
      <c r="N805">
        <v>8450226</v>
      </c>
      <c r="O805">
        <v>6948639</v>
      </c>
      <c r="P805">
        <v>1501587</v>
      </c>
    </row>
    <row r="806" spans="1:16" x14ac:dyDescent="0.3">
      <c r="A806">
        <v>1805</v>
      </c>
      <c r="B806" t="s">
        <v>523</v>
      </c>
      <c r="C806">
        <v>2023</v>
      </c>
      <c r="D806" t="s">
        <v>76</v>
      </c>
      <c r="E806" t="s">
        <v>40</v>
      </c>
      <c r="F806" t="s">
        <v>41</v>
      </c>
      <c r="G806" t="s">
        <v>90</v>
      </c>
      <c r="H806" t="s">
        <v>52</v>
      </c>
      <c r="I806" t="s">
        <v>22</v>
      </c>
      <c r="J806">
        <v>1.2</v>
      </c>
      <c r="K806">
        <v>22</v>
      </c>
      <c r="L806">
        <v>2</v>
      </c>
      <c r="M806">
        <v>862718</v>
      </c>
      <c r="N806">
        <v>1725436</v>
      </c>
      <c r="O806">
        <v>1329086</v>
      </c>
      <c r="P806">
        <v>396350</v>
      </c>
    </row>
    <row r="807" spans="1:16" x14ac:dyDescent="0.3">
      <c r="A807">
        <v>1806</v>
      </c>
      <c r="B807" t="s">
        <v>452</v>
      </c>
      <c r="C807">
        <v>2024</v>
      </c>
      <c r="D807" t="s">
        <v>34</v>
      </c>
      <c r="E807" t="s">
        <v>18</v>
      </c>
      <c r="F807" t="s">
        <v>19</v>
      </c>
      <c r="G807" t="s">
        <v>59</v>
      </c>
      <c r="H807" t="s">
        <v>31</v>
      </c>
      <c r="I807" t="s">
        <v>32</v>
      </c>
      <c r="J807">
        <v>1</v>
      </c>
      <c r="K807">
        <v>22</v>
      </c>
      <c r="L807">
        <v>1</v>
      </c>
      <c r="M807">
        <v>1424725</v>
      </c>
      <c r="N807">
        <v>1424725</v>
      </c>
      <c r="O807">
        <v>1096793</v>
      </c>
      <c r="P807">
        <v>327932</v>
      </c>
    </row>
    <row r="808" spans="1:16" x14ac:dyDescent="0.3">
      <c r="A808">
        <v>1807</v>
      </c>
      <c r="B808" t="s">
        <v>571</v>
      </c>
      <c r="C808">
        <v>2024</v>
      </c>
      <c r="D808" t="s">
        <v>39</v>
      </c>
      <c r="E808" t="s">
        <v>18</v>
      </c>
      <c r="F808" t="s">
        <v>72</v>
      </c>
      <c r="G808" t="s">
        <v>51</v>
      </c>
      <c r="H808" t="s">
        <v>56</v>
      </c>
      <c r="I808" t="s">
        <v>48</v>
      </c>
      <c r="J808">
        <v>2</v>
      </c>
      <c r="K808">
        <v>23</v>
      </c>
      <c r="L808">
        <v>2</v>
      </c>
      <c r="M808">
        <v>786810</v>
      </c>
      <c r="N808">
        <v>1573620</v>
      </c>
      <c r="O808">
        <v>1283731</v>
      </c>
      <c r="P808">
        <v>289889</v>
      </c>
    </row>
    <row r="809" spans="1:16" x14ac:dyDescent="0.3">
      <c r="A809">
        <v>1808</v>
      </c>
      <c r="B809" t="s">
        <v>572</v>
      </c>
      <c r="C809">
        <v>2024</v>
      </c>
      <c r="D809" t="s">
        <v>29</v>
      </c>
      <c r="E809" t="s">
        <v>25</v>
      </c>
      <c r="F809" t="s">
        <v>84</v>
      </c>
      <c r="G809" t="s">
        <v>46</v>
      </c>
      <c r="H809" t="s">
        <v>100</v>
      </c>
      <c r="I809" t="s">
        <v>22</v>
      </c>
      <c r="J809">
        <v>2</v>
      </c>
      <c r="K809">
        <v>20</v>
      </c>
      <c r="L809">
        <v>4</v>
      </c>
      <c r="M809">
        <v>1059945</v>
      </c>
      <c r="N809">
        <v>4239780</v>
      </c>
      <c r="O809">
        <v>3494721</v>
      </c>
      <c r="P809">
        <v>745059</v>
      </c>
    </row>
    <row r="810" spans="1:16" x14ac:dyDescent="0.3">
      <c r="A810">
        <v>1809</v>
      </c>
      <c r="B810" t="s">
        <v>556</v>
      </c>
      <c r="C810">
        <v>2023</v>
      </c>
      <c r="D810" t="s">
        <v>50</v>
      </c>
      <c r="E810" t="s">
        <v>44</v>
      </c>
      <c r="F810" t="s">
        <v>70</v>
      </c>
      <c r="G810" t="s">
        <v>59</v>
      </c>
      <c r="H810" t="s">
        <v>100</v>
      </c>
      <c r="I810" t="s">
        <v>22</v>
      </c>
      <c r="J810">
        <v>1.5</v>
      </c>
      <c r="K810">
        <v>23</v>
      </c>
      <c r="L810">
        <v>3</v>
      </c>
      <c r="M810">
        <v>791639</v>
      </c>
      <c r="N810">
        <v>2374917</v>
      </c>
      <c r="O810">
        <v>1942365</v>
      </c>
      <c r="P810">
        <v>432552</v>
      </c>
    </row>
    <row r="811" spans="1:16" x14ac:dyDescent="0.3">
      <c r="A811">
        <v>1810</v>
      </c>
      <c r="B811" t="s">
        <v>265</v>
      </c>
      <c r="C811">
        <v>2023</v>
      </c>
      <c r="D811" t="s">
        <v>24</v>
      </c>
      <c r="E811" t="s">
        <v>40</v>
      </c>
      <c r="F811" t="s">
        <v>104</v>
      </c>
      <c r="G811" t="s">
        <v>51</v>
      </c>
      <c r="H811" t="s">
        <v>21</v>
      </c>
      <c r="I811" t="s">
        <v>22</v>
      </c>
      <c r="J811">
        <v>1.2</v>
      </c>
      <c r="K811">
        <v>18</v>
      </c>
      <c r="L811">
        <v>6</v>
      </c>
      <c r="M811">
        <v>770202</v>
      </c>
      <c r="N811">
        <v>4621212</v>
      </c>
      <c r="O811">
        <v>3739100</v>
      </c>
      <c r="P811">
        <v>882112</v>
      </c>
    </row>
    <row r="812" spans="1:16" x14ac:dyDescent="0.3">
      <c r="A812">
        <v>1811</v>
      </c>
      <c r="B812" t="s">
        <v>311</v>
      </c>
      <c r="C812">
        <v>2024</v>
      </c>
      <c r="D812" t="s">
        <v>34</v>
      </c>
      <c r="E812" t="s">
        <v>18</v>
      </c>
      <c r="F812" t="s">
        <v>19</v>
      </c>
      <c r="G812" t="s">
        <v>20</v>
      </c>
      <c r="H812" t="s">
        <v>47</v>
      </c>
      <c r="I812" t="s">
        <v>48</v>
      </c>
      <c r="J812">
        <v>1.5</v>
      </c>
      <c r="K812">
        <v>22</v>
      </c>
      <c r="L812">
        <v>6</v>
      </c>
      <c r="M812">
        <v>1072928</v>
      </c>
      <c r="N812">
        <v>6437568</v>
      </c>
      <c r="O812">
        <v>5680955</v>
      </c>
      <c r="P812">
        <v>756613</v>
      </c>
    </row>
    <row r="813" spans="1:16" x14ac:dyDescent="0.3">
      <c r="A813">
        <v>1812</v>
      </c>
      <c r="B813" t="s">
        <v>573</v>
      </c>
      <c r="C813">
        <v>2023</v>
      </c>
      <c r="D813" t="s">
        <v>97</v>
      </c>
      <c r="E813" t="s">
        <v>44</v>
      </c>
      <c r="F813" t="s">
        <v>62</v>
      </c>
      <c r="G813" t="s">
        <v>59</v>
      </c>
      <c r="H813" t="s">
        <v>52</v>
      </c>
      <c r="I813" t="s">
        <v>22</v>
      </c>
      <c r="J813">
        <v>1.5</v>
      </c>
      <c r="K813">
        <v>21</v>
      </c>
      <c r="L813">
        <v>5</v>
      </c>
      <c r="M813">
        <v>858623</v>
      </c>
      <c r="N813">
        <v>4293115</v>
      </c>
      <c r="O813">
        <v>3684333</v>
      </c>
      <c r="P813">
        <v>608782</v>
      </c>
    </row>
    <row r="814" spans="1:16" x14ac:dyDescent="0.3">
      <c r="A814">
        <v>1813</v>
      </c>
      <c r="B814" t="s">
        <v>295</v>
      </c>
      <c r="C814">
        <v>2023</v>
      </c>
      <c r="D814" t="s">
        <v>67</v>
      </c>
      <c r="E814" t="s">
        <v>18</v>
      </c>
      <c r="F814" t="s">
        <v>72</v>
      </c>
      <c r="G814" t="s">
        <v>51</v>
      </c>
      <c r="H814" t="s">
        <v>63</v>
      </c>
      <c r="I814" t="s">
        <v>22</v>
      </c>
      <c r="J814">
        <v>1.2</v>
      </c>
      <c r="K814">
        <v>20</v>
      </c>
      <c r="L814">
        <v>5</v>
      </c>
      <c r="M814">
        <v>1474034</v>
      </c>
      <c r="N814">
        <v>7370170</v>
      </c>
      <c r="O814">
        <v>6396151</v>
      </c>
      <c r="P814">
        <v>974019</v>
      </c>
    </row>
    <row r="815" spans="1:16" x14ac:dyDescent="0.3">
      <c r="A815">
        <v>1814</v>
      </c>
      <c r="B815" t="s">
        <v>65</v>
      </c>
      <c r="C815">
        <v>2023</v>
      </c>
      <c r="D815" t="s">
        <v>17</v>
      </c>
      <c r="E815" t="s">
        <v>40</v>
      </c>
      <c r="F815" t="s">
        <v>41</v>
      </c>
      <c r="G815" t="s">
        <v>30</v>
      </c>
      <c r="H815" t="s">
        <v>54</v>
      </c>
      <c r="I815" t="s">
        <v>48</v>
      </c>
      <c r="J815">
        <v>1.5</v>
      </c>
      <c r="K815">
        <v>23</v>
      </c>
      <c r="L815">
        <v>5</v>
      </c>
      <c r="M815">
        <v>1287875</v>
      </c>
      <c r="N815">
        <v>6439375</v>
      </c>
      <c r="O815">
        <v>5418172</v>
      </c>
      <c r="P815">
        <v>1021203</v>
      </c>
    </row>
    <row r="816" spans="1:16" x14ac:dyDescent="0.3">
      <c r="A816">
        <v>1815</v>
      </c>
      <c r="B816" t="s">
        <v>574</v>
      </c>
      <c r="C816">
        <v>2024</v>
      </c>
      <c r="D816" t="s">
        <v>24</v>
      </c>
      <c r="E816" t="s">
        <v>18</v>
      </c>
      <c r="F816" t="s">
        <v>19</v>
      </c>
      <c r="G816" t="s">
        <v>36</v>
      </c>
      <c r="H816" t="s">
        <v>56</v>
      </c>
      <c r="I816" t="s">
        <v>48</v>
      </c>
      <c r="J816">
        <v>1.5</v>
      </c>
      <c r="K816">
        <v>22</v>
      </c>
      <c r="L816">
        <v>1</v>
      </c>
      <c r="M816">
        <v>936371</v>
      </c>
      <c r="N816">
        <v>936371</v>
      </c>
      <c r="O816">
        <v>719984</v>
      </c>
      <c r="P816">
        <v>216387</v>
      </c>
    </row>
    <row r="817" spans="1:16" x14ac:dyDescent="0.3">
      <c r="A817">
        <v>1816</v>
      </c>
      <c r="B817" t="s">
        <v>575</v>
      </c>
      <c r="C817">
        <v>2023</v>
      </c>
      <c r="D817" t="s">
        <v>24</v>
      </c>
      <c r="E817" t="s">
        <v>44</v>
      </c>
      <c r="F817" t="s">
        <v>62</v>
      </c>
      <c r="G817" t="s">
        <v>46</v>
      </c>
      <c r="H817" t="s">
        <v>56</v>
      </c>
      <c r="I817" t="s">
        <v>48</v>
      </c>
      <c r="J817">
        <v>1.2</v>
      </c>
      <c r="K817">
        <v>23</v>
      </c>
      <c r="L817">
        <v>7</v>
      </c>
      <c r="M817">
        <v>926976</v>
      </c>
      <c r="N817">
        <v>6488832</v>
      </c>
      <c r="O817">
        <v>5310504</v>
      </c>
      <c r="P817">
        <v>1178328</v>
      </c>
    </row>
    <row r="818" spans="1:16" x14ac:dyDescent="0.3">
      <c r="A818">
        <v>1817</v>
      </c>
      <c r="B818" t="s">
        <v>257</v>
      </c>
      <c r="C818">
        <v>2024</v>
      </c>
      <c r="D818" t="s">
        <v>76</v>
      </c>
      <c r="E818" t="s">
        <v>44</v>
      </c>
      <c r="F818" t="s">
        <v>45</v>
      </c>
      <c r="G818" t="s">
        <v>20</v>
      </c>
      <c r="H818" t="s">
        <v>21</v>
      </c>
      <c r="I818" t="s">
        <v>22</v>
      </c>
      <c r="J818">
        <v>1.5</v>
      </c>
      <c r="K818">
        <v>18</v>
      </c>
      <c r="L818">
        <v>2</v>
      </c>
      <c r="M818">
        <v>1288568</v>
      </c>
      <c r="N818">
        <v>2577136</v>
      </c>
      <c r="O818">
        <v>2085697</v>
      </c>
      <c r="P818">
        <v>491439</v>
      </c>
    </row>
    <row r="819" spans="1:16" x14ac:dyDescent="0.3">
      <c r="A819">
        <v>1818</v>
      </c>
      <c r="B819" t="s">
        <v>246</v>
      </c>
      <c r="C819">
        <v>2023</v>
      </c>
      <c r="D819" t="s">
        <v>39</v>
      </c>
      <c r="E819" t="s">
        <v>25</v>
      </c>
      <c r="F819" t="s">
        <v>84</v>
      </c>
      <c r="G819" t="s">
        <v>59</v>
      </c>
      <c r="H819" t="s">
        <v>54</v>
      </c>
      <c r="I819" t="s">
        <v>48</v>
      </c>
      <c r="J819">
        <v>1.5</v>
      </c>
      <c r="K819">
        <v>21</v>
      </c>
      <c r="L819">
        <v>1</v>
      </c>
      <c r="M819">
        <v>693559</v>
      </c>
      <c r="N819">
        <v>693559</v>
      </c>
      <c r="O819">
        <v>548803</v>
      </c>
      <c r="P819">
        <v>144756</v>
      </c>
    </row>
    <row r="820" spans="1:16" x14ac:dyDescent="0.3">
      <c r="A820">
        <v>1819</v>
      </c>
      <c r="B820" t="s">
        <v>452</v>
      </c>
      <c r="C820">
        <v>2024</v>
      </c>
      <c r="D820" t="s">
        <v>34</v>
      </c>
      <c r="E820" t="s">
        <v>40</v>
      </c>
      <c r="F820" t="s">
        <v>41</v>
      </c>
      <c r="G820" t="s">
        <v>46</v>
      </c>
      <c r="H820" t="s">
        <v>56</v>
      </c>
      <c r="I820" t="s">
        <v>48</v>
      </c>
      <c r="J820">
        <v>1.2</v>
      </c>
      <c r="K820">
        <v>22</v>
      </c>
      <c r="L820">
        <v>5</v>
      </c>
      <c r="M820">
        <v>603624</v>
      </c>
      <c r="N820">
        <v>3018120</v>
      </c>
      <c r="O820">
        <v>2624471</v>
      </c>
      <c r="P820">
        <v>393649</v>
      </c>
    </row>
    <row r="821" spans="1:16" x14ac:dyDescent="0.3">
      <c r="A821">
        <v>1820</v>
      </c>
      <c r="B821" t="s">
        <v>327</v>
      </c>
      <c r="C821">
        <v>2023</v>
      </c>
      <c r="D821" t="s">
        <v>43</v>
      </c>
      <c r="E821" t="s">
        <v>44</v>
      </c>
      <c r="F821" t="s">
        <v>45</v>
      </c>
      <c r="G821" t="s">
        <v>20</v>
      </c>
      <c r="H821" t="s">
        <v>100</v>
      </c>
      <c r="I821" t="s">
        <v>22</v>
      </c>
      <c r="J821">
        <v>1</v>
      </c>
      <c r="K821">
        <v>18</v>
      </c>
      <c r="L821">
        <v>1</v>
      </c>
      <c r="M821">
        <v>1223681</v>
      </c>
      <c r="N821">
        <v>1223681</v>
      </c>
      <c r="O821">
        <v>918501</v>
      </c>
      <c r="P821">
        <v>305180</v>
      </c>
    </row>
    <row r="822" spans="1:16" x14ac:dyDescent="0.3">
      <c r="A822">
        <v>1821</v>
      </c>
      <c r="B822" t="s">
        <v>563</v>
      </c>
      <c r="C822">
        <v>2024</v>
      </c>
      <c r="D822" t="s">
        <v>97</v>
      </c>
      <c r="E822" t="s">
        <v>18</v>
      </c>
      <c r="F822" t="s">
        <v>72</v>
      </c>
      <c r="G822" t="s">
        <v>36</v>
      </c>
      <c r="H822" t="s">
        <v>21</v>
      </c>
      <c r="I822" t="s">
        <v>22</v>
      </c>
      <c r="J822">
        <v>1.5</v>
      </c>
      <c r="K822">
        <v>19</v>
      </c>
      <c r="L822">
        <v>5</v>
      </c>
      <c r="M822">
        <v>887208</v>
      </c>
      <c r="N822">
        <v>4436040</v>
      </c>
      <c r="O822">
        <v>3973206</v>
      </c>
      <c r="P822">
        <v>462834</v>
      </c>
    </row>
    <row r="823" spans="1:16" x14ac:dyDescent="0.3">
      <c r="A823">
        <v>1822</v>
      </c>
      <c r="B823" t="s">
        <v>533</v>
      </c>
      <c r="C823">
        <v>2024</v>
      </c>
      <c r="D823" t="s">
        <v>17</v>
      </c>
      <c r="E823" t="s">
        <v>40</v>
      </c>
      <c r="F823" t="s">
        <v>120</v>
      </c>
      <c r="G823" t="s">
        <v>46</v>
      </c>
      <c r="H823" t="s">
        <v>52</v>
      </c>
      <c r="I823" t="s">
        <v>22</v>
      </c>
      <c r="J823">
        <v>1.5</v>
      </c>
      <c r="K823">
        <v>22</v>
      </c>
      <c r="L823">
        <v>8</v>
      </c>
      <c r="M823">
        <v>1347700</v>
      </c>
      <c r="N823">
        <v>10781600</v>
      </c>
      <c r="O823">
        <v>9330340</v>
      </c>
      <c r="P823">
        <v>1451260</v>
      </c>
    </row>
    <row r="824" spans="1:16" x14ac:dyDescent="0.3">
      <c r="A824">
        <v>1823</v>
      </c>
      <c r="B824" t="s">
        <v>576</v>
      </c>
      <c r="C824">
        <v>2024</v>
      </c>
      <c r="D824" t="s">
        <v>76</v>
      </c>
      <c r="E824" t="s">
        <v>40</v>
      </c>
      <c r="F824" t="s">
        <v>68</v>
      </c>
      <c r="G824" t="s">
        <v>51</v>
      </c>
      <c r="H824" t="s">
        <v>47</v>
      </c>
      <c r="I824" t="s">
        <v>48</v>
      </c>
      <c r="J824">
        <v>1</v>
      </c>
      <c r="K824">
        <v>23</v>
      </c>
      <c r="L824">
        <v>3</v>
      </c>
      <c r="M824">
        <v>1010933</v>
      </c>
      <c r="N824">
        <v>3032799</v>
      </c>
      <c r="O824">
        <v>2358067</v>
      </c>
      <c r="P824">
        <v>674732</v>
      </c>
    </row>
    <row r="825" spans="1:16" x14ac:dyDescent="0.3">
      <c r="A825">
        <v>1824</v>
      </c>
      <c r="B825" t="s">
        <v>366</v>
      </c>
      <c r="C825">
        <v>2024</v>
      </c>
      <c r="D825" t="s">
        <v>17</v>
      </c>
      <c r="E825" t="s">
        <v>44</v>
      </c>
      <c r="F825" t="s">
        <v>62</v>
      </c>
      <c r="G825" t="s">
        <v>20</v>
      </c>
      <c r="H825" t="s">
        <v>79</v>
      </c>
      <c r="I825" t="s">
        <v>48</v>
      </c>
      <c r="J825">
        <v>1</v>
      </c>
      <c r="K825">
        <v>19</v>
      </c>
      <c r="L825">
        <v>1</v>
      </c>
      <c r="M825">
        <v>950184</v>
      </c>
      <c r="N825">
        <v>950184</v>
      </c>
      <c r="O825">
        <v>807007</v>
      </c>
      <c r="P825">
        <v>143177</v>
      </c>
    </row>
    <row r="826" spans="1:16" x14ac:dyDescent="0.3">
      <c r="A826">
        <v>1825</v>
      </c>
      <c r="B826" t="s">
        <v>240</v>
      </c>
      <c r="C826">
        <v>2024</v>
      </c>
      <c r="D826" t="s">
        <v>43</v>
      </c>
      <c r="E826" t="s">
        <v>25</v>
      </c>
      <c r="F826" t="s">
        <v>26</v>
      </c>
      <c r="G826" t="s">
        <v>90</v>
      </c>
      <c r="H826" t="s">
        <v>31</v>
      </c>
      <c r="I826" t="s">
        <v>32</v>
      </c>
      <c r="J826">
        <v>1</v>
      </c>
      <c r="K826">
        <v>19</v>
      </c>
      <c r="L826">
        <v>7</v>
      </c>
      <c r="M826">
        <v>1421415</v>
      </c>
      <c r="N826">
        <v>9949905</v>
      </c>
      <c r="O826">
        <v>8669649</v>
      </c>
      <c r="P826">
        <v>1280256</v>
      </c>
    </row>
    <row r="827" spans="1:16" x14ac:dyDescent="0.3">
      <c r="A827">
        <v>1826</v>
      </c>
      <c r="B827" t="s">
        <v>395</v>
      </c>
      <c r="C827">
        <v>2023</v>
      </c>
      <c r="D827" t="s">
        <v>43</v>
      </c>
      <c r="E827" t="s">
        <v>40</v>
      </c>
      <c r="F827" t="s">
        <v>104</v>
      </c>
      <c r="G827" t="s">
        <v>46</v>
      </c>
      <c r="H827" t="s">
        <v>56</v>
      </c>
      <c r="I827" t="s">
        <v>48</v>
      </c>
      <c r="J827">
        <v>1</v>
      </c>
      <c r="K827">
        <v>18</v>
      </c>
      <c r="L827">
        <v>1</v>
      </c>
      <c r="M827">
        <v>709833</v>
      </c>
      <c r="N827">
        <v>709833</v>
      </c>
      <c r="O827">
        <v>604732</v>
      </c>
      <c r="P827">
        <v>105101</v>
      </c>
    </row>
    <row r="828" spans="1:16" x14ac:dyDescent="0.3">
      <c r="A828">
        <v>1827</v>
      </c>
      <c r="B828" t="s">
        <v>480</v>
      </c>
      <c r="C828">
        <v>2023</v>
      </c>
      <c r="D828" t="s">
        <v>17</v>
      </c>
      <c r="E828" t="s">
        <v>18</v>
      </c>
      <c r="F828" t="s">
        <v>107</v>
      </c>
      <c r="G828" t="s">
        <v>36</v>
      </c>
      <c r="H828" t="s">
        <v>100</v>
      </c>
      <c r="I828" t="s">
        <v>22</v>
      </c>
      <c r="J828">
        <v>1.5</v>
      </c>
      <c r="K828">
        <v>20</v>
      </c>
      <c r="L828">
        <v>1</v>
      </c>
      <c r="M828">
        <v>836762</v>
      </c>
      <c r="N828">
        <v>836762</v>
      </c>
      <c r="O828">
        <v>666721</v>
      </c>
      <c r="P828">
        <v>170041</v>
      </c>
    </row>
    <row r="829" spans="1:16" x14ac:dyDescent="0.3">
      <c r="A829">
        <v>1828</v>
      </c>
      <c r="B829" t="s">
        <v>413</v>
      </c>
      <c r="C829">
        <v>2023</v>
      </c>
      <c r="D829" t="s">
        <v>76</v>
      </c>
      <c r="E829" t="s">
        <v>44</v>
      </c>
      <c r="F829" t="s">
        <v>62</v>
      </c>
      <c r="G829" t="s">
        <v>36</v>
      </c>
      <c r="H829" t="s">
        <v>31</v>
      </c>
      <c r="I829" t="s">
        <v>32</v>
      </c>
      <c r="J829">
        <v>2</v>
      </c>
      <c r="K829">
        <v>21</v>
      </c>
      <c r="L829">
        <v>6</v>
      </c>
      <c r="M829">
        <v>999534</v>
      </c>
      <c r="N829">
        <v>5997204</v>
      </c>
      <c r="O829">
        <v>4916947</v>
      </c>
      <c r="P829">
        <v>1080257</v>
      </c>
    </row>
    <row r="830" spans="1:16" x14ac:dyDescent="0.3">
      <c r="A830">
        <v>1829</v>
      </c>
      <c r="B830" t="s">
        <v>577</v>
      </c>
      <c r="C830">
        <v>2023</v>
      </c>
      <c r="D830" t="s">
        <v>76</v>
      </c>
      <c r="E830" t="s">
        <v>44</v>
      </c>
      <c r="F830" t="s">
        <v>45</v>
      </c>
      <c r="G830" t="s">
        <v>20</v>
      </c>
      <c r="H830" t="s">
        <v>37</v>
      </c>
      <c r="I830" t="s">
        <v>32</v>
      </c>
      <c r="J830">
        <v>1</v>
      </c>
      <c r="K830">
        <v>23</v>
      </c>
      <c r="L830">
        <v>2</v>
      </c>
      <c r="M830">
        <v>1274392</v>
      </c>
      <c r="N830">
        <v>2548784</v>
      </c>
      <c r="O830">
        <v>2194916</v>
      </c>
      <c r="P830">
        <v>353868</v>
      </c>
    </row>
    <row r="831" spans="1:16" x14ac:dyDescent="0.3">
      <c r="A831">
        <v>1830</v>
      </c>
      <c r="B831" t="s">
        <v>66</v>
      </c>
      <c r="C831">
        <v>2023</v>
      </c>
      <c r="D831" t="s">
        <v>67</v>
      </c>
      <c r="E831" t="s">
        <v>25</v>
      </c>
      <c r="F831" t="s">
        <v>77</v>
      </c>
      <c r="G831" t="s">
        <v>90</v>
      </c>
      <c r="H831" t="s">
        <v>21</v>
      </c>
      <c r="I831" t="s">
        <v>22</v>
      </c>
      <c r="J831">
        <v>1.5</v>
      </c>
      <c r="K831">
        <v>23</v>
      </c>
      <c r="L831">
        <v>2</v>
      </c>
      <c r="M831">
        <v>1319798</v>
      </c>
      <c r="N831">
        <v>2639596</v>
      </c>
      <c r="O831">
        <v>2064683</v>
      </c>
      <c r="P831">
        <v>574913</v>
      </c>
    </row>
    <row r="832" spans="1:16" x14ac:dyDescent="0.3">
      <c r="A832">
        <v>1831</v>
      </c>
      <c r="B832" t="s">
        <v>578</v>
      </c>
      <c r="C832">
        <v>2024</v>
      </c>
      <c r="D832" t="s">
        <v>74</v>
      </c>
      <c r="E832" t="s">
        <v>40</v>
      </c>
      <c r="F832" t="s">
        <v>120</v>
      </c>
      <c r="G832" t="s">
        <v>90</v>
      </c>
      <c r="H832" t="s">
        <v>100</v>
      </c>
      <c r="I832" t="s">
        <v>22</v>
      </c>
      <c r="J832">
        <v>1.2</v>
      </c>
      <c r="K832">
        <v>16</v>
      </c>
      <c r="L832">
        <v>7</v>
      </c>
      <c r="M832">
        <v>722371</v>
      </c>
      <c r="N832">
        <v>5056597</v>
      </c>
      <c r="O832">
        <v>3965866</v>
      </c>
      <c r="P832">
        <v>1090731</v>
      </c>
    </row>
    <row r="833" spans="1:16" x14ac:dyDescent="0.3">
      <c r="A833">
        <v>1832</v>
      </c>
      <c r="B833" t="s">
        <v>301</v>
      </c>
      <c r="C833">
        <v>2023</v>
      </c>
      <c r="D833" t="s">
        <v>34</v>
      </c>
      <c r="E833" t="s">
        <v>44</v>
      </c>
      <c r="F833" t="s">
        <v>92</v>
      </c>
      <c r="G833" t="s">
        <v>46</v>
      </c>
      <c r="H833" t="s">
        <v>47</v>
      </c>
      <c r="I833" t="s">
        <v>48</v>
      </c>
      <c r="J833">
        <v>1.5</v>
      </c>
      <c r="K833">
        <v>21</v>
      </c>
      <c r="L833">
        <v>6</v>
      </c>
      <c r="M833">
        <v>1112896</v>
      </c>
      <c r="N833">
        <v>6677376</v>
      </c>
      <c r="O833">
        <v>5721377</v>
      </c>
      <c r="P833">
        <v>955999</v>
      </c>
    </row>
    <row r="834" spans="1:16" x14ac:dyDescent="0.3">
      <c r="A834">
        <v>1833</v>
      </c>
      <c r="B834" t="s">
        <v>579</v>
      </c>
      <c r="C834">
        <v>2023</v>
      </c>
      <c r="D834" t="s">
        <v>34</v>
      </c>
      <c r="E834" t="s">
        <v>44</v>
      </c>
      <c r="F834" t="s">
        <v>92</v>
      </c>
      <c r="G834" t="s">
        <v>59</v>
      </c>
      <c r="H834" t="s">
        <v>56</v>
      </c>
      <c r="I834" t="s">
        <v>48</v>
      </c>
      <c r="J834">
        <v>1</v>
      </c>
      <c r="K834">
        <v>22</v>
      </c>
      <c r="L834">
        <v>3</v>
      </c>
      <c r="M834">
        <v>1232796</v>
      </c>
      <c r="N834">
        <v>3698388</v>
      </c>
      <c r="O834">
        <v>3259327</v>
      </c>
      <c r="P834">
        <v>439061</v>
      </c>
    </row>
    <row r="835" spans="1:16" x14ac:dyDescent="0.3">
      <c r="A835">
        <v>1834</v>
      </c>
      <c r="B835" t="s">
        <v>87</v>
      </c>
      <c r="C835">
        <v>2024</v>
      </c>
      <c r="D835" t="s">
        <v>67</v>
      </c>
      <c r="E835" t="s">
        <v>44</v>
      </c>
      <c r="F835" t="s">
        <v>45</v>
      </c>
      <c r="G835" t="s">
        <v>27</v>
      </c>
      <c r="H835" t="s">
        <v>56</v>
      </c>
      <c r="I835" t="s">
        <v>48</v>
      </c>
      <c r="J835">
        <v>1.2</v>
      </c>
      <c r="K835">
        <v>21</v>
      </c>
      <c r="L835">
        <v>1</v>
      </c>
      <c r="M835">
        <v>734148</v>
      </c>
      <c r="N835">
        <v>734148</v>
      </c>
      <c r="O835">
        <v>584443</v>
      </c>
      <c r="P835">
        <v>149705</v>
      </c>
    </row>
    <row r="836" spans="1:16" x14ac:dyDescent="0.3">
      <c r="A836">
        <v>1835</v>
      </c>
      <c r="B836" t="s">
        <v>403</v>
      </c>
      <c r="C836">
        <v>2024</v>
      </c>
      <c r="D836" t="s">
        <v>97</v>
      </c>
      <c r="E836" t="s">
        <v>25</v>
      </c>
      <c r="F836" t="s">
        <v>58</v>
      </c>
      <c r="G836" t="s">
        <v>20</v>
      </c>
      <c r="H836" t="s">
        <v>31</v>
      </c>
      <c r="I836" t="s">
        <v>32</v>
      </c>
      <c r="J836">
        <v>1</v>
      </c>
      <c r="K836">
        <v>16</v>
      </c>
      <c r="L836">
        <v>8</v>
      </c>
      <c r="M836">
        <v>1321893</v>
      </c>
      <c r="N836">
        <v>10575144</v>
      </c>
      <c r="O836">
        <v>8133632</v>
      </c>
      <c r="P836">
        <v>2441512</v>
      </c>
    </row>
    <row r="837" spans="1:16" x14ac:dyDescent="0.3">
      <c r="A837">
        <v>1836</v>
      </c>
      <c r="B837" t="s">
        <v>376</v>
      </c>
      <c r="C837">
        <v>2023</v>
      </c>
      <c r="D837" t="s">
        <v>50</v>
      </c>
      <c r="E837" t="s">
        <v>40</v>
      </c>
      <c r="F837" t="s">
        <v>120</v>
      </c>
      <c r="G837" t="s">
        <v>51</v>
      </c>
      <c r="H837" t="s">
        <v>47</v>
      </c>
      <c r="I837" t="s">
        <v>48</v>
      </c>
      <c r="J837">
        <v>1.2</v>
      </c>
      <c r="K837">
        <v>19</v>
      </c>
      <c r="L837">
        <v>8</v>
      </c>
      <c r="M837">
        <v>874734</v>
      </c>
      <c r="N837">
        <v>6997872</v>
      </c>
      <c r="O837">
        <v>5725606</v>
      </c>
      <c r="P837">
        <v>1272266</v>
      </c>
    </row>
    <row r="838" spans="1:16" x14ac:dyDescent="0.3">
      <c r="A838">
        <v>1837</v>
      </c>
      <c r="B838" t="s">
        <v>360</v>
      </c>
      <c r="C838">
        <v>2024</v>
      </c>
      <c r="D838" t="s">
        <v>61</v>
      </c>
      <c r="E838" t="s">
        <v>40</v>
      </c>
      <c r="F838" t="s">
        <v>120</v>
      </c>
      <c r="G838" t="s">
        <v>90</v>
      </c>
      <c r="H838" t="s">
        <v>37</v>
      </c>
      <c r="I838" t="s">
        <v>32</v>
      </c>
      <c r="J838">
        <v>2</v>
      </c>
      <c r="K838">
        <v>18</v>
      </c>
      <c r="L838">
        <v>3</v>
      </c>
      <c r="M838">
        <v>874642</v>
      </c>
      <c r="N838">
        <v>2623926</v>
      </c>
      <c r="O838">
        <v>1989097</v>
      </c>
      <c r="P838">
        <v>634829</v>
      </c>
    </row>
    <row r="839" spans="1:16" x14ac:dyDescent="0.3">
      <c r="A839">
        <v>1838</v>
      </c>
      <c r="B839" t="s">
        <v>580</v>
      </c>
      <c r="C839">
        <v>2024</v>
      </c>
      <c r="D839" t="s">
        <v>29</v>
      </c>
      <c r="E839" t="s">
        <v>44</v>
      </c>
      <c r="F839" t="s">
        <v>92</v>
      </c>
      <c r="G839" t="s">
        <v>46</v>
      </c>
      <c r="H839" t="s">
        <v>52</v>
      </c>
      <c r="I839" t="s">
        <v>22</v>
      </c>
      <c r="J839">
        <v>2</v>
      </c>
      <c r="K839">
        <v>21</v>
      </c>
      <c r="L839">
        <v>1</v>
      </c>
      <c r="M839">
        <v>734618</v>
      </c>
      <c r="N839">
        <v>734618</v>
      </c>
      <c r="O839">
        <v>603675</v>
      </c>
      <c r="P839">
        <v>130943</v>
      </c>
    </row>
    <row r="840" spans="1:16" x14ac:dyDescent="0.3">
      <c r="A840">
        <v>1839</v>
      </c>
      <c r="B840" t="s">
        <v>399</v>
      </c>
      <c r="C840">
        <v>2024</v>
      </c>
      <c r="D840" t="s">
        <v>29</v>
      </c>
      <c r="E840" t="s">
        <v>18</v>
      </c>
      <c r="F840" t="s">
        <v>35</v>
      </c>
      <c r="G840" t="s">
        <v>51</v>
      </c>
      <c r="H840" t="s">
        <v>79</v>
      </c>
      <c r="I840" t="s">
        <v>48</v>
      </c>
      <c r="J840">
        <v>2</v>
      </c>
      <c r="K840">
        <v>16</v>
      </c>
      <c r="L840">
        <v>6</v>
      </c>
      <c r="M840">
        <v>1083315</v>
      </c>
      <c r="N840">
        <v>6499890</v>
      </c>
      <c r="O840">
        <v>5074355</v>
      </c>
      <c r="P840">
        <v>1425535</v>
      </c>
    </row>
    <row r="841" spans="1:16" x14ac:dyDescent="0.3">
      <c r="A841">
        <v>1840</v>
      </c>
      <c r="B841" t="s">
        <v>581</v>
      </c>
      <c r="C841">
        <v>2024</v>
      </c>
      <c r="D841" t="s">
        <v>29</v>
      </c>
      <c r="E841" t="s">
        <v>18</v>
      </c>
      <c r="F841" t="s">
        <v>19</v>
      </c>
      <c r="G841" t="s">
        <v>36</v>
      </c>
      <c r="H841" t="s">
        <v>100</v>
      </c>
      <c r="I841" t="s">
        <v>22</v>
      </c>
      <c r="J841">
        <v>2</v>
      </c>
      <c r="K841">
        <v>19</v>
      </c>
      <c r="L841">
        <v>2</v>
      </c>
      <c r="M841">
        <v>1117398</v>
      </c>
      <c r="N841">
        <v>2234796</v>
      </c>
      <c r="O841">
        <v>1810227</v>
      </c>
      <c r="P841">
        <v>424569</v>
      </c>
    </row>
    <row r="842" spans="1:16" x14ac:dyDescent="0.3">
      <c r="A842">
        <v>1841</v>
      </c>
      <c r="B842" t="s">
        <v>240</v>
      </c>
      <c r="C842">
        <v>2024</v>
      </c>
      <c r="D842" t="s">
        <v>43</v>
      </c>
      <c r="E842" t="s">
        <v>40</v>
      </c>
      <c r="F842" t="s">
        <v>104</v>
      </c>
      <c r="G842" t="s">
        <v>46</v>
      </c>
      <c r="H842" t="s">
        <v>56</v>
      </c>
      <c r="I842" t="s">
        <v>48</v>
      </c>
      <c r="J842">
        <v>1.5</v>
      </c>
      <c r="K842">
        <v>18</v>
      </c>
      <c r="L842">
        <v>6</v>
      </c>
      <c r="M842">
        <v>613116</v>
      </c>
      <c r="N842">
        <v>3678696</v>
      </c>
      <c r="O842">
        <v>2901296</v>
      </c>
      <c r="P842">
        <v>777400</v>
      </c>
    </row>
    <row r="843" spans="1:16" x14ac:dyDescent="0.3">
      <c r="A843">
        <v>1842</v>
      </c>
      <c r="B843" t="s">
        <v>261</v>
      </c>
      <c r="C843">
        <v>2023</v>
      </c>
      <c r="D843" t="s">
        <v>76</v>
      </c>
      <c r="E843" t="s">
        <v>40</v>
      </c>
      <c r="F843" t="s">
        <v>41</v>
      </c>
      <c r="G843" t="s">
        <v>59</v>
      </c>
      <c r="H843" t="s">
        <v>21</v>
      </c>
      <c r="I843" t="s">
        <v>22</v>
      </c>
      <c r="J843">
        <v>1.2</v>
      </c>
      <c r="K843">
        <v>19</v>
      </c>
      <c r="L843">
        <v>1</v>
      </c>
      <c r="M843">
        <v>758742</v>
      </c>
      <c r="N843">
        <v>758742</v>
      </c>
      <c r="O843">
        <v>651052</v>
      </c>
      <c r="P843">
        <v>107690</v>
      </c>
    </row>
    <row r="844" spans="1:16" x14ac:dyDescent="0.3">
      <c r="A844">
        <v>1843</v>
      </c>
      <c r="B844" t="s">
        <v>298</v>
      </c>
      <c r="C844">
        <v>2023</v>
      </c>
      <c r="D844" t="s">
        <v>61</v>
      </c>
      <c r="E844" t="s">
        <v>40</v>
      </c>
      <c r="F844" t="s">
        <v>104</v>
      </c>
      <c r="G844" t="s">
        <v>90</v>
      </c>
      <c r="H844" t="s">
        <v>47</v>
      </c>
      <c r="I844" t="s">
        <v>48</v>
      </c>
      <c r="J844">
        <v>1.2</v>
      </c>
      <c r="K844">
        <v>21</v>
      </c>
      <c r="L844">
        <v>5</v>
      </c>
      <c r="M844">
        <v>1298298</v>
      </c>
      <c r="N844">
        <v>6491490</v>
      </c>
      <c r="O844">
        <v>5554941</v>
      </c>
      <c r="P844">
        <v>936549</v>
      </c>
    </row>
    <row r="845" spans="1:16" x14ac:dyDescent="0.3">
      <c r="A845">
        <v>1844</v>
      </c>
      <c r="B845" t="s">
        <v>582</v>
      </c>
      <c r="C845">
        <v>2023</v>
      </c>
      <c r="D845" t="s">
        <v>34</v>
      </c>
      <c r="E845" t="s">
        <v>44</v>
      </c>
      <c r="F845" t="s">
        <v>92</v>
      </c>
      <c r="G845" t="s">
        <v>51</v>
      </c>
      <c r="H845" t="s">
        <v>47</v>
      </c>
      <c r="I845" t="s">
        <v>48</v>
      </c>
      <c r="J845">
        <v>1.2</v>
      </c>
      <c r="K845">
        <v>16</v>
      </c>
      <c r="L845">
        <v>8</v>
      </c>
      <c r="M845">
        <v>685501</v>
      </c>
      <c r="N845">
        <v>5484008</v>
      </c>
      <c r="O845">
        <v>4194965</v>
      </c>
      <c r="P845">
        <v>1289043</v>
      </c>
    </row>
    <row r="846" spans="1:16" x14ac:dyDescent="0.3">
      <c r="A846">
        <v>1845</v>
      </c>
      <c r="B846" t="s">
        <v>121</v>
      </c>
      <c r="C846">
        <v>2023</v>
      </c>
      <c r="D846" t="s">
        <v>67</v>
      </c>
      <c r="E846" t="s">
        <v>25</v>
      </c>
      <c r="F846" t="s">
        <v>58</v>
      </c>
      <c r="G846" t="s">
        <v>46</v>
      </c>
      <c r="H846" t="s">
        <v>37</v>
      </c>
      <c r="I846" t="s">
        <v>32</v>
      </c>
      <c r="J846">
        <v>2</v>
      </c>
      <c r="K846">
        <v>16</v>
      </c>
      <c r="L846">
        <v>8</v>
      </c>
      <c r="M846">
        <v>888756</v>
      </c>
      <c r="N846">
        <v>7110048</v>
      </c>
      <c r="O846">
        <v>5995216</v>
      </c>
      <c r="P846">
        <v>1114832</v>
      </c>
    </row>
    <row r="847" spans="1:16" x14ac:dyDescent="0.3">
      <c r="A847">
        <v>1846</v>
      </c>
      <c r="B847" t="s">
        <v>489</v>
      </c>
      <c r="C847">
        <v>2023</v>
      </c>
      <c r="D847" t="s">
        <v>24</v>
      </c>
      <c r="E847" t="s">
        <v>25</v>
      </c>
      <c r="F847" t="s">
        <v>26</v>
      </c>
      <c r="G847" t="s">
        <v>59</v>
      </c>
      <c r="H847" t="s">
        <v>31</v>
      </c>
      <c r="I847" t="s">
        <v>32</v>
      </c>
      <c r="J847">
        <v>2</v>
      </c>
      <c r="K847">
        <v>23</v>
      </c>
      <c r="L847">
        <v>1</v>
      </c>
      <c r="M847">
        <v>1011910</v>
      </c>
      <c r="N847">
        <v>1011910</v>
      </c>
      <c r="O847">
        <v>839824</v>
      </c>
      <c r="P847">
        <v>172086</v>
      </c>
    </row>
    <row r="848" spans="1:16" x14ac:dyDescent="0.3">
      <c r="A848">
        <v>1847</v>
      </c>
      <c r="B848" t="s">
        <v>583</v>
      </c>
      <c r="C848">
        <v>2023</v>
      </c>
      <c r="D848" t="s">
        <v>24</v>
      </c>
      <c r="E848" t="s">
        <v>25</v>
      </c>
      <c r="F848" t="s">
        <v>84</v>
      </c>
      <c r="G848" t="s">
        <v>20</v>
      </c>
      <c r="H848" t="s">
        <v>37</v>
      </c>
      <c r="I848" t="s">
        <v>32</v>
      </c>
      <c r="J848">
        <v>1</v>
      </c>
      <c r="K848">
        <v>18</v>
      </c>
      <c r="L848">
        <v>8</v>
      </c>
      <c r="M848">
        <v>1192193</v>
      </c>
      <c r="N848">
        <v>9537544</v>
      </c>
      <c r="O848">
        <v>7158086</v>
      </c>
      <c r="P848">
        <v>2379458</v>
      </c>
    </row>
    <row r="849" spans="1:16" x14ac:dyDescent="0.3">
      <c r="A849">
        <v>1848</v>
      </c>
      <c r="B849" t="s">
        <v>137</v>
      </c>
      <c r="C849">
        <v>2024</v>
      </c>
      <c r="D849" t="s">
        <v>39</v>
      </c>
      <c r="E849" t="s">
        <v>40</v>
      </c>
      <c r="F849" t="s">
        <v>120</v>
      </c>
      <c r="G849" t="s">
        <v>46</v>
      </c>
      <c r="H849" t="s">
        <v>63</v>
      </c>
      <c r="I849" t="s">
        <v>22</v>
      </c>
      <c r="J849">
        <v>1.5</v>
      </c>
      <c r="K849">
        <v>21</v>
      </c>
      <c r="L849">
        <v>8</v>
      </c>
      <c r="M849">
        <v>1375787</v>
      </c>
      <c r="N849">
        <v>11006296</v>
      </c>
      <c r="O849">
        <v>8539180</v>
      </c>
      <c r="P849">
        <v>2467116</v>
      </c>
    </row>
    <row r="850" spans="1:16" x14ac:dyDescent="0.3">
      <c r="A850">
        <v>1849</v>
      </c>
      <c r="B850" t="s">
        <v>83</v>
      </c>
      <c r="C850">
        <v>2024</v>
      </c>
      <c r="D850" t="s">
        <v>39</v>
      </c>
      <c r="E850" t="s">
        <v>40</v>
      </c>
      <c r="F850" t="s">
        <v>41</v>
      </c>
      <c r="G850" t="s">
        <v>30</v>
      </c>
      <c r="H850" t="s">
        <v>37</v>
      </c>
      <c r="I850" t="s">
        <v>32</v>
      </c>
      <c r="J850">
        <v>1</v>
      </c>
      <c r="K850">
        <v>20</v>
      </c>
      <c r="L850">
        <v>1</v>
      </c>
      <c r="M850">
        <v>1342853</v>
      </c>
      <c r="N850">
        <v>1342853</v>
      </c>
      <c r="O850">
        <v>1203691</v>
      </c>
      <c r="P850">
        <v>139162</v>
      </c>
    </row>
    <row r="851" spans="1:16" x14ac:dyDescent="0.3">
      <c r="A851">
        <v>1850</v>
      </c>
      <c r="B851" t="s">
        <v>584</v>
      </c>
      <c r="C851">
        <v>2023</v>
      </c>
      <c r="D851" t="s">
        <v>61</v>
      </c>
      <c r="E851" t="s">
        <v>18</v>
      </c>
      <c r="F851" t="s">
        <v>72</v>
      </c>
      <c r="G851" t="s">
        <v>36</v>
      </c>
      <c r="H851" t="s">
        <v>31</v>
      </c>
      <c r="I851" t="s">
        <v>32</v>
      </c>
      <c r="J851">
        <v>1.2</v>
      </c>
      <c r="K851">
        <v>20</v>
      </c>
      <c r="L851">
        <v>4</v>
      </c>
      <c r="M851">
        <v>755306</v>
      </c>
      <c r="N851">
        <v>3021224</v>
      </c>
      <c r="O851">
        <v>2650661</v>
      </c>
      <c r="P851">
        <v>370563</v>
      </c>
    </row>
    <row r="852" spans="1:16" x14ac:dyDescent="0.3">
      <c r="A852">
        <v>1851</v>
      </c>
      <c r="B852" t="s">
        <v>585</v>
      </c>
      <c r="C852">
        <v>2024</v>
      </c>
      <c r="D852" t="s">
        <v>97</v>
      </c>
      <c r="E852" t="s">
        <v>25</v>
      </c>
      <c r="F852" t="s">
        <v>58</v>
      </c>
      <c r="G852" t="s">
        <v>36</v>
      </c>
      <c r="H852" t="s">
        <v>52</v>
      </c>
      <c r="I852" t="s">
        <v>22</v>
      </c>
      <c r="J852">
        <v>1.5</v>
      </c>
      <c r="K852">
        <v>19</v>
      </c>
      <c r="L852">
        <v>6</v>
      </c>
      <c r="M852">
        <v>735901</v>
      </c>
      <c r="N852">
        <v>4415406</v>
      </c>
      <c r="O852">
        <v>3681904</v>
      </c>
      <c r="P852">
        <v>733502</v>
      </c>
    </row>
    <row r="853" spans="1:16" x14ac:dyDescent="0.3">
      <c r="A853">
        <v>1852</v>
      </c>
      <c r="B853" t="s">
        <v>338</v>
      </c>
      <c r="C853">
        <v>2024</v>
      </c>
      <c r="D853" t="s">
        <v>50</v>
      </c>
      <c r="E853" t="s">
        <v>25</v>
      </c>
      <c r="F853" t="s">
        <v>26</v>
      </c>
      <c r="G853" t="s">
        <v>46</v>
      </c>
      <c r="H853" t="s">
        <v>47</v>
      </c>
      <c r="I853" t="s">
        <v>48</v>
      </c>
      <c r="J853">
        <v>1</v>
      </c>
      <c r="K853">
        <v>20</v>
      </c>
      <c r="L853">
        <v>5</v>
      </c>
      <c r="M853">
        <v>694606</v>
      </c>
      <c r="N853">
        <v>3473030</v>
      </c>
      <c r="O853">
        <v>3018847</v>
      </c>
      <c r="P853">
        <v>454183</v>
      </c>
    </row>
    <row r="854" spans="1:16" x14ac:dyDescent="0.3">
      <c r="A854">
        <v>1853</v>
      </c>
      <c r="B854" t="s">
        <v>186</v>
      </c>
      <c r="C854">
        <v>2023</v>
      </c>
      <c r="D854" t="s">
        <v>50</v>
      </c>
      <c r="E854" t="s">
        <v>18</v>
      </c>
      <c r="F854" t="s">
        <v>35</v>
      </c>
      <c r="G854" t="s">
        <v>59</v>
      </c>
      <c r="H854" t="s">
        <v>63</v>
      </c>
      <c r="I854" t="s">
        <v>22</v>
      </c>
      <c r="J854">
        <v>2</v>
      </c>
      <c r="K854">
        <v>22</v>
      </c>
      <c r="L854">
        <v>1</v>
      </c>
      <c r="M854">
        <v>1069858</v>
      </c>
      <c r="N854">
        <v>1069858</v>
      </c>
      <c r="O854">
        <v>824523</v>
      </c>
      <c r="P854">
        <v>245335</v>
      </c>
    </row>
    <row r="855" spans="1:16" x14ac:dyDescent="0.3">
      <c r="A855">
        <v>1854</v>
      </c>
      <c r="B855" t="s">
        <v>273</v>
      </c>
      <c r="C855">
        <v>2023</v>
      </c>
      <c r="D855" t="s">
        <v>24</v>
      </c>
      <c r="E855" t="s">
        <v>44</v>
      </c>
      <c r="F855" t="s">
        <v>92</v>
      </c>
      <c r="G855" t="s">
        <v>30</v>
      </c>
      <c r="H855" t="s">
        <v>56</v>
      </c>
      <c r="I855" t="s">
        <v>48</v>
      </c>
      <c r="J855">
        <v>1</v>
      </c>
      <c r="K855">
        <v>18</v>
      </c>
      <c r="L855">
        <v>1</v>
      </c>
      <c r="M855">
        <v>614761</v>
      </c>
      <c r="N855">
        <v>614761</v>
      </c>
      <c r="O855">
        <v>503308</v>
      </c>
      <c r="P855">
        <v>111453</v>
      </c>
    </row>
    <row r="856" spans="1:16" x14ac:dyDescent="0.3">
      <c r="A856">
        <v>1855</v>
      </c>
      <c r="B856" t="s">
        <v>586</v>
      </c>
      <c r="C856">
        <v>2024</v>
      </c>
      <c r="D856" t="s">
        <v>74</v>
      </c>
      <c r="E856" t="s">
        <v>25</v>
      </c>
      <c r="F856" t="s">
        <v>77</v>
      </c>
      <c r="G856" t="s">
        <v>90</v>
      </c>
      <c r="H856" t="s">
        <v>21</v>
      </c>
      <c r="I856" t="s">
        <v>22</v>
      </c>
      <c r="J856">
        <v>1.2</v>
      </c>
      <c r="K856">
        <v>23</v>
      </c>
      <c r="L856">
        <v>6</v>
      </c>
      <c r="M856">
        <v>791447</v>
      </c>
      <c r="N856">
        <v>4748682</v>
      </c>
      <c r="O856">
        <v>4111227</v>
      </c>
      <c r="P856">
        <v>637455</v>
      </c>
    </row>
    <row r="857" spans="1:16" x14ac:dyDescent="0.3">
      <c r="A857">
        <v>1856</v>
      </c>
      <c r="B857" t="s">
        <v>453</v>
      </c>
      <c r="C857">
        <v>2023</v>
      </c>
      <c r="D857" t="s">
        <v>61</v>
      </c>
      <c r="E857" t="s">
        <v>25</v>
      </c>
      <c r="F857" t="s">
        <v>77</v>
      </c>
      <c r="G857" t="s">
        <v>46</v>
      </c>
      <c r="H857" t="s">
        <v>47</v>
      </c>
      <c r="I857" t="s">
        <v>48</v>
      </c>
      <c r="J857">
        <v>2</v>
      </c>
      <c r="K857">
        <v>23</v>
      </c>
      <c r="L857">
        <v>3</v>
      </c>
      <c r="M857">
        <v>1109958</v>
      </c>
      <c r="N857">
        <v>3329874</v>
      </c>
      <c r="O857">
        <v>2626042</v>
      </c>
      <c r="P857">
        <v>703832</v>
      </c>
    </row>
    <row r="858" spans="1:16" x14ac:dyDescent="0.3">
      <c r="A858">
        <v>1857</v>
      </c>
      <c r="B858" t="s">
        <v>587</v>
      </c>
      <c r="C858">
        <v>2024</v>
      </c>
      <c r="D858" t="s">
        <v>29</v>
      </c>
      <c r="E858" t="s">
        <v>25</v>
      </c>
      <c r="F858" t="s">
        <v>26</v>
      </c>
      <c r="G858" t="s">
        <v>46</v>
      </c>
      <c r="H858" t="s">
        <v>56</v>
      </c>
      <c r="I858" t="s">
        <v>48</v>
      </c>
      <c r="J858">
        <v>1</v>
      </c>
      <c r="K858">
        <v>19</v>
      </c>
      <c r="L858">
        <v>3</v>
      </c>
      <c r="M858">
        <v>762187</v>
      </c>
      <c r="N858">
        <v>2286561</v>
      </c>
      <c r="O858">
        <v>1917522</v>
      </c>
      <c r="P858">
        <v>369039</v>
      </c>
    </row>
    <row r="859" spans="1:16" x14ac:dyDescent="0.3">
      <c r="A859">
        <v>1858</v>
      </c>
      <c r="B859" t="s">
        <v>588</v>
      </c>
      <c r="C859">
        <v>2024</v>
      </c>
      <c r="D859" t="s">
        <v>61</v>
      </c>
      <c r="E859" t="s">
        <v>44</v>
      </c>
      <c r="F859" t="s">
        <v>70</v>
      </c>
      <c r="G859" t="s">
        <v>46</v>
      </c>
      <c r="H859" t="s">
        <v>37</v>
      </c>
      <c r="I859" t="s">
        <v>32</v>
      </c>
      <c r="J859">
        <v>2</v>
      </c>
      <c r="K859">
        <v>20</v>
      </c>
      <c r="L859">
        <v>3</v>
      </c>
      <c r="M859">
        <v>1412349</v>
      </c>
      <c r="N859">
        <v>4237047</v>
      </c>
      <c r="O859">
        <v>3296205</v>
      </c>
      <c r="P859">
        <v>940842</v>
      </c>
    </row>
    <row r="860" spans="1:16" x14ac:dyDescent="0.3">
      <c r="A860">
        <v>1859</v>
      </c>
      <c r="B860" t="s">
        <v>589</v>
      </c>
      <c r="C860">
        <v>2024</v>
      </c>
      <c r="D860" t="s">
        <v>61</v>
      </c>
      <c r="E860" t="s">
        <v>18</v>
      </c>
      <c r="F860" t="s">
        <v>107</v>
      </c>
      <c r="G860" t="s">
        <v>90</v>
      </c>
      <c r="H860" t="s">
        <v>31</v>
      </c>
      <c r="I860" t="s">
        <v>32</v>
      </c>
      <c r="J860">
        <v>2</v>
      </c>
      <c r="K860">
        <v>16</v>
      </c>
      <c r="L860">
        <v>3</v>
      </c>
      <c r="M860">
        <v>802954</v>
      </c>
      <c r="N860">
        <v>2408862</v>
      </c>
      <c r="O860">
        <v>1824449</v>
      </c>
      <c r="P860">
        <v>584413</v>
      </c>
    </row>
    <row r="861" spans="1:16" x14ac:dyDescent="0.3">
      <c r="A861">
        <v>1860</v>
      </c>
      <c r="B861" t="s">
        <v>139</v>
      </c>
      <c r="C861">
        <v>2024</v>
      </c>
      <c r="D861" t="s">
        <v>61</v>
      </c>
      <c r="E861" t="s">
        <v>18</v>
      </c>
      <c r="F861" t="s">
        <v>107</v>
      </c>
      <c r="G861" t="s">
        <v>46</v>
      </c>
      <c r="H861" t="s">
        <v>47</v>
      </c>
      <c r="I861" t="s">
        <v>48</v>
      </c>
      <c r="J861">
        <v>1.2</v>
      </c>
      <c r="K861">
        <v>21</v>
      </c>
      <c r="L861">
        <v>1</v>
      </c>
      <c r="M861">
        <v>729991</v>
      </c>
      <c r="N861">
        <v>729991</v>
      </c>
      <c r="O861">
        <v>575474</v>
      </c>
      <c r="P861">
        <v>154517</v>
      </c>
    </row>
    <row r="862" spans="1:16" x14ac:dyDescent="0.3">
      <c r="A862">
        <v>1861</v>
      </c>
      <c r="B862" t="s">
        <v>210</v>
      </c>
      <c r="C862">
        <v>2023</v>
      </c>
      <c r="D862" t="s">
        <v>97</v>
      </c>
      <c r="E862" t="s">
        <v>25</v>
      </c>
      <c r="F862" t="s">
        <v>77</v>
      </c>
      <c r="G862" t="s">
        <v>51</v>
      </c>
      <c r="H862" t="s">
        <v>54</v>
      </c>
      <c r="I862" t="s">
        <v>48</v>
      </c>
      <c r="J862">
        <v>1</v>
      </c>
      <c r="K862">
        <v>16</v>
      </c>
      <c r="L862">
        <v>8</v>
      </c>
      <c r="M862">
        <v>745809</v>
      </c>
      <c r="N862">
        <v>5966472</v>
      </c>
      <c r="O862">
        <v>4992551</v>
      </c>
      <c r="P862">
        <v>973921</v>
      </c>
    </row>
    <row r="863" spans="1:16" x14ac:dyDescent="0.3">
      <c r="A863">
        <v>1862</v>
      </c>
      <c r="B863" t="s">
        <v>590</v>
      </c>
      <c r="C863">
        <v>2023</v>
      </c>
      <c r="D863" t="s">
        <v>97</v>
      </c>
      <c r="E863" t="s">
        <v>25</v>
      </c>
      <c r="F863" t="s">
        <v>58</v>
      </c>
      <c r="G863" t="s">
        <v>27</v>
      </c>
      <c r="H863" t="s">
        <v>54</v>
      </c>
      <c r="I863" t="s">
        <v>48</v>
      </c>
      <c r="J863">
        <v>1</v>
      </c>
      <c r="K863">
        <v>19</v>
      </c>
      <c r="L863">
        <v>7</v>
      </c>
      <c r="M863">
        <v>717001</v>
      </c>
      <c r="N863">
        <v>5019007</v>
      </c>
      <c r="O863">
        <v>4472245</v>
      </c>
      <c r="P863">
        <v>546762</v>
      </c>
    </row>
    <row r="864" spans="1:16" x14ac:dyDescent="0.3">
      <c r="A864">
        <v>1863</v>
      </c>
      <c r="B864" t="s">
        <v>385</v>
      </c>
      <c r="C864">
        <v>2023</v>
      </c>
      <c r="D864" t="s">
        <v>50</v>
      </c>
      <c r="E864" t="s">
        <v>18</v>
      </c>
      <c r="F864" t="s">
        <v>72</v>
      </c>
      <c r="G864" t="s">
        <v>51</v>
      </c>
      <c r="H864" t="s">
        <v>37</v>
      </c>
      <c r="I864" t="s">
        <v>32</v>
      </c>
      <c r="J864">
        <v>1.5</v>
      </c>
      <c r="K864">
        <v>16</v>
      </c>
      <c r="L864">
        <v>1</v>
      </c>
      <c r="M864">
        <v>896829</v>
      </c>
      <c r="N864">
        <v>896829</v>
      </c>
      <c r="O864">
        <v>777803</v>
      </c>
      <c r="P864">
        <v>119026</v>
      </c>
    </row>
    <row r="865" spans="1:16" x14ac:dyDescent="0.3">
      <c r="A865">
        <v>1864</v>
      </c>
      <c r="B865" t="s">
        <v>552</v>
      </c>
      <c r="C865">
        <v>2023</v>
      </c>
      <c r="D865" t="s">
        <v>39</v>
      </c>
      <c r="E865" t="s">
        <v>18</v>
      </c>
      <c r="F865" t="s">
        <v>35</v>
      </c>
      <c r="G865" t="s">
        <v>59</v>
      </c>
      <c r="H865" t="s">
        <v>52</v>
      </c>
      <c r="I865" t="s">
        <v>22</v>
      </c>
      <c r="J865">
        <v>1.2</v>
      </c>
      <c r="K865">
        <v>23</v>
      </c>
      <c r="L865">
        <v>2</v>
      </c>
      <c r="M865">
        <v>732806</v>
      </c>
      <c r="N865">
        <v>1465612</v>
      </c>
      <c r="O865">
        <v>1135342</v>
      </c>
      <c r="P865">
        <v>330270</v>
      </c>
    </row>
    <row r="866" spans="1:16" x14ac:dyDescent="0.3">
      <c r="A866">
        <v>1865</v>
      </c>
      <c r="B866" t="s">
        <v>556</v>
      </c>
      <c r="C866">
        <v>2023</v>
      </c>
      <c r="D866" t="s">
        <v>50</v>
      </c>
      <c r="E866" t="s">
        <v>25</v>
      </c>
      <c r="F866" t="s">
        <v>26</v>
      </c>
      <c r="G866" t="s">
        <v>27</v>
      </c>
      <c r="H866" t="s">
        <v>37</v>
      </c>
      <c r="I866" t="s">
        <v>32</v>
      </c>
      <c r="J866">
        <v>1.5</v>
      </c>
      <c r="K866">
        <v>18</v>
      </c>
      <c r="L866">
        <v>1</v>
      </c>
      <c r="M866">
        <v>1059570</v>
      </c>
      <c r="N866">
        <v>1059570</v>
      </c>
      <c r="O866">
        <v>801729</v>
      </c>
      <c r="P866">
        <v>257841</v>
      </c>
    </row>
    <row r="867" spans="1:16" x14ac:dyDescent="0.3">
      <c r="A867">
        <v>1866</v>
      </c>
      <c r="B867" t="s">
        <v>204</v>
      </c>
      <c r="C867">
        <v>2023</v>
      </c>
      <c r="D867" t="s">
        <v>29</v>
      </c>
      <c r="E867" t="s">
        <v>25</v>
      </c>
      <c r="F867" t="s">
        <v>77</v>
      </c>
      <c r="G867" t="s">
        <v>27</v>
      </c>
      <c r="H867" t="s">
        <v>79</v>
      </c>
      <c r="I867" t="s">
        <v>48</v>
      </c>
      <c r="J867">
        <v>2</v>
      </c>
      <c r="K867">
        <v>18</v>
      </c>
      <c r="L867">
        <v>4</v>
      </c>
      <c r="M867">
        <v>846354</v>
      </c>
      <c r="N867">
        <v>3385416</v>
      </c>
      <c r="O867">
        <v>2843970</v>
      </c>
      <c r="P867">
        <v>541446</v>
      </c>
    </row>
    <row r="868" spans="1:16" x14ac:dyDescent="0.3">
      <c r="A868">
        <v>1867</v>
      </c>
      <c r="B868" t="s">
        <v>362</v>
      </c>
      <c r="C868">
        <v>2023</v>
      </c>
      <c r="D868" t="s">
        <v>39</v>
      </c>
      <c r="E868" t="s">
        <v>18</v>
      </c>
      <c r="F868" t="s">
        <v>35</v>
      </c>
      <c r="G868" t="s">
        <v>27</v>
      </c>
      <c r="H868" t="s">
        <v>37</v>
      </c>
      <c r="I868" t="s">
        <v>32</v>
      </c>
      <c r="J868">
        <v>1.5</v>
      </c>
      <c r="K868">
        <v>18</v>
      </c>
      <c r="L868">
        <v>3</v>
      </c>
      <c r="M868">
        <v>739295</v>
      </c>
      <c r="N868">
        <v>2217885</v>
      </c>
      <c r="O868">
        <v>1855483</v>
      </c>
      <c r="P868">
        <v>362402</v>
      </c>
    </row>
    <row r="869" spans="1:16" x14ac:dyDescent="0.3">
      <c r="A869">
        <v>1868</v>
      </c>
      <c r="B869" t="s">
        <v>342</v>
      </c>
      <c r="C869">
        <v>2023</v>
      </c>
      <c r="D869" t="s">
        <v>50</v>
      </c>
      <c r="E869" t="s">
        <v>18</v>
      </c>
      <c r="F869" t="s">
        <v>72</v>
      </c>
      <c r="G869" t="s">
        <v>59</v>
      </c>
      <c r="H869" t="s">
        <v>100</v>
      </c>
      <c r="I869" t="s">
        <v>22</v>
      </c>
      <c r="J869">
        <v>1.5</v>
      </c>
      <c r="K869">
        <v>18</v>
      </c>
      <c r="L869">
        <v>5</v>
      </c>
      <c r="M869">
        <v>851197</v>
      </c>
      <c r="N869">
        <v>4255985</v>
      </c>
      <c r="O869">
        <v>3573566</v>
      </c>
      <c r="P869">
        <v>682419</v>
      </c>
    </row>
    <row r="870" spans="1:16" x14ac:dyDescent="0.3">
      <c r="A870">
        <v>1869</v>
      </c>
      <c r="B870" t="s">
        <v>591</v>
      </c>
      <c r="C870">
        <v>2023</v>
      </c>
      <c r="D870" t="s">
        <v>34</v>
      </c>
      <c r="E870" t="s">
        <v>44</v>
      </c>
      <c r="F870" t="s">
        <v>70</v>
      </c>
      <c r="G870" t="s">
        <v>59</v>
      </c>
      <c r="H870" t="s">
        <v>52</v>
      </c>
      <c r="I870" t="s">
        <v>22</v>
      </c>
      <c r="J870">
        <v>1.5</v>
      </c>
      <c r="K870">
        <v>19</v>
      </c>
      <c r="L870">
        <v>3</v>
      </c>
      <c r="M870">
        <v>1439669</v>
      </c>
      <c r="N870">
        <v>4319007</v>
      </c>
      <c r="O870">
        <v>3281379</v>
      </c>
      <c r="P870">
        <v>1037628</v>
      </c>
    </row>
    <row r="871" spans="1:16" x14ac:dyDescent="0.3">
      <c r="A871">
        <v>1870</v>
      </c>
      <c r="B871" t="s">
        <v>103</v>
      </c>
      <c r="C871">
        <v>2023</v>
      </c>
      <c r="D871" t="s">
        <v>17</v>
      </c>
      <c r="E871" t="s">
        <v>44</v>
      </c>
      <c r="F871" t="s">
        <v>45</v>
      </c>
      <c r="G871" t="s">
        <v>27</v>
      </c>
      <c r="H871" t="s">
        <v>100</v>
      </c>
      <c r="I871" t="s">
        <v>22</v>
      </c>
      <c r="J871">
        <v>1.2</v>
      </c>
      <c r="K871">
        <v>23</v>
      </c>
      <c r="L871">
        <v>3</v>
      </c>
      <c r="M871">
        <v>688638</v>
      </c>
      <c r="N871">
        <v>2065914</v>
      </c>
      <c r="O871">
        <v>1813284</v>
      </c>
      <c r="P871">
        <v>252630</v>
      </c>
    </row>
    <row r="872" spans="1:16" x14ac:dyDescent="0.3">
      <c r="A872">
        <v>1871</v>
      </c>
      <c r="B872" t="s">
        <v>172</v>
      </c>
      <c r="C872">
        <v>2024</v>
      </c>
      <c r="D872" t="s">
        <v>17</v>
      </c>
      <c r="E872" t="s">
        <v>18</v>
      </c>
      <c r="F872" t="s">
        <v>107</v>
      </c>
      <c r="G872" t="s">
        <v>46</v>
      </c>
      <c r="H872" t="s">
        <v>31</v>
      </c>
      <c r="I872" t="s">
        <v>32</v>
      </c>
      <c r="J872">
        <v>1.2</v>
      </c>
      <c r="K872">
        <v>19</v>
      </c>
      <c r="L872">
        <v>1</v>
      </c>
      <c r="M872">
        <v>1269389</v>
      </c>
      <c r="N872">
        <v>1269389</v>
      </c>
      <c r="O872">
        <v>1018101</v>
      </c>
      <c r="P872">
        <v>251288</v>
      </c>
    </row>
    <row r="873" spans="1:16" x14ac:dyDescent="0.3">
      <c r="A873">
        <v>1872</v>
      </c>
      <c r="B873" t="s">
        <v>151</v>
      </c>
      <c r="C873">
        <v>2024</v>
      </c>
      <c r="D873" t="s">
        <v>61</v>
      </c>
      <c r="E873" t="s">
        <v>25</v>
      </c>
      <c r="F873" t="s">
        <v>77</v>
      </c>
      <c r="G873" t="s">
        <v>59</v>
      </c>
      <c r="H873" t="s">
        <v>37</v>
      </c>
      <c r="I873" t="s">
        <v>32</v>
      </c>
      <c r="J873">
        <v>1.2</v>
      </c>
      <c r="K873">
        <v>19</v>
      </c>
      <c r="L873">
        <v>4</v>
      </c>
      <c r="M873">
        <v>947020</v>
      </c>
      <c r="N873">
        <v>3788080</v>
      </c>
      <c r="O873">
        <v>3093599</v>
      </c>
      <c r="P873">
        <v>694481</v>
      </c>
    </row>
    <row r="874" spans="1:16" x14ac:dyDescent="0.3">
      <c r="A874">
        <v>1873</v>
      </c>
      <c r="B874" t="s">
        <v>361</v>
      </c>
      <c r="C874">
        <v>2024</v>
      </c>
      <c r="D874" t="s">
        <v>61</v>
      </c>
      <c r="E874" t="s">
        <v>25</v>
      </c>
      <c r="F874" t="s">
        <v>26</v>
      </c>
      <c r="G874" t="s">
        <v>46</v>
      </c>
      <c r="H874" t="s">
        <v>21</v>
      </c>
      <c r="I874" t="s">
        <v>22</v>
      </c>
      <c r="J874">
        <v>1.5</v>
      </c>
      <c r="K874">
        <v>18</v>
      </c>
      <c r="L874">
        <v>1</v>
      </c>
      <c r="M874">
        <v>1064681</v>
      </c>
      <c r="N874">
        <v>1064681</v>
      </c>
      <c r="O874">
        <v>806819</v>
      </c>
      <c r="P874">
        <v>257862</v>
      </c>
    </row>
    <row r="875" spans="1:16" x14ac:dyDescent="0.3">
      <c r="A875">
        <v>1874</v>
      </c>
      <c r="B875" t="s">
        <v>592</v>
      </c>
      <c r="C875">
        <v>2024</v>
      </c>
      <c r="D875" t="s">
        <v>74</v>
      </c>
      <c r="E875" t="s">
        <v>44</v>
      </c>
      <c r="F875" t="s">
        <v>62</v>
      </c>
      <c r="G875" t="s">
        <v>46</v>
      </c>
      <c r="H875" t="s">
        <v>79</v>
      </c>
      <c r="I875" t="s">
        <v>48</v>
      </c>
      <c r="J875">
        <v>2</v>
      </c>
      <c r="K875">
        <v>20</v>
      </c>
      <c r="L875">
        <v>4</v>
      </c>
      <c r="M875">
        <v>1000916</v>
      </c>
      <c r="N875">
        <v>4003664</v>
      </c>
      <c r="O875">
        <v>3405608</v>
      </c>
      <c r="P875">
        <v>598056</v>
      </c>
    </row>
    <row r="876" spans="1:16" x14ac:dyDescent="0.3">
      <c r="A876">
        <v>1875</v>
      </c>
      <c r="B876" t="s">
        <v>593</v>
      </c>
      <c r="C876">
        <v>2023</v>
      </c>
      <c r="D876" t="s">
        <v>29</v>
      </c>
      <c r="E876" t="s">
        <v>40</v>
      </c>
      <c r="F876" t="s">
        <v>41</v>
      </c>
      <c r="G876" t="s">
        <v>90</v>
      </c>
      <c r="H876" t="s">
        <v>52</v>
      </c>
      <c r="I876" t="s">
        <v>22</v>
      </c>
      <c r="J876">
        <v>1.5</v>
      </c>
      <c r="K876">
        <v>21</v>
      </c>
      <c r="L876">
        <v>7</v>
      </c>
      <c r="M876">
        <v>1440101</v>
      </c>
      <c r="N876">
        <v>10080707</v>
      </c>
      <c r="O876">
        <v>8453926</v>
      </c>
      <c r="P876">
        <v>1626781</v>
      </c>
    </row>
    <row r="877" spans="1:16" x14ac:dyDescent="0.3">
      <c r="A877">
        <v>1876</v>
      </c>
      <c r="B877" t="s">
        <v>573</v>
      </c>
      <c r="C877">
        <v>2023</v>
      </c>
      <c r="D877" t="s">
        <v>97</v>
      </c>
      <c r="E877" t="s">
        <v>25</v>
      </c>
      <c r="F877" t="s">
        <v>84</v>
      </c>
      <c r="G877" t="s">
        <v>36</v>
      </c>
      <c r="H877" t="s">
        <v>21</v>
      </c>
      <c r="I877" t="s">
        <v>22</v>
      </c>
      <c r="J877">
        <v>1.2</v>
      </c>
      <c r="K877">
        <v>21</v>
      </c>
      <c r="L877">
        <v>7</v>
      </c>
      <c r="M877">
        <v>1432948</v>
      </c>
      <c r="N877">
        <v>10030636</v>
      </c>
      <c r="O877">
        <v>8616004</v>
      </c>
      <c r="P877">
        <v>1414632</v>
      </c>
    </row>
    <row r="878" spans="1:16" x14ac:dyDescent="0.3">
      <c r="A878">
        <v>1877</v>
      </c>
      <c r="B878" t="s">
        <v>442</v>
      </c>
      <c r="C878">
        <v>2023</v>
      </c>
      <c r="D878" t="s">
        <v>29</v>
      </c>
      <c r="E878" t="s">
        <v>40</v>
      </c>
      <c r="F878" t="s">
        <v>120</v>
      </c>
      <c r="G878" t="s">
        <v>36</v>
      </c>
      <c r="H878" t="s">
        <v>21</v>
      </c>
      <c r="I878" t="s">
        <v>22</v>
      </c>
      <c r="J878">
        <v>2</v>
      </c>
      <c r="K878">
        <v>18</v>
      </c>
      <c r="L878">
        <v>5</v>
      </c>
      <c r="M878">
        <v>1043017</v>
      </c>
      <c r="N878">
        <v>5215085</v>
      </c>
      <c r="O878">
        <v>4565926</v>
      </c>
      <c r="P878">
        <v>649159</v>
      </c>
    </row>
    <row r="879" spans="1:16" x14ac:dyDescent="0.3">
      <c r="A879">
        <v>1878</v>
      </c>
      <c r="B879" t="s">
        <v>268</v>
      </c>
      <c r="C879">
        <v>2023</v>
      </c>
      <c r="D879" t="s">
        <v>74</v>
      </c>
      <c r="E879" t="s">
        <v>44</v>
      </c>
      <c r="F879" t="s">
        <v>70</v>
      </c>
      <c r="G879" t="s">
        <v>27</v>
      </c>
      <c r="H879" t="s">
        <v>79</v>
      </c>
      <c r="I879" t="s">
        <v>48</v>
      </c>
      <c r="J879">
        <v>1</v>
      </c>
      <c r="K879">
        <v>22</v>
      </c>
      <c r="L879">
        <v>4</v>
      </c>
      <c r="M879">
        <v>1097846</v>
      </c>
      <c r="N879">
        <v>4391384</v>
      </c>
      <c r="O879">
        <v>3540143</v>
      </c>
      <c r="P879">
        <v>851241</v>
      </c>
    </row>
    <row r="880" spans="1:16" x14ac:dyDescent="0.3">
      <c r="A880">
        <v>1879</v>
      </c>
      <c r="B880" t="s">
        <v>390</v>
      </c>
      <c r="C880">
        <v>2024</v>
      </c>
      <c r="D880" t="s">
        <v>24</v>
      </c>
      <c r="E880" t="s">
        <v>18</v>
      </c>
      <c r="F880" t="s">
        <v>35</v>
      </c>
      <c r="G880" t="s">
        <v>20</v>
      </c>
      <c r="H880" t="s">
        <v>52</v>
      </c>
      <c r="I880" t="s">
        <v>22</v>
      </c>
      <c r="J880">
        <v>1.2</v>
      </c>
      <c r="K880">
        <v>19</v>
      </c>
      <c r="L880">
        <v>2</v>
      </c>
      <c r="M880">
        <v>785837</v>
      </c>
      <c r="N880">
        <v>1571674</v>
      </c>
      <c r="O880">
        <v>1240626</v>
      </c>
      <c r="P880">
        <v>331048</v>
      </c>
    </row>
    <row r="881" spans="1:16" x14ac:dyDescent="0.3">
      <c r="A881">
        <v>1880</v>
      </c>
      <c r="B881" t="s">
        <v>453</v>
      </c>
      <c r="C881">
        <v>2023</v>
      </c>
      <c r="D881" t="s">
        <v>61</v>
      </c>
      <c r="E881" t="s">
        <v>40</v>
      </c>
      <c r="F881" t="s">
        <v>41</v>
      </c>
      <c r="G881" t="s">
        <v>36</v>
      </c>
      <c r="H881" t="s">
        <v>56</v>
      </c>
      <c r="I881" t="s">
        <v>48</v>
      </c>
      <c r="J881">
        <v>1.5</v>
      </c>
      <c r="K881">
        <v>21</v>
      </c>
      <c r="L881">
        <v>3</v>
      </c>
      <c r="M881">
        <v>1401541</v>
      </c>
      <c r="N881">
        <v>4204623</v>
      </c>
      <c r="O881">
        <v>3740842</v>
      </c>
      <c r="P881">
        <v>463781</v>
      </c>
    </row>
    <row r="882" spans="1:16" x14ac:dyDescent="0.3">
      <c r="A882">
        <v>1881</v>
      </c>
      <c r="B882" t="s">
        <v>499</v>
      </c>
      <c r="C882">
        <v>2024</v>
      </c>
      <c r="D882" t="s">
        <v>76</v>
      </c>
      <c r="E882" t="s">
        <v>18</v>
      </c>
      <c r="F882" t="s">
        <v>19</v>
      </c>
      <c r="G882" t="s">
        <v>59</v>
      </c>
      <c r="H882" t="s">
        <v>37</v>
      </c>
      <c r="I882" t="s">
        <v>32</v>
      </c>
      <c r="J882">
        <v>1.2</v>
      </c>
      <c r="K882">
        <v>22</v>
      </c>
      <c r="L882">
        <v>1</v>
      </c>
      <c r="M882">
        <v>735569</v>
      </c>
      <c r="N882">
        <v>735569</v>
      </c>
      <c r="O882">
        <v>596299</v>
      </c>
      <c r="P882">
        <v>139270</v>
      </c>
    </row>
    <row r="883" spans="1:16" x14ac:dyDescent="0.3">
      <c r="A883">
        <v>1882</v>
      </c>
      <c r="B883" t="s">
        <v>393</v>
      </c>
      <c r="C883">
        <v>2023</v>
      </c>
      <c r="D883" t="s">
        <v>76</v>
      </c>
      <c r="E883" t="s">
        <v>40</v>
      </c>
      <c r="F883" t="s">
        <v>120</v>
      </c>
      <c r="G883" t="s">
        <v>30</v>
      </c>
      <c r="H883" t="s">
        <v>21</v>
      </c>
      <c r="I883" t="s">
        <v>22</v>
      </c>
      <c r="J883">
        <v>1</v>
      </c>
      <c r="K883">
        <v>16</v>
      </c>
      <c r="L883">
        <v>2</v>
      </c>
      <c r="M883">
        <v>1237679</v>
      </c>
      <c r="N883">
        <v>2475358</v>
      </c>
      <c r="O883">
        <v>1903801</v>
      </c>
      <c r="P883">
        <v>571557</v>
      </c>
    </row>
    <row r="884" spans="1:16" x14ac:dyDescent="0.3">
      <c r="A884">
        <v>1883</v>
      </c>
      <c r="B884" t="s">
        <v>356</v>
      </c>
      <c r="C884">
        <v>2023</v>
      </c>
      <c r="D884" t="s">
        <v>74</v>
      </c>
      <c r="E884" t="s">
        <v>40</v>
      </c>
      <c r="F884" t="s">
        <v>68</v>
      </c>
      <c r="G884" t="s">
        <v>20</v>
      </c>
      <c r="H884" t="s">
        <v>31</v>
      </c>
      <c r="I884" t="s">
        <v>32</v>
      </c>
      <c r="J884">
        <v>1.5</v>
      </c>
      <c r="K884">
        <v>20</v>
      </c>
      <c r="L884">
        <v>8</v>
      </c>
      <c r="M884">
        <v>1043593</v>
      </c>
      <c r="N884">
        <v>8348744</v>
      </c>
      <c r="O884">
        <v>7511575</v>
      </c>
      <c r="P884">
        <v>837169</v>
      </c>
    </row>
    <row r="885" spans="1:16" x14ac:dyDescent="0.3">
      <c r="A885">
        <v>1884</v>
      </c>
      <c r="B885" t="s">
        <v>594</v>
      </c>
      <c r="C885">
        <v>2024</v>
      </c>
      <c r="D885" t="s">
        <v>74</v>
      </c>
      <c r="E885" t="s">
        <v>25</v>
      </c>
      <c r="F885" t="s">
        <v>26</v>
      </c>
      <c r="G885" t="s">
        <v>36</v>
      </c>
      <c r="H885" t="s">
        <v>52</v>
      </c>
      <c r="I885" t="s">
        <v>22</v>
      </c>
      <c r="J885">
        <v>2</v>
      </c>
      <c r="K885">
        <v>21</v>
      </c>
      <c r="L885">
        <v>2</v>
      </c>
      <c r="M885">
        <v>1075082</v>
      </c>
      <c r="N885">
        <v>2150164</v>
      </c>
      <c r="O885">
        <v>1627626</v>
      </c>
      <c r="P885">
        <v>522538</v>
      </c>
    </row>
    <row r="886" spans="1:16" x14ac:dyDescent="0.3">
      <c r="A886">
        <v>1885</v>
      </c>
      <c r="B886" t="s">
        <v>401</v>
      </c>
      <c r="C886">
        <v>2024</v>
      </c>
      <c r="D886" t="s">
        <v>24</v>
      </c>
      <c r="E886" t="s">
        <v>44</v>
      </c>
      <c r="F886" t="s">
        <v>62</v>
      </c>
      <c r="G886" t="s">
        <v>27</v>
      </c>
      <c r="H886" t="s">
        <v>79</v>
      </c>
      <c r="I886" t="s">
        <v>48</v>
      </c>
      <c r="J886">
        <v>1.5</v>
      </c>
      <c r="K886">
        <v>21</v>
      </c>
      <c r="L886">
        <v>4</v>
      </c>
      <c r="M886">
        <v>1020122</v>
      </c>
      <c r="N886">
        <v>4080488</v>
      </c>
      <c r="O886">
        <v>3399489</v>
      </c>
      <c r="P886">
        <v>680999</v>
      </c>
    </row>
    <row r="887" spans="1:16" x14ac:dyDescent="0.3">
      <c r="A887">
        <v>1886</v>
      </c>
      <c r="B887" t="s">
        <v>521</v>
      </c>
      <c r="C887">
        <v>2024</v>
      </c>
      <c r="D887" t="s">
        <v>61</v>
      </c>
      <c r="E887" t="s">
        <v>40</v>
      </c>
      <c r="F887" t="s">
        <v>120</v>
      </c>
      <c r="G887" t="s">
        <v>46</v>
      </c>
      <c r="H887" t="s">
        <v>21</v>
      </c>
      <c r="I887" t="s">
        <v>22</v>
      </c>
      <c r="J887">
        <v>1.2</v>
      </c>
      <c r="K887">
        <v>19</v>
      </c>
      <c r="L887">
        <v>8</v>
      </c>
      <c r="M887">
        <v>915024</v>
      </c>
      <c r="N887">
        <v>7320192</v>
      </c>
      <c r="O887">
        <v>6192041</v>
      </c>
      <c r="P887">
        <v>1128151</v>
      </c>
    </row>
    <row r="888" spans="1:16" x14ac:dyDescent="0.3">
      <c r="A888">
        <v>1887</v>
      </c>
      <c r="B888" t="s">
        <v>595</v>
      </c>
      <c r="C888">
        <v>2024</v>
      </c>
      <c r="D888" t="s">
        <v>24</v>
      </c>
      <c r="E888" t="s">
        <v>25</v>
      </c>
      <c r="F888" t="s">
        <v>77</v>
      </c>
      <c r="G888" t="s">
        <v>46</v>
      </c>
      <c r="H888" t="s">
        <v>47</v>
      </c>
      <c r="I888" t="s">
        <v>48</v>
      </c>
      <c r="J888">
        <v>1</v>
      </c>
      <c r="K888">
        <v>21</v>
      </c>
      <c r="L888">
        <v>3</v>
      </c>
      <c r="M888">
        <v>1073299</v>
      </c>
      <c r="N888">
        <v>3219897</v>
      </c>
      <c r="O888">
        <v>2588400</v>
      </c>
      <c r="P888">
        <v>631497</v>
      </c>
    </row>
    <row r="889" spans="1:16" x14ac:dyDescent="0.3">
      <c r="A889">
        <v>1888</v>
      </c>
      <c r="B889" t="s">
        <v>545</v>
      </c>
      <c r="C889">
        <v>2023</v>
      </c>
      <c r="D889" t="s">
        <v>17</v>
      </c>
      <c r="E889" t="s">
        <v>25</v>
      </c>
      <c r="F889" t="s">
        <v>84</v>
      </c>
      <c r="G889" t="s">
        <v>59</v>
      </c>
      <c r="H889" t="s">
        <v>52</v>
      </c>
      <c r="I889" t="s">
        <v>22</v>
      </c>
      <c r="J889">
        <v>1.2</v>
      </c>
      <c r="K889">
        <v>21</v>
      </c>
      <c r="L889">
        <v>7</v>
      </c>
      <c r="M889">
        <v>1229310</v>
      </c>
      <c r="N889">
        <v>8605170</v>
      </c>
      <c r="O889">
        <v>6975251</v>
      </c>
      <c r="P889">
        <v>1629919</v>
      </c>
    </row>
    <row r="890" spans="1:16" x14ac:dyDescent="0.3">
      <c r="A890">
        <v>1889</v>
      </c>
      <c r="B890" t="s">
        <v>596</v>
      </c>
      <c r="C890">
        <v>2023</v>
      </c>
      <c r="D890" t="s">
        <v>74</v>
      </c>
      <c r="E890" t="s">
        <v>18</v>
      </c>
      <c r="F890" t="s">
        <v>19</v>
      </c>
      <c r="G890" t="s">
        <v>59</v>
      </c>
      <c r="H890" t="s">
        <v>63</v>
      </c>
      <c r="I890" t="s">
        <v>22</v>
      </c>
      <c r="J890">
        <v>1</v>
      </c>
      <c r="K890">
        <v>16</v>
      </c>
      <c r="L890">
        <v>6</v>
      </c>
      <c r="M890">
        <v>1173521</v>
      </c>
      <c r="N890">
        <v>7041126</v>
      </c>
      <c r="O890">
        <v>5666498</v>
      </c>
      <c r="P890">
        <v>1374628</v>
      </c>
    </row>
    <row r="891" spans="1:16" x14ac:dyDescent="0.3">
      <c r="A891">
        <v>1890</v>
      </c>
      <c r="B891" t="s">
        <v>491</v>
      </c>
      <c r="C891">
        <v>2023</v>
      </c>
      <c r="D891" t="s">
        <v>34</v>
      </c>
      <c r="E891" t="s">
        <v>44</v>
      </c>
      <c r="F891" t="s">
        <v>92</v>
      </c>
      <c r="G891" t="s">
        <v>20</v>
      </c>
      <c r="H891" t="s">
        <v>100</v>
      </c>
      <c r="I891" t="s">
        <v>22</v>
      </c>
      <c r="J891">
        <v>1</v>
      </c>
      <c r="K891">
        <v>21</v>
      </c>
      <c r="L891">
        <v>2</v>
      </c>
      <c r="M891">
        <v>1016058</v>
      </c>
      <c r="N891">
        <v>2032116</v>
      </c>
      <c r="O891">
        <v>1667401</v>
      </c>
      <c r="P891">
        <v>364715</v>
      </c>
    </row>
    <row r="892" spans="1:16" x14ac:dyDescent="0.3">
      <c r="A892">
        <v>1891</v>
      </c>
      <c r="B892" t="s">
        <v>597</v>
      </c>
      <c r="C892">
        <v>2023</v>
      </c>
      <c r="D892" t="s">
        <v>29</v>
      </c>
      <c r="E892" t="s">
        <v>44</v>
      </c>
      <c r="F892" t="s">
        <v>62</v>
      </c>
      <c r="G892" t="s">
        <v>90</v>
      </c>
      <c r="H892" t="s">
        <v>79</v>
      </c>
      <c r="I892" t="s">
        <v>48</v>
      </c>
      <c r="J892">
        <v>2</v>
      </c>
      <c r="K892">
        <v>23</v>
      </c>
      <c r="L892">
        <v>5</v>
      </c>
      <c r="M892">
        <v>706631</v>
      </c>
      <c r="N892">
        <v>3533155</v>
      </c>
      <c r="O892">
        <v>2760528</v>
      </c>
      <c r="P892">
        <v>772627</v>
      </c>
    </row>
    <row r="893" spans="1:16" x14ac:dyDescent="0.3">
      <c r="A893">
        <v>1892</v>
      </c>
      <c r="B893" t="s">
        <v>419</v>
      </c>
      <c r="C893">
        <v>2024</v>
      </c>
      <c r="D893" t="s">
        <v>39</v>
      </c>
      <c r="E893" t="s">
        <v>18</v>
      </c>
      <c r="F893" t="s">
        <v>19</v>
      </c>
      <c r="G893" t="s">
        <v>46</v>
      </c>
      <c r="H893" t="s">
        <v>21</v>
      </c>
      <c r="I893" t="s">
        <v>22</v>
      </c>
      <c r="J893">
        <v>1</v>
      </c>
      <c r="K893">
        <v>20</v>
      </c>
      <c r="L893">
        <v>6</v>
      </c>
      <c r="M893">
        <v>1055016</v>
      </c>
      <c r="N893">
        <v>6330096</v>
      </c>
      <c r="O893">
        <v>4981849</v>
      </c>
      <c r="P893">
        <v>1348247</v>
      </c>
    </row>
    <row r="894" spans="1:16" x14ac:dyDescent="0.3">
      <c r="A894">
        <v>1893</v>
      </c>
      <c r="B894" t="s">
        <v>543</v>
      </c>
      <c r="C894">
        <v>2023</v>
      </c>
      <c r="D894" t="s">
        <v>97</v>
      </c>
      <c r="E894" t="s">
        <v>40</v>
      </c>
      <c r="F894" t="s">
        <v>68</v>
      </c>
      <c r="G894" t="s">
        <v>36</v>
      </c>
      <c r="H894" t="s">
        <v>21</v>
      </c>
      <c r="I894" t="s">
        <v>22</v>
      </c>
      <c r="J894">
        <v>2</v>
      </c>
      <c r="K894">
        <v>20</v>
      </c>
      <c r="L894">
        <v>2</v>
      </c>
      <c r="M894">
        <v>1322009</v>
      </c>
      <c r="N894">
        <v>2644018</v>
      </c>
      <c r="O894">
        <v>2161529</v>
      </c>
      <c r="P894">
        <v>482489</v>
      </c>
    </row>
    <row r="895" spans="1:16" x14ac:dyDescent="0.3">
      <c r="A895">
        <v>1894</v>
      </c>
      <c r="B895" t="s">
        <v>322</v>
      </c>
      <c r="C895">
        <v>2024</v>
      </c>
      <c r="D895" t="s">
        <v>50</v>
      </c>
      <c r="E895" t="s">
        <v>18</v>
      </c>
      <c r="F895" t="s">
        <v>107</v>
      </c>
      <c r="G895" t="s">
        <v>27</v>
      </c>
      <c r="H895" t="s">
        <v>56</v>
      </c>
      <c r="I895" t="s">
        <v>48</v>
      </c>
      <c r="J895">
        <v>1</v>
      </c>
      <c r="K895">
        <v>19</v>
      </c>
      <c r="L895">
        <v>8</v>
      </c>
      <c r="M895">
        <v>1305057</v>
      </c>
      <c r="N895">
        <v>10440456</v>
      </c>
      <c r="O895">
        <v>8926755</v>
      </c>
      <c r="P895">
        <v>1513701</v>
      </c>
    </row>
    <row r="896" spans="1:16" x14ac:dyDescent="0.3">
      <c r="A896">
        <v>1895</v>
      </c>
      <c r="B896" t="s">
        <v>156</v>
      </c>
      <c r="C896">
        <v>2024</v>
      </c>
      <c r="D896" t="s">
        <v>24</v>
      </c>
      <c r="E896" t="s">
        <v>18</v>
      </c>
      <c r="F896" t="s">
        <v>107</v>
      </c>
      <c r="G896" t="s">
        <v>20</v>
      </c>
      <c r="H896" t="s">
        <v>79</v>
      </c>
      <c r="I896" t="s">
        <v>48</v>
      </c>
      <c r="J896">
        <v>1</v>
      </c>
      <c r="K896">
        <v>19</v>
      </c>
      <c r="L896">
        <v>4</v>
      </c>
      <c r="M896">
        <v>629104</v>
      </c>
      <c r="N896">
        <v>2516416</v>
      </c>
      <c r="O896">
        <v>1972495</v>
      </c>
      <c r="P896">
        <v>543921</v>
      </c>
    </row>
    <row r="897" spans="1:16" x14ac:dyDescent="0.3">
      <c r="A897">
        <v>1896</v>
      </c>
      <c r="B897" t="s">
        <v>312</v>
      </c>
      <c r="C897">
        <v>2024</v>
      </c>
      <c r="D897" t="s">
        <v>34</v>
      </c>
      <c r="E897" t="s">
        <v>44</v>
      </c>
      <c r="F897" t="s">
        <v>62</v>
      </c>
      <c r="G897" t="s">
        <v>20</v>
      </c>
      <c r="H897" t="s">
        <v>100</v>
      </c>
      <c r="I897" t="s">
        <v>22</v>
      </c>
      <c r="J897">
        <v>1.5</v>
      </c>
      <c r="K897">
        <v>20</v>
      </c>
      <c r="L897">
        <v>6</v>
      </c>
      <c r="M897">
        <v>896080</v>
      </c>
      <c r="N897">
        <v>5376480</v>
      </c>
      <c r="O897">
        <v>4457962</v>
      </c>
      <c r="P897">
        <v>918518</v>
      </c>
    </row>
    <row r="898" spans="1:16" x14ac:dyDescent="0.3">
      <c r="A898">
        <v>1897</v>
      </c>
      <c r="B898" t="s">
        <v>533</v>
      </c>
      <c r="C898">
        <v>2024</v>
      </c>
      <c r="D898" t="s">
        <v>17</v>
      </c>
      <c r="E898" t="s">
        <v>25</v>
      </c>
      <c r="F898" t="s">
        <v>77</v>
      </c>
      <c r="G898" t="s">
        <v>30</v>
      </c>
      <c r="H898" t="s">
        <v>37</v>
      </c>
      <c r="I898" t="s">
        <v>32</v>
      </c>
      <c r="J898">
        <v>2</v>
      </c>
      <c r="K898">
        <v>21</v>
      </c>
      <c r="L898">
        <v>7</v>
      </c>
      <c r="M898">
        <v>1479411</v>
      </c>
      <c r="N898">
        <v>10355877</v>
      </c>
      <c r="O898">
        <v>9016417</v>
      </c>
      <c r="P898">
        <v>1339460</v>
      </c>
    </row>
    <row r="899" spans="1:16" x14ac:dyDescent="0.3">
      <c r="A899">
        <v>1898</v>
      </c>
      <c r="B899" t="s">
        <v>121</v>
      </c>
      <c r="C899">
        <v>2023</v>
      </c>
      <c r="D899" t="s">
        <v>67</v>
      </c>
      <c r="E899" t="s">
        <v>40</v>
      </c>
      <c r="F899" t="s">
        <v>68</v>
      </c>
      <c r="G899" t="s">
        <v>46</v>
      </c>
      <c r="H899" t="s">
        <v>100</v>
      </c>
      <c r="I899" t="s">
        <v>22</v>
      </c>
      <c r="J899">
        <v>1.2</v>
      </c>
      <c r="K899">
        <v>23</v>
      </c>
      <c r="L899">
        <v>7</v>
      </c>
      <c r="M899">
        <v>1486212</v>
      </c>
      <c r="N899">
        <v>10403484</v>
      </c>
      <c r="O899">
        <v>8388722</v>
      </c>
      <c r="P899">
        <v>2014762</v>
      </c>
    </row>
    <row r="900" spans="1:16" x14ac:dyDescent="0.3">
      <c r="A900">
        <v>1899</v>
      </c>
      <c r="B900" t="s">
        <v>335</v>
      </c>
      <c r="C900">
        <v>2023</v>
      </c>
      <c r="D900" t="s">
        <v>61</v>
      </c>
      <c r="E900" t="s">
        <v>25</v>
      </c>
      <c r="F900" t="s">
        <v>77</v>
      </c>
      <c r="G900" t="s">
        <v>59</v>
      </c>
      <c r="H900" t="s">
        <v>79</v>
      </c>
      <c r="I900" t="s">
        <v>48</v>
      </c>
      <c r="J900">
        <v>1.5</v>
      </c>
      <c r="K900">
        <v>20</v>
      </c>
      <c r="L900">
        <v>4</v>
      </c>
      <c r="M900">
        <v>1384488</v>
      </c>
      <c r="N900">
        <v>5537952</v>
      </c>
      <c r="O900">
        <v>4815652</v>
      </c>
      <c r="P900">
        <v>722300</v>
      </c>
    </row>
    <row r="901" spans="1:16" x14ac:dyDescent="0.3">
      <c r="A901">
        <v>1900</v>
      </c>
      <c r="B901" t="s">
        <v>355</v>
      </c>
      <c r="C901">
        <v>2023</v>
      </c>
      <c r="D901" t="s">
        <v>97</v>
      </c>
      <c r="E901" t="s">
        <v>18</v>
      </c>
      <c r="F901" t="s">
        <v>35</v>
      </c>
      <c r="G901" t="s">
        <v>30</v>
      </c>
      <c r="H901" t="s">
        <v>52</v>
      </c>
      <c r="I901" t="s">
        <v>22</v>
      </c>
      <c r="J901">
        <v>1</v>
      </c>
      <c r="K901">
        <v>22</v>
      </c>
      <c r="L901">
        <v>4</v>
      </c>
      <c r="M901">
        <v>613908</v>
      </c>
      <c r="N901">
        <v>2455632</v>
      </c>
      <c r="O901">
        <v>1978622</v>
      </c>
      <c r="P901">
        <v>477010</v>
      </c>
    </row>
    <row r="902" spans="1:16" x14ac:dyDescent="0.3">
      <c r="A902">
        <v>1901</v>
      </c>
      <c r="B902" t="s">
        <v>598</v>
      </c>
      <c r="C902">
        <v>2023</v>
      </c>
      <c r="D902" t="s">
        <v>97</v>
      </c>
      <c r="E902" t="s">
        <v>40</v>
      </c>
      <c r="F902" t="s">
        <v>41</v>
      </c>
      <c r="G902" t="s">
        <v>90</v>
      </c>
      <c r="H902" t="s">
        <v>47</v>
      </c>
      <c r="I902" t="s">
        <v>48</v>
      </c>
      <c r="J902">
        <v>2</v>
      </c>
      <c r="K902">
        <v>23</v>
      </c>
      <c r="L902">
        <v>6</v>
      </c>
      <c r="M902">
        <v>814528</v>
      </c>
      <c r="N902">
        <v>4887168</v>
      </c>
      <c r="O902">
        <v>3982403</v>
      </c>
      <c r="P902">
        <v>904765</v>
      </c>
    </row>
    <row r="903" spans="1:16" x14ac:dyDescent="0.3">
      <c r="A903">
        <v>1902</v>
      </c>
      <c r="B903" t="s">
        <v>242</v>
      </c>
      <c r="C903">
        <v>2024</v>
      </c>
      <c r="D903" t="s">
        <v>97</v>
      </c>
      <c r="E903" t="s">
        <v>40</v>
      </c>
      <c r="F903" t="s">
        <v>120</v>
      </c>
      <c r="G903" t="s">
        <v>36</v>
      </c>
      <c r="H903" t="s">
        <v>52</v>
      </c>
      <c r="I903" t="s">
        <v>22</v>
      </c>
      <c r="J903">
        <v>1.5</v>
      </c>
      <c r="K903">
        <v>19</v>
      </c>
      <c r="L903">
        <v>4</v>
      </c>
      <c r="M903">
        <v>978736</v>
      </c>
      <c r="N903">
        <v>3914944</v>
      </c>
      <c r="O903">
        <v>3326280</v>
      </c>
      <c r="P903">
        <v>588664</v>
      </c>
    </row>
    <row r="904" spans="1:16" x14ac:dyDescent="0.3">
      <c r="A904">
        <v>1903</v>
      </c>
      <c r="B904" t="s">
        <v>117</v>
      </c>
      <c r="C904">
        <v>2023</v>
      </c>
      <c r="D904" t="s">
        <v>43</v>
      </c>
      <c r="E904" t="s">
        <v>44</v>
      </c>
      <c r="F904" t="s">
        <v>62</v>
      </c>
      <c r="G904" t="s">
        <v>51</v>
      </c>
      <c r="H904" t="s">
        <v>31</v>
      </c>
      <c r="I904" t="s">
        <v>32</v>
      </c>
      <c r="J904">
        <v>1</v>
      </c>
      <c r="K904">
        <v>16</v>
      </c>
      <c r="L904">
        <v>7</v>
      </c>
      <c r="M904">
        <v>1019678</v>
      </c>
      <c r="N904">
        <v>7137746</v>
      </c>
      <c r="O904">
        <v>5430987</v>
      </c>
      <c r="P904">
        <v>1706759</v>
      </c>
    </row>
    <row r="905" spans="1:16" x14ac:dyDescent="0.3">
      <c r="A905">
        <v>1904</v>
      </c>
      <c r="B905" t="s">
        <v>599</v>
      </c>
      <c r="C905">
        <v>2024</v>
      </c>
      <c r="D905" t="s">
        <v>39</v>
      </c>
      <c r="E905" t="s">
        <v>25</v>
      </c>
      <c r="F905" t="s">
        <v>58</v>
      </c>
      <c r="G905" t="s">
        <v>27</v>
      </c>
      <c r="H905" t="s">
        <v>54</v>
      </c>
      <c r="I905" t="s">
        <v>48</v>
      </c>
      <c r="J905">
        <v>2</v>
      </c>
      <c r="K905">
        <v>21</v>
      </c>
      <c r="L905">
        <v>8</v>
      </c>
      <c r="M905">
        <v>1259362</v>
      </c>
      <c r="N905">
        <v>10074896</v>
      </c>
      <c r="O905">
        <v>8362961</v>
      </c>
      <c r="P905">
        <v>1711935</v>
      </c>
    </row>
    <row r="906" spans="1:16" x14ac:dyDescent="0.3">
      <c r="A906">
        <v>1905</v>
      </c>
      <c r="B906" t="s">
        <v>542</v>
      </c>
      <c r="C906">
        <v>2023</v>
      </c>
      <c r="D906" t="s">
        <v>43</v>
      </c>
      <c r="E906" t="s">
        <v>25</v>
      </c>
      <c r="F906" t="s">
        <v>84</v>
      </c>
      <c r="G906" t="s">
        <v>51</v>
      </c>
      <c r="H906" t="s">
        <v>56</v>
      </c>
      <c r="I906" t="s">
        <v>48</v>
      </c>
      <c r="J906">
        <v>2</v>
      </c>
      <c r="K906">
        <v>16</v>
      </c>
      <c r="L906">
        <v>5</v>
      </c>
      <c r="M906">
        <v>1141382</v>
      </c>
      <c r="N906">
        <v>5706910</v>
      </c>
      <c r="O906">
        <v>4475899</v>
      </c>
      <c r="P906">
        <v>1231011</v>
      </c>
    </row>
    <row r="907" spans="1:16" x14ac:dyDescent="0.3">
      <c r="A907">
        <v>1906</v>
      </c>
      <c r="B907" t="s">
        <v>510</v>
      </c>
      <c r="C907">
        <v>2024</v>
      </c>
      <c r="D907" t="s">
        <v>17</v>
      </c>
      <c r="E907" t="s">
        <v>18</v>
      </c>
      <c r="F907" t="s">
        <v>107</v>
      </c>
      <c r="G907" t="s">
        <v>27</v>
      </c>
      <c r="H907" t="s">
        <v>47</v>
      </c>
      <c r="I907" t="s">
        <v>48</v>
      </c>
      <c r="J907">
        <v>2</v>
      </c>
      <c r="K907">
        <v>21</v>
      </c>
      <c r="L907">
        <v>8</v>
      </c>
      <c r="M907">
        <v>733470</v>
      </c>
      <c r="N907">
        <v>5867760</v>
      </c>
      <c r="O907">
        <v>5111153</v>
      </c>
      <c r="P907">
        <v>756607</v>
      </c>
    </row>
    <row r="908" spans="1:16" x14ac:dyDescent="0.3">
      <c r="A908">
        <v>1907</v>
      </c>
      <c r="B908" t="s">
        <v>65</v>
      </c>
      <c r="C908">
        <v>2023</v>
      </c>
      <c r="D908" t="s">
        <v>17</v>
      </c>
      <c r="E908" t="s">
        <v>25</v>
      </c>
      <c r="F908" t="s">
        <v>58</v>
      </c>
      <c r="G908" t="s">
        <v>30</v>
      </c>
      <c r="H908" t="s">
        <v>47</v>
      </c>
      <c r="I908" t="s">
        <v>48</v>
      </c>
      <c r="J908">
        <v>1.2</v>
      </c>
      <c r="K908">
        <v>18</v>
      </c>
      <c r="L908">
        <v>6</v>
      </c>
      <c r="M908">
        <v>759741</v>
      </c>
      <c r="N908">
        <v>4558446</v>
      </c>
      <c r="O908">
        <v>3533558</v>
      </c>
      <c r="P908">
        <v>1024888</v>
      </c>
    </row>
    <row r="909" spans="1:16" x14ac:dyDescent="0.3">
      <c r="A909">
        <v>1908</v>
      </c>
      <c r="B909" t="s">
        <v>600</v>
      </c>
      <c r="C909">
        <v>2024</v>
      </c>
      <c r="D909" t="s">
        <v>50</v>
      </c>
      <c r="E909" t="s">
        <v>44</v>
      </c>
      <c r="F909" t="s">
        <v>62</v>
      </c>
      <c r="G909" t="s">
        <v>27</v>
      </c>
      <c r="H909" t="s">
        <v>37</v>
      </c>
      <c r="I909" t="s">
        <v>32</v>
      </c>
      <c r="J909">
        <v>1</v>
      </c>
      <c r="K909">
        <v>16</v>
      </c>
      <c r="L909">
        <v>3</v>
      </c>
      <c r="M909">
        <v>926126</v>
      </c>
      <c r="N909">
        <v>2778378</v>
      </c>
      <c r="O909">
        <v>2307660</v>
      </c>
      <c r="P909">
        <v>470718</v>
      </c>
    </row>
    <row r="910" spans="1:16" x14ac:dyDescent="0.3">
      <c r="A910">
        <v>1909</v>
      </c>
      <c r="B910" t="s">
        <v>23</v>
      </c>
      <c r="C910">
        <v>2023</v>
      </c>
      <c r="D910" t="s">
        <v>24</v>
      </c>
      <c r="E910" t="s">
        <v>25</v>
      </c>
      <c r="F910" t="s">
        <v>77</v>
      </c>
      <c r="G910" t="s">
        <v>90</v>
      </c>
      <c r="H910" t="s">
        <v>100</v>
      </c>
      <c r="I910" t="s">
        <v>22</v>
      </c>
      <c r="J910">
        <v>1.5</v>
      </c>
      <c r="K910">
        <v>20</v>
      </c>
      <c r="L910">
        <v>1</v>
      </c>
      <c r="M910">
        <v>773341</v>
      </c>
      <c r="N910">
        <v>773341</v>
      </c>
      <c r="O910">
        <v>609321</v>
      </c>
      <c r="P910">
        <v>164020</v>
      </c>
    </row>
    <row r="911" spans="1:16" x14ac:dyDescent="0.3">
      <c r="A911">
        <v>1910</v>
      </c>
      <c r="B911" t="s">
        <v>601</v>
      </c>
      <c r="C911">
        <v>2023</v>
      </c>
      <c r="D911" t="s">
        <v>24</v>
      </c>
      <c r="E911" t="s">
        <v>25</v>
      </c>
      <c r="F911" t="s">
        <v>84</v>
      </c>
      <c r="G911" t="s">
        <v>36</v>
      </c>
      <c r="H911" t="s">
        <v>79</v>
      </c>
      <c r="I911" t="s">
        <v>48</v>
      </c>
      <c r="J911">
        <v>1.5</v>
      </c>
      <c r="K911">
        <v>21</v>
      </c>
      <c r="L911">
        <v>5</v>
      </c>
      <c r="M911">
        <v>1159278</v>
      </c>
      <c r="N911">
        <v>5796390</v>
      </c>
      <c r="O911">
        <v>4547270</v>
      </c>
      <c r="P911">
        <v>1249120</v>
      </c>
    </row>
    <row r="912" spans="1:16" x14ac:dyDescent="0.3">
      <c r="A912">
        <v>1911</v>
      </c>
      <c r="B912" t="s">
        <v>602</v>
      </c>
      <c r="C912">
        <v>2023</v>
      </c>
      <c r="D912" t="s">
        <v>61</v>
      </c>
      <c r="E912" t="s">
        <v>25</v>
      </c>
      <c r="F912" t="s">
        <v>84</v>
      </c>
      <c r="G912" t="s">
        <v>90</v>
      </c>
      <c r="H912" t="s">
        <v>52</v>
      </c>
      <c r="I912" t="s">
        <v>22</v>
      </c>
      <c r="J912">
        <v>1.2</v>
      </c>
      <c r="K912">
        <v>16</v>
      </c>
      <c r="L912">
        <v>4</v>
      </c>
      <c r="M912">
        <v>1380438</v>
      </c>
      <c r="N912">
        <v>5521752</v>
      </c>
      <c r="O912">
        <v>4624370</v>
      </c>
      <c r="P912">
        <v>897382</v>
      </c>
    </row>
    <row r="913" spans="1:16" x14ac:dyDescent="0.3">
      <c r="A913">
        <v>1912</v>
      </c>
      <c r="B913" t="s">
        <v>395</v>
      </c>
      <c r="C913">
        <v>2023</v>
      </c>
      <c r="D913" t="s">
        <v>43</v>
      </c>
      <c r="E913" t="s">
        <v>25</v>
      </c>
      <c r="F913" t="s">
        <v>58</v>
      </c>
      <c r="G913" t="s">
        <v>36</v>
      </c>
      <c r="H913" t="s">
        <v>54</v>
      </c>
      <c r="I913" t="s">
        <v>48</v>
      </c>
      <c r="J913">
        <v>1.5</v>
      </c>
      <c r="K913">
        <v>16</v>
      </c>
      <c r="L913">
        <v>6</v>
      </c>
      <c r="M913">
        <v>656220</v>
      </c>
      <c r="N913">
        <v>3937320</v>
      </c>
      <c r="O913">
        <v>3295057</v>
      </c>
      <c r="P913">
        <v>642263</v>
      </c>
    </row>
    <row r="914" spans="1:16" x14ac:dyDescent="0.3">
      <c r="A914">
        <v>1913</v>
      </c>
      <c r="B914" t="s">
        <v>456</v>
      </c>
      <c r="C914">
        <v>2024</v>
      </c>
      <c r="D914" t="s">
        <v>61</v>
      </c>
      <c r="E914" t="s">
        <v>18</v>
      </c>
      <c r="F914" t="s">
        <v>35</v>
      </c>
      <c r="G914" t="s">
        <v>90</v>
      </c>
      <c r="H914" t="s">
        <v>21</v>
      </c>
      <c r="I914" t="s">
        <v>22</v>
      </c>
      <c r="J914">
        <v>1.5</v>
      </c>
      <c r="K914">
        <v>23</v>
      </c>
      <c r="L914">
        <v>8</v>
      </c>
      <c r="M914">
        <v>972054</v>
      </c>
      <c r="N914">
        <v>7776432</v>
      </c>
      <c r="O914">
        <v>6037678</v>
      </c>
      <c r="P914">
        <v>1738754</v>
      </c>
    </row>
    <row r="915" spans="1:16" x14ac:dyDescent="0.3">
      <c r="A915">
        <v>1914</v>
      </c>
      <c r="B915" t="s">
        <v>333</v>
      </c>
      <c r="C915">
        <v>2023</v>
      </c>
      <c r="D915" t="s">
        <v>67</v>
      </c>
      <c r="E915" t="s">
        <v>25</v>
      </c>
      <c r="F915" t="s">
        <v>84</v>
      </c>
      <c r="G915" t="s">
        <v>59</v>
      </c>
      <c r="H915" t="s">
        <v>31</v>
      </c>
      <c r="I915" t="s">
        <v>32</v>
      </c>
      <c r="J915">
        <v>2</v>
      </c>
      <c r="K915">
        <v>22</v>
      </c>
      <c r="L915">
        <v>3</v>
      </c>
      <c r="M915">
        <v>1069406</v>
      </c>
      <c r="N915">
        <v>3208218</v>
      </c>
      <c r="O915">
        <v>2793434</v>
      </c>
      <c r="P915">
        <v>414784</v>
      </c>
    </row>
    <row r="916" spans="1:16" x14ac:dyDescent="0.3">
      <c r="A916">
        <v>1915</v>
      </c>
      <c r="B916" t="s">
        <v>143</v>
      </c>
      <c r="C916">
        <v>2024</v>
      </c>
      <c r="D916" t="s">
        <v>43</v>
      </c>
      <c r="E916" t="s">
        <v>44</v>
      </c>
      <c r="F916" t="s">
        <v>62</v>
      </c>
      <c r="G916" t="s">
        <v>59</v>
      </c>
      <c r="H916" t="s">
        <v>21</v>
      </c>
      <c r="I916" t="s">
        <v>22</v>
      </c>
      <c r="J916">
        <v>1</v>
      </c>
      <c r="K916">
        <v>18</v>
      </c>
      <c r="L916">
        <v>5</v>
      </c>
      <c r="M916">
        <v>764552</v>
      </c>
      <c r="N916">
        <v>3822760</v>
      </c>
      <c r="O916">
        <v>3283378</v>
      </c>
      <c r="P916">
        <v>539382</v>
      </c>
    </row>
    <row r="917" spans="1:16" x14ac:dyDescent="0.3">
      <c r="A917">
        <v>1916</v>
      </c>
      <c r="B917" t="s">
        <v>227</v>
      </c>
      <c r="C917">
        <v>2023</v>
      </c>
      <c r="D917" t="s">
        <v>74</v>
      </c>
      <c r="E917" t="s">
        <v>25</v>
      </c>
      <c r="F917" t="s">
        <v>84</v>
      </c>
      <c r="G917" t="s">
        <v>27</v>
      </c>
      <c r="H917" t="s">
        <v>21</v>
      </c>
      <c r="I917" t="s">
        <v>22</v>
      </c>
      <c r="J917">
        <v>2</v>
      </c>
      <c r="K917">
        <v>20</v>
      </c>
      <c r="L917">
        <v>4</v>
      </c>
      <c r="M917">
        <v>1050319</v>
      </c>
      <c r="N917">
        <v>4201276</v>
      </c>
      <c r="O917">
        <v>3715284</v>
      </c>
      <c r="P917">
        <v>485992</v>
      </c>
    </row>
    <row r="918" spans="1:16" x14ac:dyDescent="0.3">
      <c r="A918">
        <v>1917</v>
      </c>
      <c r="B918" t="s">
        <v>545</v>
      </c>
      <c r="C918">
        <v>2023</v>
      </c>
      <c r="D918" t="s">
        <v>17</v>
      </c>
      <c r="E918" t="s">
        <v>18</v>
      </c>
      <c r="F918" t="s">
        <v>19</v>
      </c>
      <c r="G918" t="s">
        <v>30</v>
      </c>
      <c r="H918" t="s">
        <v>47</v>
      </c>
      <c r="I918" t="s">
        <v>48</v>
      </c>
      <c r="J918">
        <v>1.2</v>
      </c>
      <c r="K918">
        <v>20</v>
      </c>
      <c r="L918">
        <v>2</v>
      </c>
      <c r="M918">
        <v>708108</v>
      </c>
      <c r="N918">
        <v>1416216</v>
      </c>
      <c r="O918">
        <v>1238609</v>
      </c>
      <c r="P918">
        <v>177607</v>
      </c>
    </row>
    <row r="919" spans="1:16" x14ac:dyDescent="0.3">
      <c r="A919">
        <v>1918</v>
      </c>
      <c r="B919" t="s">
        <v>187</v>
      </c>
      <c r="C919">
        <v>2024</v>
      </c>
      <c r="D919" t="s">
        <v>74</v>
      </c>
      <c r="E919" t="s">
        <v>40</v>
      </c>
      <c r="F919" t="s">
        <v>104</v>
      </c>
      <c r="G919" t="s">
        <v>51</v>
      </c>
      <c r="H919" t="s">
        <v>47</v>
      </c>
      <c r="I919" t="s">
        <v>48</v>
      </c>
      <c r="J919">
        <v>2</v>
      </c>
      <c r="K919">
        <v>19</v>
      </c>
      <c r="L919">
        <v>8</v>
      </c>
      <c r="M919">
        <v>1182847</v>
      </c>
      <c r="N919">
        <v>9462776</v>
      </c>
      <c r="O919">
        <v>7665981</v>
      </c>
      <c r="P919">
        <v>1796795</v>
      </c>
    </row>
    <row r="920" spans="1:16" x14ac:dyDescent="0.3">
      <c r="A920">
        <v>1919</v>
      </c>
      <c r="B920" t="s">
        <v>522</v>
      </c>
      <c r="C920">
        <v>2024</v>
      </c>
      <c r="D920" t="s">
        <v>74</v>
      </c>
      <c r="E920" t="s">
        <v>40</v>
      </c>
      <c r="F920" t="s">
        <v>68</v>
      </c>
      <c r="G920" t="s">
        <v>36</v>
      </c>
      <c r="H920" t="s">
        <v>100</v>
      </c>
      <c r="I920" t="s">
        <v>22</v>
      </c>
      <c r="J920">
        <v>2</v>
      </c>
      <c r="K920">
        <v>18</v>
      </c>
      <c r="L920">
        <v>1</v>
      </c>
      <c r="M920">
        <v>1081216</v>
      </c>
      <c r="N920">
        <v>1081216</v>
      </c>
      <c r="O920">
        <v>925899</v>
      </c>
      <c r="P920">
        <v>155317</v>
      </c>
    </row>
    <row r="921" spans="1:16" x14ac:dyDescent="0.3">
      <c r="A921">
        <v>1920</v>
      </c>
      <c r="B921" t="s">
        <v>603</v>
      </c>
      <c r="C921">
        <v>2024</v>
      </c>
      <c r="D921" t="s">
        <v>29</v>
      </c>
      <c r="E921" t="s">
        <v>25</v>
      </c>
      <c r="F921" t="s">
        <v>26</v>
      </c>
      <c r="G921" t="s">
        <v>36</v>
      </c>
      <c r="H921" t="s">
        <v>52</v>
      </c>
      <c r="I921" t="s">
        <v>22</v>
      </c>
      <c r="J921">
        <v>1</v>
      </c>
      <c r="K921">
        <v>20</v>
      </c>
      <c r="L921">
        <v>2</v>
      </c>
      <c r="M921">
        <v>634540</v>
      </c>
      <c r="N921">
        <v>1269080</v>
      </c>
      <c r="O921">
        <v>963666</v>
      </c>
      <c r="P921">
        <v>305414</v>
      </c>
    </row>
    <row r="922" spans="1:16" x14ac:dyDescent="0.3">
      <c r="A922">
        <v>1921</v>
      </c>
      <c r="B922" t="s">
        <v>78</v>
      </c>
      <c r="C922">
        <v>2024</v>
      </c>
      <c r="D922" t="s">
        <v>67</v>
      </c>
      <c r="E922" t="s">
        <v>25</v>
      </c>
      <c r="F922" t="s">
        <v>58</v>
      </c>
      <c r="G922" t="s">
        <v>36</v>
      </c>
      <c r="H922" t="s">
        <v>47</v>
      </c>
      <c r="I922" t="s">
        <v>48</v>
      </c>
      <c r="J922">
        <v>2</v>
      </c>
      <c r="K922">
        <v>18</v>
      </c>
      <c r="L922">
        <v>7</v>
      </c>
      <c r="M922">
        <v>1117764</v>
      </c>
      <c r="N922">
        <v>7824348</v>
      </c>
      <c r="O922">
        <v>6901373</v>
      </c>
      <c r="P922">
        <v>922975</v>
      </c>
    </row>
    <row r="923" spans="1:16" x14ac:dyDescent="0.3">
      <c r="A923">
        <v>1922</v>
      </c>
      <c r="B923" t="s">
        <v>584</v>
      </c>
      <c r="C923">
        <v>2023</v>
      </c>
      <c r="D923" t="s">
        <v>61</v>
      </c>
      <c r="E923" t="s">
        <v>40</v>
      </c>
      <c r="F923" t="s">
        <v>104</v>
      </c>
      <c r="G923" t="s">
        <v>30</v>
      </c>
      <c r="H923" t="s">
        <v>31</v>
      </c>
      <c r="I923" t="s">
        <v>32</v>
      </c>
      <c r="J923">
        <v>1</v>
      </c>
      <c r="K923">
        <v>23</v>
      </c>
      <c r="L923">
        <v>8</v>
      </c>
      <c r="M923">
        <v>1104788</v>
      </c>
      <c r="N923">
        <v>8838304</v>
      </c>
      <c r="O923">
        <v>6652265</v>
      </c>
      <c r="P923">
        <v>2186039</v>
      </c>
    </row>
    <row r="924" spans="1:16" x14ac:dyDescent="0.3">
      <c r="A924">
        <v>1923</v>
      </c>
      <c r="B924" t="s">
        <v>304</v>
      </c>
      <c r="C924">
        <v>2023</v>
      </c>
      <c r="D924" t="s">
        <v>61</v>
      </c>
      <c r="E924" t="s">
        <v>25</v>
      </c>
      <c r="F924" t="s">
        <v>77</v>
      </c>
      <c r="G924" t="s">
        <v>90</v>
      </c>
      <c r="H924" t="s">
        <v>21</v>
      </c>
      <c r="I924" t="s">
        <v>22</v>
      </c>
      <c r="J924">
        <v>1.5</v>
      </c>
      <c r="K924">
        <v>19</v>
      </c>
      <c r="L924">
        <v>4</v>
      </c>
      <c r="M924">
        <v>1212326</v>
      </c>
      <c r="N924">
        <v>4849304</v>
      </c>
      <c r="O924">
        <v>4103950</v>
      </c>
      <c r="P924">
        <v>745354</v>
      </c>
    </row>
    <row r="925" spans="1:16" x14ac:dyDescent="0.3">
      <c r="A925">
        <v>1924</v>
      </c>
      <c r="B925" t="s">
        <v>111</v>
      </c>
      <c r="C925">
        <v>2024</v>
      </c>
      <c r="D925" t="s">
        <v>39</v>
      </c>
      <c r="E925" t="s">
        <v>18</v>
      </c>
      <c r="F925" t="s">
        <v>19</v>
      </c>
      <c r="G925" t="s">
        <v>36</v>
      </c>
      <c r="H925" t="s">
        <v>31</v>
      </c>
      <c r="I925" t="s">
        <v>32</v>
      </c>
      <c r="J925">
        <v>1.2</v>
      </c>
      <c r="K925">
        <v>23</v>
      </c>
      <c r="L925">
        <v>6</v>
      </c>
      <c r="M925">
        <v>711879</v>
      </c>
      <c r="N925">
        <v>4271274</v>
      </c>
      <c r="O925">
        <v>3798621</v>
      </c>
      <c r="P925">
        <v>472653</v>
      </c>
    </row>
    <row r="926" spans="1:16" x14ac:dyDescent="0.3">
      <c r="A926">
        <v>1925</v>
      </c>
      <c r="B926" t="s">
        <v>604</v>
      </c>
      <c r="C926">
        <v>2023</v>
      </c>
      <c r="D926" t="s">
        <v>67</v>
      </c>
      <c r="E926" t="s">
        <v>44</v>
      </c>
      <c r="F926" t="s">
        <v>62</v>
      </c>
      <c r="G926" t="s">
        <v>59</v>
      </c>
      <c r="H926" t="s">
        <v>31</v>
      </c>
      <c r="I926" t="s">
        <v>32</v>
      </c>
      <c r="J926">
        <v>2</v>
      </c>
      <c r="K926">
        <v>16</v>
      </c>
      <c r="L926">
        <v>7</v>
      </c>
      <c r="M926">
        <v>936610</v>
      </c>
      <c r="N926">
        <v>6556270</v>
      </c>
      <c r="O926">
        <v>5007147</v>
      </c>
      <c r="P926">
        <v>1549123</v>
      </c>
    </row>
    <row r="927" spans="1:16" x14ac:dyDescent="0.3">
      <c r="A927">
        <v>1926</v>
      </c>
      <c r="B927" t="s">
        <v>141</v>
      </c>
      <c r="C927">
        <v>2023</v>
      </c>
      <c r="D927" t="s">
        <v>50</v>
      </c>
      <c r="E927" t="s">
        <v>25</v>
      </c>
      <c r="F927" t="s">
        <v>77</v>
      </c>
      <c r="G927" t="s">
        <v>46</v>
      </c>
      <c r="H927" t="s">
        <v>63</v>
      </c>
      <c r="I927" t="s">
        <v>22</v>
      </c>
      <c r="J927">
        <v>1</v>
      </c>
      <c r="K927">
        <v>18</v>
      </c>
      <c r="L927">
        <v>8</v>
      </c>
      <c r="M927">
        <v>625050</v>
      </c>
      <c r="N927">
        <v>5000400</v>
      </c>
      <c r="O927">
        <v>3795706</v>
      </c>
      <c r="P927">
        <v>1204694</v>
      </c>
    </row>
    <row r="928" spans="1:16" x14ac:dyDescent="0.3">
      <c r="A928">
        <v>1927</v>
      </c>
      <c r="B928" t="s">
        <v>605</v>
      </c>
      <c r="C928">
        <v>2024</v>
      </c>
      <c r="D928" t="s">
        <v>39</v>
      </c>
      <c r="E928" t="s">
        <v>18</v>
      </c>
      <c r="F928" t="s">
        <v>19</v>
      </c>
      <c r="G928" t="s">
        <v>30</v>
      </c>
      <c r="H928" t="s">
        <v>56</v>
      </c>
      <c r="I928" t="s">
        <v>48</v>
      </c>
      <c r="J928">
        <v>1</v>
      </c>
      <c r="K928">
        <v>18</v>
      </c>
      <c r="L928">
        <v>7</v>
      </c>
      <c r="M928">
        <v>664127</v>
      </c>
      <c r="N928">
        <v>4648889</v>
      </c>
      <c r="O928">
        <v>4139524</v>
      </c>
      <c r="P928">
        <v>509365</v>
      </c>
    </row>
    <row r="929" spans="1:16" x14ac:dyDescent="0.3">
      <c r="A929">
        <v>1928</v>
      </c>
      <c r="B929" t="s">
        <v>464</v>
      </c>
      <c r="C929">
        <v>2023</v>
      </c>
      <c r="D929" t="s">
        <v>61</v>
      </c>
      <c r="E929" t="s">
        <v>18</v>
      </c>
      <c r="F929" t="s">
        <v>19</v>
      </c>
      <c r="G929" t="s">
        <v>46</v>
      </c>
      <c r="H929" t="s">
        <v>47</v>
      </c>
      <c r="I929" t="s">
        <v>48</v>
      </c>
      <c r="J929">
        <v>2</v>
      </c>
      <c r="K929">
        <v>20</v>
      </c>
      <c r="L929">
        <v>2</v>
      </c>
      <c r="M929">
        <v>1361696</v>
      </c>
      <c r="N929">
        <v>2723392</v>
      </c>
      <c r="O929">
        <v>2205800</v>
      </c>
      <c r="P929">
        <v>517592</v>
      </c>
    </row>
    <row r="930" spans="1:16" x14ac:dyDescent="0.3">
      <c r="A930">
        <v>1929</v>
      </c>
      <c r="B930" t="s">
        <v>560</v>
      </c>
      <c r="C930">
        <v>2024</v>
      </c>
      <c r="D930" t="s">
        <v>17</v>
      </c>
      <c r="E930" t="s">
        <v>18</v>
      </c>
      <c r="F930" t="s">
        <v>35</v>
      </c>
      <c r="G930" t="s">
        <v>46</v>
      </c>
      <c r="H930" t="s">
        <v>31</v>
      </c>
      <c r="I930" t="s">
        <v>32</v>
      </c>
      <c r="J930">
        <v>1.2</v>
      </c>
      <c r="K930">
        <v>22</v>
      </c>
      <c r="L930">
        <v>6</v>
      </c>
      <c r="M930">
        <v>1279457</v>
      </c>
      <c r="N930">
        <v>7676742</v>
      </c>
      <c r="O930">
        <v>6050205</v>
      </c>
      <c r="P930">
        <v>1626537</v>
      </c>
    </row>
    <row r="931" spans="1:16" x14ac:dyDescent="0.3">
      <c r="A931">
        <v>1930</v>
      </c>
      <c r="B931" t="s">
        <v>552</v>
      </c>
      <c r="C931">
        <v>2023</v>
      </c>
      <c r="D931" t="s">
        <v>39</v>
      </c>
      <c r="E931" t="s">
        <v>44</v>
      </c>
      <c r="F931" t="s">
        <v>70</v>
      </c>
      <c r="G931" t="s">
        <v>36</v>
      </c>
      <c r="H931" t="s">
        <v>63</v>
      </c>
      <c r="I931" t="s">
        <v>22</v>
      </c>
      <c r="J931">
        <v>1.2</v>
      </c>
      <c r="K931">
        <v>16</v>
      </c>
      <c r="L931">
        <v>1</v>
      </c>
      <c r="M931">
        <v>1051479</v>
      </c>
      <c r="N931">
        <v>1051479</v>
      </c>
      <c r="O931">
        <v>942478</v>
      </c>
      <c r="P931">
        <v>109001</v>
      </c>
    </row>
    <row r="932" spans="1:16" x14ac:dyDescent="0.3">
      <c r="A932">
        <v>1931</v>
      </c>
      <c r="B932" t="s">
        <v>603</v>
      </c>
      <c r="C932">
        <v>2024</v>
      </c>
      <c r="D932" t="s">
        <v>29</v>
      </c>
      <c r="E932" t="s">
        <v>18</v>
      </c>
      <c r="F932" t="s">
        <v>35</v>
      </c>
      <c r="G932" t="s">
        <v>90</v>
      </c>
      <c r="H932" t="s">
        <v>31</v>
      </c>
      <c r="I932" t="s">
        <v>32</v>
      </c>
      <c r="J932">
        <v>1.2</v>
      </c>
      <c r="K932">
        <v>23</v>
      </c>
      <c r="L932">
        <v>2</v>
      </c>
      <c r="M932">
        <v>1182294</v>
      </c>
      <c r="N932">
        <v>2364588</v>
      </c>
      <c r="O932">
        <v>2021646</v>
      </c>
      <c r="P932">
        <v>342942</v>
      </c>
    </row>
    <row r="933" spans="1:16" x14ac:dyDescent="0.3">
      <c r="A933">
        <v>1932</v>
      </c>
      <c r="B933" t="s">
        <v>606</v>
      </c>
      <c r="C933">
        <v>2024</v>
      </c>
      <c r="D933" t="s">
        <v>76</v>
      </c>
      <c r="E933" t="s">
        <v>44</v>
      </c>
      <c r="F933" t="s">
        <v>45</v>
      </c>
      <c r="G933" t="s">
        <v>36</v>
      </c>
      <c r="H933" t="s">
        <v>47</v>
      </c>
      <c r="I933" t="s">
        <v>48</v>
      </c>
      <c r="J933">
        <v>1.2</v>
      </c>
      <c r="K933">
        <v>16</v>
      </c>
      <c r="L933">
        <v>5</v>
      </c>
      <c r="M933">
        <v>861560</v>
      </c>
      <c r="N933">
        <v>4307800</v>
      </c>
      <c r="O933">
        <v>3842475</v>
      </c>
      <c r="P933">
        <v>465325</v>
      </c>
    </row>
    <row r="934" spans="1:16" x14ac:dyDescent="0.3">
      <c r="A934">
        <v>1933</v>
      </c>
      <c r="B934" t="s">
        <v>607</v>
      </c>
      <c r="C934">
        <v>2024</v>
      </c>
      <c r="D934" t="s">
        <v>76</v>
      </c>
      <c r="E934" t="s">
        <v>44</v>
      </c>
      <c r="F934" t="s">
        <v>45</v>
      </c>
      <c r="G934" t="s">
        <v>51</v>
      </c>
      <c r="H934" t="s">
        <v>79</v>
      </c>
      <c r="I934" t="s">
        <v>48</v>
      </c>
      <c r="J934">
        <v>1.2</v>
      </c>
      <c r="K934">
        <v>16</v>
      </c>
      <c r="L934">
        <v>5</v>
      </c>
      <c r="M934">
        <v>1346114</v>
      </c>
      <c r="N934">
        <v>6730570</v>
      </c>
      <c r="O934">
        <v>5240829</v>
      </c>
      <c r="P934">
        <v>1489741</v>
      </c>
    </row>
    <row r="935" spans="1:16" x14ac:dyDescent="0.3">
      <c r="A935">
        <v>1934</v>
      </c>
      <c r="B935" t="s">
        <v>415</v>
      </c>
      <c r="C935">
        <v>2023</v>
      </c>
      <c r="D935" t="s">
        <v>24</v>
      </c>
      <c r="E935" t="s">
        <v>40</v>
      </c>
      <c r="F935" t="s">
        <v>41</v>
      </c>
      <c r="G935" t="s">
        <v>51</v>
      </c>
      <c r="H935" t="s">
        <v>52</v>
      </c>
      <c r="I935" t="s">
        <v>22</v>
      </c>
      <c r="J935">
        <v>2</v>
      </c>
      <c r="K935">
        <v>19</v>
      </c>
      <c r="L935">
        <v>6</v>
      </c>
      <c r="M935">
        <v>710858</v>
      </c>
      <c r="N935">
        <v>4265148</v>
      </c>
      <c r="O935">
        <v>3618748</v>
      </c>
      <c r="P935">
        <v>646400</v>
      </c>
    </row>
    <row r="936" spans="1:16" x14ac:dyDescent="0.3">
      <c r="A936">
        <v>1935</v>
      </c>
      <c r="B936" t="s">
        <v>608</v>
      </c>
      <c r="C936">
        <v>2024</v>
      </c>
      <c r="D936" t="s">
        <v>43</v>
      </c>
      <c r="E936" t="s">
        <v>25</v>
      </c>
      <c r="F936" t="s">
        <v>77</v>
      </c>
      <c r="G936" t="s">
        <v>36</v>
      </c>
      <c r="H936" t="s">
        <v>47</v>
      </c>
      <c r="I936" t="s">
        <v>48</v>
      </c>
      <c r="J936">
        <v>1.2</v>
      </c>
      <c r="K936">
        <v>23</v>
      </c>
      <c r="L936">
        <v>7</v>
      </c>
      <c r="M936">
        <v>1415420</v>
      </c>
      <c r="N936">
        <v>9907940</v>
      </c>
      <c r="O936">
        <v>7562328</v>
      </c>
      <c r="P936">
        <v>2345612</v>
      </c>
    </row>
    <row r="937" spans="1:16" x14ac:dyDescent="0.3">
      <c r="A937">
        <v>1936</v>
      </c>
      <c r="B937" t="s">
        <v>609</v>
      </c>
      <c r="C937">
        <v>2024</v>
      </c>
      <c r="D937" t="s">
        <v>97</v>
      </c>
      <c r="E937" t="s">
        <v>25</v>
      </c>
      <c r="F937" t="s">
        <v>58</v>
      </c>
      <c r="G937" t="s">
        <v>20</v>
      </c>
      <c r="H937" t="s">
        <v>100</v>
      </c>
      <c r="I937" t="s">
        <v>22</v>
      </c>
      <c r="J937">
        <v>1</v>
      </c>
      <c r="K937">
        <v>23</v>
      </c>
      <c r="L937">
        <v>5</v>
      </c>
      <c r="M937">
        <v>1364264</v>
      </c>
      <c r="N937">
        <v>6821320</v>
      </c>
      <c r="O937">
        <v>5742502</v>
      </c>
      <c r="P937">
        <v>1078818</v>
      </c>
    </row>
    <row r="938" spans="1:16" x14ac:dyDescent="0.3">
      <c r="A938">
        <v>1937</v>
      </c>
      <c r="B938" t="s">
        <v>337</v>
      </c>
      <c r="C938">
        <v>2023</v>
      </c>
      <c r="D938" t="s">
        <v>97</v>
      </c>
      <c r="E938" t="s">
        <v>40</v>
      </c>
      <c r="F938" t="s">
        <v>41</v>
      </c>
      <c r="G938" t="s">
        <v>59</v>
      </c>
      <c r="H938" t="s">
        <v>79</v>
      </c>
      <c r="I938" t="s">
        <v>48</v>
      </c>
      <c r="J938">
        <v>1.5</v>
      </c>
      <c r="K938">
        <v>22</v>
      </c>
      <c r="L938">
        <v>8</v>
      </c>
      <c r="M938">
        <v>610901</v>
      </c>
      <c r="N938">
        <v>4887208</v>
      </c>
      <c r="O938">
        <v>4380323</v>
      </c>
      <c r="P938">
        <v>506885</v>
      </c>
    </row>
    <row r="939" spans="1:16" x14ac:dyDescent="0.3">
      <c r="A939">
        <v>1938</v>
      </c>
      <c r="B939" t="s">
        <v>444</v>
      </c>
      <c r="C939">
        <v>2024</v>
      </c>
      <c r="D939" t="s">
        <v>29</v>
      </c>
      <c r="E939" t="s">
        <v>25</v>
      </c>
      <c r="F939" t="s">
        <v>26</v>
      </c>
      <c r="G939" t="s">
        <v>51</v>
      </c>
      <c r="H939" t="s">
        <v>47</v>
      </c>
      <c r="I939" t="s">
        <v>48</v>
      </c>
      <c r="J939">
        <v>1</v>
      </c>
      <c r="K939">
        <v>23</v>
      </c>
      <c r="L939">
        <v>5</v>
      </c>
      <c r="M939">
        <v>1466842</v>
      </c>
      <c r="N939">
        <v>7334210</v>
      </c>
      <c r="O939">
        <v>6376585</v>
      </c>
      <c r="P939">
        <v>957625</v>
      </c>
    </row>
    <row r="940" spans="1:16" x14ac:dyDescent="0.3">
      <c r="A940">
        <v>1939</v>
      </c>
      <c r="B940" t="s">
        <v>155</v>
      </c>
      <c r="C940">
        <v>2024</v>
      </c>
      <c r="D940" t="s">
        <v>39</v>
      </c>
      <c r="E940" t="s">
        <v>40</v>
      </c>
      <c r="F940" t="s">
        <v>68</v>
      </c>
      <c r="G940" t="s">
        <v>51</v>
      </c>
      <c r="H940" t="s">
        <v>52</v>
      </c>
      <c r="I940" t="s">
        <v>22</v>
      </c>
      <c r="J940">
        <v>1</v>
      </c>
      <c r="K940">
        <v>22</v>
      </c>
      <c r="L940">
        <v>5</v>
      </c>
      <c r="M940">
        <v>1272441</v>
      </c>
      <c r="N940">
        <v>6362205</v>
      </c>
      <c r="O940">
        <v>5230350</v>
      </c>
      <c r="P940">
        <v>1131855</v>
      </c>
    </row>
    <row r="941" spans="1:16" x14ac:dyDescent="0.3">
      <c r="A941">
        <v>1940</v>
      </c>
      <c r="B941" t="s">
        <v>541</v>
      </c>
      <c r="C941">
        <v>2024</v>
      </c>
      <c r="D941" t="s">
        <v>97</v>
      </c>
      <c r="E941" t="s">
        <v>44</v>
      </c>
      <c r="F941" t="s">
        <v>62</v>
      </c>
      <c r="G941" t="s">
        <v>46</v>
      </c>
      <c r="H941" t="s">
        <v>63</v>
      </c>
      <c r="I941" t="s">
        <v>22</v>
      </c>
      <c r="J941">
        <v>1</v>
      </c>
      <c r="K941">
        <v>21</v>
      </c>
      <c r="L941">
        <v>5</v>
      </c>
      <c r="M941">
        <v>677694</v>
      </c>
      <c r="N941">
        <v>3388470</v>
      </c>
      <c r="O941">
        <v>2748056</v>
      </c>
      <c r="P941">
        <v>640414</v>
      </c>
    </row>
    <row r="942" spans="1:16" x14ac:dyDescent="0.3">
      <c r="A942">
        <v>1941</v>
      </c>
      <c r="B942" t="s">
        <v>312</v>
      </c>
      <c r="C942">
        <v>2024</v>
      </c>
      <c r="D942" t="s">
        <v>34</v>
      </c>
      <c r="E942" t="s">
        <v>44</v>
      </c>
      <c r="F942" t="s">
        <v>45</v>
      </c>
      <c r="G942" t="s">
        <v>36</v>
      </c>
      <c r="H942" t="s">
        <v>47</v>
      </c>
      <c r="I942" t="s">
        <v>48</v>
      </c>
      <c r="J942">
        <v>1.2</v>
      </c>
      <c r="K942">
        <v>20</v>
      </c>
      <c r="L942">
        <v>3</v>
      </c>
      <c r="M942">
        <v>722720</v>
      </c>
      <c r="N942">
        <v>2168160</v>
      </c>
      <c r="O942">
        <v>1801101</v>
      </c>
      <c r="P942">
        <v>367059</v>
      </c>
    </row>
    <row r="943" spans="1:16" x14ac:dyDescent="0.3">
      <c r="A943">
        <v>1942</v>
      </c>
      <c r="B943" t="s">
        <v>610</v>
      </c>
      <c r="C943">
        <v>2024</v>
      </c>
      <c r="D943" t="s">
        <v>74</v>
      </c>
      <c r="E943" t="s">
        <v>25</v>
      </c>
      <c r="F943" t="s">
        <v>84</v>
      </c>
      <c r="G943" t="s">
        <v>46</v>
      </c>
      <c r="H943" t="s">
        <v>54</v>
      </c>
      <c r="I943" t="s">
        <v>48</v>
      </c>
      <c r="J943">
        <v>2</v>
      </c>
      <c r="K943">
        <v>21</v>
      </c>
      <c r="L943">
        <v>7</v>
      </c>
      <c r="M943">
        <v>1443657</v>
      </c>
      <c r="N943">
        <v>10105599</v>
      </c>
      <c r="O943">
        <v>8176109</v>
      </c>
      <c r="P943">
        <v>1929490</v>
      </c>
    </row>
    <row r="944" spans="1:16" x14ac:dyDescent="0.3">
      <c r="A944">
        <v>1943</v>
      </c>
      <c r="B944" t="s">
        <v>487</v>
      </c>
      <c r="C944">
        <v>2024</v>
      </c>
      <c r="D944" t="s">
        <v>34</v>
      </c>
      <c r="E944" t="s">
        <v>18</v>
      </c>
      <c r="F944" t="s">
        <v>107</v>
      </c>
      <c r="G944" t="s">
        <v>20</v>
      </c>
      <c r="H944" t="s">
        <v>21</v>
      </c>
      <c r="I944" t="s">
        <v>22</v>
      </c>
      <c r="J944">
        <v>1</v>
      </c>
      <c r="K944">
        <v>18</v>
      </c>
      <c r="L944">
        <v>7</v>
      </c>
      <c r="M944">
        <v>1069803</v>
      </c>
      <c r="N944">
        <v>7488621</v>
      </c>
      <c r="O944">
        <v>6622638</v>
      </c>
      <c r="P944">
        <v>865983</v>
      </c>
    </row>
    <row r="945" spans="1:16" x14ac:dyDescent="0.3">
      <c r="A945">
        <v>1944</v>
      </c>
      <c r="B945" t="s">
        <v>611</v>
      </c>
      <c r="C945">
        <v>2023</v>
      </c>
      <c r="D945" t="s">
        <v>17</v>
      </c>
      <c r="E945" t="s">
        <v>18</v>
      </c>
      <c r="F945" t="s">
        <v>107</v>
      </c>
      <c r="G945" t="s">
        <v>46</v>
      </c>
      <c r="H945" t="s">
        <v>47</v>
      </c>
      <c r="I945" t="s">
        <v>48</v>
      </c>
      <c r="J945">
        <v>2</v>
      </c>
      <c r="K945">
        <v>18</v>
      </c>
      <c r="L945">
        <v>6</v>
      </c>
      <c r="M945">
        <v>1488802</v>
      </c>
      <c r="N945">
        <v>8932812</v>
      </c>
      <c r="O945">
        <v>6784170</v>
      </c>
      <c r="P945">
        <v>2148642</v>
      </c>
    </row>
    <row r="946" spans="1:16" x14ac:dyDescent="0.3">
      <c r="A946">
        <v>1945</v>
      </c>
      <c r="B946" t="s">
        <v>170</v>
      </c>
      <c r="C946">
        <v>2024</v>
      </c>
      <c r="D946" t="s">
        <v>61</v>
      </c>
      <c r="E946" t="s">
        <v>40</v>
      </c>
      <c r="F946" t="s">
        <v>68</v>
      </c>
      <c r="G946" t="s">
        <v>36</v>
      </c>
      <c r="H946" t="s">
        <v>79</v>
      </c>
      <c r="I946" t="s">
        <v>48</v>
      </c>
      <c r="J946">
        <v>2</v>
      </c>
      <c r="K946">
        <v>18</v>
      </c>
      <c r="L946">
        <v>3</v>
      </c>
      <c r="M946">
        <v>1087900</v>
      </c>
      <c r="N946">
        <v>3263700</v>
      </c>
      <c r="O946">
        <v>2702645</v>
      </c>
      <c r="P946">
        <v>561055</v>
      </c>
    </row>
    <row r="947" spans="1:16" x14ac:dyDescent="0.3">
      <c r="A947">
        <v>1946</v>
      </c>
      <c r="B947" t="s">
        <v>446</v>
      </c>
      <c r="C947">
        <v>2023</v>
      </c>
      <c r="D947" t="s">
        <v>74</v>
      </c>
      <c r="E947" t="s">
        <v>40</v>
      </c>
      <c r="F947" t="s">
        <v>68</v>
      </c>
      <c r="G947" t="s">
        <v>20</v>
      </c>
      <c r="H947" t="s">
        <v>37</v>
      </c>
      <c r="I947" t="s">
        <v>32</v>
      </c>
      <c r="J947">
        <v>1</v>
      </c>
      <c r="K947">
        <v>23</v>
      </c>
      <c r="L947">
        <v>4</v>
      </c>
      <c r="M947">
        <v>1310286</v>
      </c>
      <c r="N947">
        <v>5241144</v>
      </c>
      <c r="O947">
        <v>3946849</v>
      </c>
      <c r="P947">
        <v>1294295</v>
      </c>
    </row>
    <row r="948" spans="1:16" x14ac:dyDescent="0.3">
      <c r="A948">
        <v>1947</v>
      </c>
      <c r="B948" t="s">
        <v>612</v>
      </c>
      <c r="C948">
        <v>2023</v>
      </c>
      <c r="D948" t="s">
        <v>39</v>
      </c>
      <c r="E948" t="s">
        <v>40</v>
      </c>
      <c r="F948" t="s">
        <v>104</v>
      </c>
      <c r="G948" t="s">
        <v>59</v>
      </c>
      <c r="H948" t="s">
        <v>47</v>
      </c>
      <c r="I948" t="s">
        <v>48</v>
      </c>
      <c r="J948">
        <v>2</v>
      </c>
      <c r="K948">
        <v>18</v>
      </c>
      <c r="L948">
        <v>7</v>
      </c>
      <c r="M948">
        <v>1183645</v>
      </c>
      <c r="N948">
        <v>8285515</v>
      </c>
      <c r="O948">
        <v>6615097</v>
      </c>
      <c r="P948">
        <v>1670418</v>
      </c>
    </row>
    <row r="949" spans="1:16" x14ac:dyDescent="0.3">
      <c r="A949">
        <v>1948</v>
      </c>
      <c r="B949" t="s">
        <v>295</v>
      </c>
      <c r="C949">
        <v>2023</v>
      </c>
      <c r="D949" t="s">
        <v>67</v>
      </c>
      <c r="E949" t="s">
        <v>40</v>
      </c>
      <c r="F949" t="s">
        <v>120</v>
      </c>
      <c r="G949" t="s">
        <v>90</v>
      </c>
      <c r="H949" t="s">
        <v>100</v>
      </c>
      <c r="I949" t="s">
        <v>22</v>
      </c>
      <c r="J949">
        <v>2</v>
      </c>
      <c r="K949">
        <v>23</v>
      </c>
      <c r="L949">
        <v>3</v>
      </c>
      <c r="M949">
        <v>1205879</v>
      </c>
      <c r="N949">
        <v>3617637</v>
      </c>
      <c r="O949">
        <v>2919631</v>
      </c>
      <c r="P949">
        <v>698006</v>
      </c>
    </row>
    <row r="950" spans="1:16" x14ac:dyDescent="0.3">
      <c r="A950">
        <v>1949</v>
      </c>
      <c r="B950" t="s">
        <v>533</v>
      </c>
      <c r="C950">
        <v>2024</v>
      </c>
      <c r="D950" t="s">
        <v>17</v>
      </c>
      <c r="E950" t="s">
        <v>25</v>
      </c>
      <c r="F950" t="s">
        <v>58</v>
      </c>
      <c r="G950" t="s">
        <v>51</v>
      </c>
      <c r="H950" t="s">
        <v>56</v>
      </c>
      <c r="I950" t="s">
        <v>48</v>
      </c>
      <c r="J950">
        <v>1.2</v>
      </c>
      <c r="K950">
        <v>16</v>
      </c>
      <c r="L950">
        <v>5</v>
      </c>
      <c r="M950">
        <v>1338277</v>
      </c>
      <c r="N950">
        <v>6691385</v>
      </c>
      <c r="O950">
        <v>5332455</v>
      </c>
      <c r="P950">
        <v>1358930</v>
      </c>
    </row>
    <row r="951" spans="1:16" x14ac:dyDescent="0.3">
      <c r="A951">
        <v>1950</v>
      </c>
      <c r="B951" t="s">
        <v>224</v>
      </c>
      <c r="C951">
        <v>2023</v>
      </c>
      <c r="D951" t="s">
        <v>43</v>
      </c>
      <c r="E951" t="s">
        <v>44</v>
      </c>
      <c r="F951" t="s">
        <v>45</v>
      </c>
      <c r="G951" t="s">
        <v>27</v>
      </c>
      <c r="H951" t="s">
        <v>31</v>
      </c>
      <c r="I951" t="s">
        <v>32</v>
      </c>
      <c r="J951">
        <v>1.2</v>
      </c>
      <c r="K951">
        <v>21</v>
      </c>
      <c r="L951">
        <v>1</v>
      </c>
      <c r="M951">
        <v>1297126</v>
      </c>
      <c r="N951">
        <v>1297126</v>
      </c>
      <c r="O951">
        <v>1016940</v>
      </c>
      <c r="P951">
        <v>280186</v>
      </c>
    </row>
    <row r="952" spans="1:16" x14ac:dyDescent="0.3">
      <c r="A952">
        <v>1951</v>
      </c>
      <c r="B952" t="s">
        <v>552</v>
      </c>
      <c r="C952">
        <v>2023</v>
      </c>
      <c r="D952" t="s">
        <v>39</v>
      </c>
      <c r="E952" t="s">
        <v>25</v>
      </c>
      <c r="F952" t="s">
        <v>84</v>
      </c>
      <c r="G952" t="s">
        <v>90</v>
      </c>
      <c r="H952" t="s">
        <v>63</v>
      </c>
      <c r="I952" t="s">
        <v>22</v>
      </c>
      <c r="J952">
        <v>2</v>
      </c>
      <c r="K952">
        <v>19</v>
      </c>
      <c r="L952">
        <v>1</v>
      </c>
      <c r="M952">
        <v>831571</v>
      </c>
      <c r="N952">
        <v>831571</v>
      </c>
      <c r="O952">
        <v>666991</v>
      </c>
      <c r="P952">
        <v>164580</v>
      </c>
    </row>
    <row r="953" spans="1:16" x14ac:dyDescent="0.3">
      <c r="A953">
        <v>1952</v>
      </c>
      <c r="B953" t="s">
        <v>613</v>
      </c>
      <c r="C953">
        <v>2023</v>
      </c>
      <c r="D953" t="s">
        <v>34</v>
      </c>
      <c r="E953" t="s">
        <v>40</v>
      </c>
      <c r="F953" t="s">
        <v>104</v>
      </c>
      <c r="G953" t="s">
        <v>20</v>
      </c>
      <c r="H953" t="s">
        <v>31</v>
      </c>
      <c r="I953" t="s">
        <v>32</v>
      </c>
      <c r="J953">
        <v>2</v>
      </c>
      <c r="K953">
        <v>18</v>
      </c>
      <c r="L953">
        <v>1</v>
      </c>
      <c r="M953">
        <v>1295970</v>
      </c>
      <c r="N953">
        <v>1295970</v>
      </c>
      <c r="O953">
        <v>1093613</v>
      </c>
      <c r="P953">
        <v>202357</v>
      </c>
    </row>
    <row r="954" spans="1:16" x14ac:dyDescent="0.3">
      <c r="A954">
        <v>1953</v>
      </c>
      <c r="B954" t="s">
        <v>389</v>
      </c>
      <c r="C954">
        <v>2024</v>
      </c>
      <c r="D954" t="s">
        <v>97</v>
      </c>
      <c r="E954" t="s">
        <v>40</v>
      </c>
      <c r="F954" t="s">
        <v>104</v>
      </c>
      <c r="G954" t="s">
        <v>46</v>
      </c>
      <c r="H954" t="s">
        <v>21</v>
      </c>
      <c r="I954" t="s">
        <v>22</v>
      </c>
      <c r="J954">
        <v>1.5</v>
      </c>
      <c r="K954">
        <v>22</v>
      </c>
      <c r="L954">
        <v>7</v>
      </c>
      <c r="M954">
        <v>1269344</v>
      </c>
      <c r="N954">
        <v>8885408</v>
      </c>
      <c r="O954">
        <v>7405318</v>
      </c>
      <c r="P954">
        <v>1480090</v>
      </c>
    </row>
    <row r="955" spans="1:16" x14ac:dyDescent="0.3">
      <c r="A955">
        <v>1954</v>
      </c>
      <c r="B955" t="s">
        <v>487</v>
      </c>
      <c r="C955">
        <v>2024</v>
      </c>
      <c r="D955" t="s">
        <v>34</v>
      </c>
      <c r="E955" t="s">
        <v>25</v>
      </c>
      <c r="F955" t="s">
        <v>58</v>
      </c>
      <c r="G955" t="s">
        <v>51</v>
      </c>
      <c r="H955" t="s">
        <v>100</v>
      </c>
      <c r="I955" t="s">
        <v>22</v>
      </c>
      <c r="J955">
        <v>2</v>
      </c>
      <c r="K955">
        <v>23</v>
      </c>
      <c r="L955">
        <v>8</v>
      </c>
      <c r="M955">
        <v>640724</v>
      </c>
      <c r="N955">
        <v>5125792</v>
      </c>
      <c r="O955">
        <v>3871811</v>
      </c>
      <c r="P955">
        <v>1253981</v>
      </c>
    </row>
    <row r="956" spans="1:16" x14ac:dyDescent="0.3">
      <c r="A956">
        <v>1955</v>
      </c>
      <c r="B956" t="s">
        <v>469</v>
      </c>
      <c r="C956">
        <v>2024</v>
      </c>
      <c r="D956" t="s">
        <v>61</v>
      </c>
      <c r="E956" t="s">
        <v>40</v>
      </c>
      <c r="F956" t="s">
        <v>120</v>
      </c>
      <c r="G956" t="s">
        <v>20</v>
      </c>
      <c r="H956" t="s">
        <v>31</v>
      </c>
      <c r="I956" t="s">
        <v>32</v>
      </c>
      <c r="J956">
        <v>1.5</v>
      </c>
      <c r="K956">
        <v>23</v>
      </c>
      <c r="L956">
        <v>4</v>
      </c>
      <c r="M956">
        <v>1153495</v>
      </c>
      <c r="N956">
        <v>4613980</v>
      </c>
      <c r="O956">
        <v>4002768</v>
      </c>
      <c r="P956">
        <v>611212</v>
      </c>
    </row>
    <row r="957" spans="1:16" x14ac:dyDescent="0.3">
      <c r="A957">
        <v>1956</v>
      </c>
      <c r="B957" t="s">
        <v>614</v>
      </c>
      <c r="C957">
        <v>2024</v>
      </c>
      <c r="D957" t="s">
        <v>17</v>
      </c>
      <c r="E957" t="s">
        <v>40</v>
      </c>
      <c r="F957" t="s">
        <v>68</v>
      </c>
      <c r="G957" t="s">
        <v>20</v>
      </c>
      <c r="H957" t="s">
        <v>63</v>
      </c>
      <c r="I957" t="s">
        <v>22</v>
      </c>
      <c r="J957">
        <v>1</v>
      </c>
      <c r="K957">
        <v>19</v>
      </c>
      <c r="L957">
        <v>5</v>
      </c>
      <c r="M957">
        <v>1125750</v>
      </c>
      <c r="N957">
        <v>5628750</v>
      </c>
      <c r="O957">
        <v>4507435</v>
      </c>
      <c r="P957">
        <v>1121315</v>
      </c>
    </row>
    <row r="958" spans="1:16" x14ac:dyDescent="0.3">
      <c r="A958">
        <v>1957</v>
      </c>
      <c r="B958" t="s">
        <v>589</v>
      </c>
      <c r="C958">
        <v>2024</v>
      </c>
      <c r="D958" t="s">
        <v>61</v>
      </c>
      <c r="E958" t="s">
        <v>40</v>
      </c>
      <c r="F958" t="s">
        <v>120</v>
      </c>
      <c r="G958" t="s">
        <v>59</v>
      </c>
      <c r="H958" t="s">
        <v>37</v>
      </c>
      <c r="I958" t="s">
        <v>32</v>
      </c>
      <c r="J958">
        <v>2</v>
      </c>
      <c r="K958">
        <v>21</v>
      </c>
      <c r="L958">
        <v>1</v>
      </c>
      <c r="M958">
        <v>991757</v>
      </c>
      <c r="N958">
        <v>991757</v>
      </c>
      <c r="O958">
        <v>756392</v>
      </c>
      <c r="P958">
        <v>235365</v>
      </c>
    </row>
    <row r="959" spans="1:16" x14ac:dyDescent="0.3">
      <c r="A959">
        <v>1958</v>
      </c>
      <c r="B959" t="s">
        <v>451</v>
      </c>
      <c r="C959">
        <v>2023</v>
      </c>
      <c r="D959" t="s">
        <v>39</v>
      </c>
      <c r="E959" t="s">
        <v>40</v>
      </c>
      <c r="F959" t="s">
        <v>120</v>
      </c>
      <c r="G959" t="s">
        <v>27</v>
      </c>
      <c r="H959" t="s">
        <v>21</v>
      </c>
      <c r="I959" t="s">
        <v>22</v>
      </c>
      <c r="J959">
        <v>2</v>
      </c>
      <c r="K959">
        <v>21</v>
      </c>
      <c r="L959">
        <v>2</v>
      </c>
      <c r="M959">
        <v>1311818</v>
      </c>
      <c r="N959">
        <v>2623636</v>
      </c>
      <c r="O959">
        <v>2200986</v>
      </c>
      <c r="P959">
        <v>422650</v>
      </c>
    </row>
    <row r="960" spans="1:16" x14ac:dyDescent="0.3">
      <c r="A960">
        <v>1959</v>
      </c>
      <c r="B960" t="s">
        <v>615</v>
      </c>
      <c r="C960">
        <v>2023</v>
      </c>
      <c r="D960" t="s">
        <v>97</v>
      </c>
      <c r="E960" t="s">
        <v>18</v>
      </c>
      <c r="F960" t="s">
        <v>107</v>
      </c>
      <c r="G960" t="s">
        <v>90</v>
      </c>
      <c r="H960" t="s">
        <v>21</v>
      </c>
      <c r="I960" t="s">
        <v>22</v>
      </c>
      <c r="J960">
        <v>1</v>
      </c>
      <c r="K960">
        <v>21</v>
      </c>
      <c r="L960">
        <v>7</v>
      </c>
      <c r="M960">
        <v>668831</v>
      </c>
      <c r="N960">
        <v>4681817</v>
      </c>
      <c r="O960">
        <v>4164869</v>
      </c>
      <c r="P960">
        <v>516948</v>
      </c>
    </row>
    <row r="961" spans="1:16" x14ac:dyDescent="0.3">
      <c r="A961">
        <v>1960</v>
      </c>
      <c r="B961" t="s">
        <v>273</v>
      </c>
      <c r="C961">
        <v>2023</v>
      </c>
      <c r="D961" t="s">
        <v>24</v>
      </c>
      <c r="E961" t="s">
        <v>40</v>
      </c>
      <c r="F961" t="s">
        <v>68</v>
      </c>
      <c r="G961" t="s">
        <v>59</v>
      </c>
      <c r="H961" t="s">
        <v>56</v>
      </c>
      <c r="I961" t="s">
        <v>48</v>
      </c>
      <c r="J961">
        <v>1.2</v>
      </c>
      <c r="K961">
        <v>16</v>
      </c>
      <c r="L961">
        <v>4</v>
      </c>
      <c r="M961">
        <v>759472</v>
      </c>
      <c r="N961">
        <v>3037888</v>
      </c>
      <c r="O961">
        <v>2333582</v>
      </c>
      <c r="P961">
        <v>704306</v>
      </c>
    </row>
    <row r="962" spans="1:16" x14ac:dyDescent="0.3">
      <c r="A962">
        <v>1961</v>
      </c>
      <c r="B962" t="s">
        <v>236</v>
      </c>
      <c r="C962">
        <v>2023</v>
      </c>
      <c r="D962" t="s">
        <v>50</v>
      </c>
      <c r="E962" t="s">
        <v>40</v>
      </c>
      <c r="F962" t="s">
        <v>41</v>
      </c>
      <c r="G962" t="s">
        <v>90</v>
      </c>
      <c r="H962" t="s">
        <v>31</v>
      </c>
      <c r="I962" t="s">
        <v>32</v>
      </c>
      <c r="J962">
        <v>1</v>
      </c>
      <c r="K962">
        <v>16</v>
      </c>
      <c r="L962">
        <v>6</v>
      </c>
      <c r="M962">
        <v>843333</v>
      </c>
      <c r="N962">
        <v>5059998</v>
      </c>
      <c r="O962">
        <v>4179897</v>
      </c>
      <c r="P962">
        <v>880101</v>
      </c>
    </row>
    <row r="963" spans="1:16" x14ac:dyDescent="0.3">
      <c r="A963">
        <v>1962</v>
      </c>
      <c r="B963" t="s">
        <v>430</v>
      </c>
      <c r="C963">
        <v>2024</v>
      </c>
      <c r="D963" t="s">
        <v>39</v>
      </c>
      <c r="E963" t="s">
        <v>40</v>
      </c>
      <c r="F963" t="s">
        <v>120</v>
      </c>
      <c r="G963" t="s">
        <v>36</v>
      </c>
      <c r="H963" t="s">
        <v>63</v>
      </c>
      <c r="I963" t="s">
        <v>22</v>
      </c>
      <c r="J963">
        <v>1.2</v>
      </c>
      <c r="K963">
        <v>22</v>
      </c>
      <c r="L963">
        <v>2</v>
      </c>
      <c r="M963">
        <v>894460</v>
      </c>
      <c r="N963">
        <v>1788920</v>
      </c>
      <c r="O963">
        <v>1410112</v>
      </c>
      <c r="P963">
        <v>378808</v>
      </c>
    </row>
    <row r="964" spans="1:16" x14ac:dyDescent="0.3">
      <c r="A964">
        <v>1963</v>
      </c>
      <c r="B964" t="s">
        <v>616</v>
      </c>
      <c r="C964">
        <v>2023</v>
      </c>
      <c r="D964" t="s">
        <v>43</v>
      </c>
      <c r="E964" t="s">
        <v>18</v>
      </c>
      <c r="F964" t="s">
        <v>107</v>
      </c>
      <c r="G964" t="s">
        <v>20</v>
      </c>
      <c r="H964" t="s">
        <v>31</v>
      </c>
      <c r="I964" t="s">
        <v>32</v>
      </c>
      <c r="J964">
        <v>2</v>
      </c>
      <c r="K964">
        <v>23</v>
      </c>
      <c r="L964">
        <v>4</v>
      </c>
      <c r="M964">
        <v>809715</v>
      </c>
      <c r="N964">
        <v>3238860</v>
      </c>
      <c r="O964">
        <v>2560002</v>
      </c>
      <c r="P964">
        <v>678858</v>
      </c>
    </row>
    <row r="965" spans="1:16" x14ac:dyDescent="0.3">
      <c r="A965">
        <v>1964</v>
      </c>
      <c r="B965" t="s">
        <v>332</v>
      </c>
      <c r="C965">
        <v>2024</v>
      </c>
      <c r="D965" t="s">
        <v>74</v>
      </c>
      <c r="E965" t="s">
        <v>18</v>
      </c>
      <c r="F965" t="s">
        <v>35</v>
      </c>
      <c r="G965" t="s">
        <v>36</v>
      </c>
      <c r="H965" t="s">
        <v>100</v>
      </c>
      <c r="I965" t="s">
        <v>22</v>
      </c>
      <c r="J965">
        <v>1</v>
      </c>
      <c r="K965">
        <v>22</v>
      </c>
      <c r="L965">
        <v>3</v>
      </c>
      <c r="M965">
        <v>1051482</v>
      </c>
      <c r="N965">
        <v>3154446</v>
      </c>
      <c r="O965">
        <v>2475995</v>
      </c>
      <c r="P965">
        <v>678451</v>
      </c>
    </row>
    <row r="966" spans="1:16" x14ac:dyDescent="0.3">
      <c r="A966">
        <v>1965</v>
      </c>
      <c r="B966" t="s">
        <v>617</v>
      </c>
      <c r="C966">
        <v>2023</v>
      </c>
      <c r="D966" t="s">
        <v>29</v>
      </c>
      <c r="E966" t="s">
        <v>44</v>
      </c>
      <c r="F966" t="s">
        <v>70</v>
      </c>
      <c r="G966" t="s">
        <v>90</v>
      </c>
      <c r="H966" t="s">
        <v>63</v>
      </c>
      <c r="I966" t="s">
        <v>22</v>
      </c>
      <c r="J966">
        <v>1.5</v>
      </c>
      <c r="K966">
        <v>20</v>
      </c>
      <c r="L966">
        <v>3</v>
      </c>
      <c r="M966">
        <v>1036848</v>
      </c>
      <c r="N966">
        <v>3110544</v>
      </c>
      <c r="O966">
        <v>2652800</v>
      </c>
      <c r="P966">
        <v>457744</v>
      </c>
    </row>
    <row r="967" spans="1:16" x14ac:dyDescent="0.3">
      <c r="A967">
        <v>1966</v>
      </c>
      <c r="B967" t="s">
        <v>618</v>
      </c>
      <c r="C967">
        <v>2023</v>
      </c>
      <c r="D967" t="s">
        <v>43</v>
      </c>
      <c r="E967" t="s">
        <v>18</v>
      </c>
      <c r="F967" t="s">
        <v>72</v>
      </c>
      <c r="G967" t="s">
        <v>90</v>
      </c>
      <c r="H967" t="s">
        <v>21</v>
      </c>
      <c r="I967" t="s">
        <v>22</v>
      </c>
      <c r="J967">
        <v>2</v>
      </c>
      <c r="K967">
        <v>23</v>
      </c>
      <c r="L967">
        <v>5</v>
      </c>
      <c r="M967">
        <v>807049</v>
      </c>
      <c r="N967">
        <v>4035245</v>
      </c>
      <c r="O967">
        <v>3270634</v>
      </c>
      <c r="P967">
        <v>764611</v>
      </c>
    </row>
    <row r="968" spans="1:16" x14ac:dyDescent="0.3">
      <c r="A968">
        <v>1967</v>
      </c>
      <c r="B968" t="s">
        <v>198</v>
      </c>
      <c r="C968">
        <v>2024</v>
      </c>
      <c r="D968" t="s">
        <v>29</v>
      </c>
      <c r="E968" t="s">
        <v>40</v>
      </c>
      <c r="F968" t="s">
        <v>120</v>
      </c>
      <c r="G968" t="s">
        <v>46</v>
      </c>
      <c r="H968" t="s">
        <v>31</v>
      </c>
      <c r="I968" t="s">
        <v>32</v>
      </c>
      <c r="J968">
        <v>1</v>
      </c>
      <c r="K968">
        <v>22</v>
      </c>
      <c r="L968">
        <v>2</v>
      </c>
      <c r="M968">
        <v>700773</v>
      </c>
      <c r="N968">
        <v>1401546</v>
      </c>
      <c r="O968">
        <v>1146000</v>
      </c>
      <c r="P968">
        <v>255546</v>
      </c>
    </row>
    <row r="969" spans="1:16" x14ac:dyDescent="0.3">
      <c r="A969">
        <v>1968</v>
      </c>
      <c r="B969" t="s">
        <v>330</v>
      </c>
      <c r="C969">
        <v>2024</v>
      </c>
      <c r="D969" t="s">
        <v>76</v>
      </c>
      <c r="E969" t="s">
        <v>25</v>
      </c>
      <c r="F969" t="s">
        <v>58</v>
      </c>
      <c r="G969" t="s">
        <v>27</v>
      </c>
      <c r="H969" t="s">
        <v>63</v>
      </c>
      <c r="I969" t="s">
        <v>22</v>
      </c>
      <c r="J969">
        <v>1.5</v>
      </c>
      <c r="K969">
        <v>21</v>
      </c>
      <c r="L969">
        <v>7</v>
      </c>
      <c r="M969">
        <v>613409</v>
      </c>
      <c r="N969">
        <v>4293863</v>
      </c>
      <c r="O969">
        <v>3543261</v>
      </c>
      <c r="P969">
        <v>750602</v>
      </c>
    </row>
    <row r="970" spans="1:16" x14ac:dyDescent="0.3">
      <c r="A970">
        <v>1969</v>
      </c>
      <c r="B970" t="s">
        <v>151</v>
      </c>
      <c r="C970">
        <v>2024</v>
      </c>
      <c r="D970" t="s">
        <v>61</v>
      </c>
      <c r="E970" t="s">
        <v>44</v>
      </c>
      <c r="F970" t="s">
        <v>45</v>
      </c>
      <c r="G970" t="s">
        <v>59</v>
      </c>
      <c r="H970" t="s">
        <v>31</v>
      </c>
      <c r="I970" t="s">
        <v>32</v>
      </c>
      <c r="J970">
        <v>1.2</v>
      </c>
      <c r="K970">
        <v>18</v>
      </c>
      <c r="L970">
        <v>7</v>
      </c>
      <c r="M970">
        <v>1199909</v>
      </c>
      <c r="N970">
        <v>8399363</v>
      </c>
      <c r="O970">
        <v>6725174</v>
      </c>
      <c r="P970">
        <v>1674189</v>
      </c>
    </row>
    <row r="971" spans="1:16" x14ac:dyDescent="0.3">
      <c r="A971">
        <v>1970</v>
      </c>
      <c r="B971" t="s">
        <v>439</v>
      </c>
      <c r="C971">
        <v>2024</v>
      </c>
      <c r="D971" t="s">
        <v>67</v>
      </c>
      <c r="E971" t="s">
        <v>44</v>
      </c>
      <c r="F971" t="s">
        <v>70</v>
      </c>
      <c r="G971" t="s">
        <v>90</v>
      </c>
      <c r="H971" t="s">
        <v>63</v>
      </c>
      <c r="I971" t="s">
        <v>22</v>
      </c>
      <c r="J971">
        <v>1</v>
      </c>
      <c r="K971">
        <v>16</v>
      </c>
      <c r="L971">
        <v>6</v>
      </c>
      <c r="M971">
        <v>886320</v>
      </c>
      <c r="N971">
        <v>5317920</v>
      </c>
      <c r="O971">
        <v>4581819</v>
      </c>
      <c r="P971">
        <v>736101</v>
      </c>
    </row>
    <row r="972" spans="1:16" x14ac:dyDescent="0.3">
      <c r="A972">
        <v>1971</v>
      </c>
      <c r="B972" t="s">
        <v>435</v>
      </c>
      <c r="C972">
        <v>2023</v>
      </c>
      <c r="D972" t="s">
        <v>29</v>
      </c>
      <c r="E972" t="s">
        <v>44</v>
      </c>
      <c r="F972" t="s">
        <v>92</v>
      </c>
      <c r="G972" t="s">
        <v>27</v>
      </c>
      <c r="H972" t="s">
        <v>21</v>
      </c>
      <c r="I972" t="s">
        <v>22</v>
      </c>
      <c r="J972">
        <v>1</v>
      </c>
      <c r="K972">
        <v>19</v>
      </c>
      <c r="L972">
        <v>3</v>
      </c>
      <c r="M972">
        <v>1275983</v>
      </c>
      <c r="N972">
        <v>3827949</v>
      </c>
      <c r="O972">
        <v>3046703</v>
      </c>
      <c r="P972">
        <v>781246</v>
      </c>
    </row>
    <row r="973" spans="1:16" x14ac:dyDescent="0.3">
      <c r="A973">
        <v>1972</v>
      </c>
      <c r="B973" t="s">
        <v>276</v>
      </c>
      <c r="C973">
        <v>2024</v>
      </c>
      <c r="D973" t="s">
        <v>17</v>
      </c>
      <c r="E973" t="s">
        <v>40</v>
      </c>
      <c r="F973" t="s">
        <v>68</v>
      </c>
      <c r="G973" t="s">
        <v>27</v>
      </c>
      <c r="H973" t="s">
        <v>52</v>
      </c>
      <c r="I973" t="s">
        <v>22</v>
      </c>
      <c r="J973">
        <v>1.5</v>
      </c>
      <c r="K973">
        <v>22</v>
      </c>
      <c r="L973">
        <v>5</v>
      </c>
      <c r="M973">
        <v>1326826</v>
      </c>
      <c r="N973">
        <v>6634130</v>
      </c>
      <c r="O973">
        <v>5826370</v>
      </c>
      <c r="P973">
        <v>807760</v>
      </c>
    </row>
    <row r="974" spans="1:16" x14ac:dyDescent="0.3">
      <c r="A974">
        <v>1973</v>
      </c>
      <c r="B974" t="s">
        <v>535</v>
      </c>
      <c r="C974">
        <v>2024</v>
      </c>
      <c r="D974" t="s">
        <v>50</v>
      </c>
      <c r="E974" t="s">
        <v>40</v>
      </c>
      <c r="F974" t="s">
        <v>68</v>
      </c>
      <c r="G974" t="s">
        <v>20</v>
      </c>
      <c r="H974" t="s">
        <v>31</v>
      </c>
      <c r="I974" t="s">
        <v>32</v>
      </c>
      <c r="J974">
        <v>2</v>
      </c>
      <c r="K974">
        <v>18</v>
      </c>
      <c r="L974">
        <v>7</v>
      </c>
      <c r="M974">
        <v>1484136</v>
      </c>
      <c r="N974">
        <v>10388952</v>
      </c>
      <c r="O974">
        <v>8140152</v>
      </c>
      <c r="P974">
        <v>2248800</v>
      </c>
    </row>
    <row r="975" spans="1:16" x14ac:dyDescent="0.3">
      <c r="A975">
        <v>1974</v>
      </c>
      <c r="B975" t="s">
        <v>619</v>
      </c>
      <c r="C975">
        <v>2024</v>
      </c>
      <c r="D975" t="s">
        <v>97</v>
      </c>
      <c r="E975" t="s">
        <v>44</v>
      </c>
      <c r="F975" t="s">
        <v>45</v>
      </c>
      <c r="G975" t="s">
        <v>20</v>
      </c>
      <c r="H975" t="s">
        <v>54</v>
      </c>
      <c r="I975" t="s">
        <v>48</v>
      </c>
      <c r="J975">
        <v>1.2</v>
      </c>
      <c r="K975">
        <v>16</v>
      </c>
      <c r="L975">
        <v>1</v>
      </c>
      <c r="M975">
        <v>1239408</v>
      </c>
      <c r="N975">
        <v>1239408</v>
      </c>
      <c r="O975">
        <v>1098212</v>
      </c>
      <c r="P975">
        <v>141196</v>
      </c>
    </row>
    <row r="976" spans="1:16" x14ac:dyDescent="0.3">
      <c r="A976">
        <v>1975</v>
      </c>
      <c r="B976" t="s">
        <v>321</v>
      </c>
      <c r="C976">
        <v>2023</v>
      </c>
      <c r="D976" t="s">
        <v>97</v>
      </c>
      <c r="E976" t="s">
        <v>18</v>
      </c>
      <c r="F976" t="s">
        <v>107</v>
      </c>
      <c r="G976" t="s">
        <v>51</v>
      </c>
      <c r="H976" t="s">
        <v>37</v>
      </c>
      <c r="I976" t="s">
        <v>32</v>
      </c>
      <c r="J976">
        <v>1.2</v>
      </c>
      <c r="K976">
        <v>22</v>
      </c>
      <c r="L976">
        <v>4</v>
      </c>
      <c r="M976">
        <v>763851</v>
      </c>
      <c r="N976">
        <v>3055404</v>
      </c>
      <c r="O976">
        <v>2511678</v>
      </c>
      <c r="P976">
        <v>543726</v>
      </c>
    </row>
    <row r="977" spans="1:16" x14ac:dyDescent="0.3">
      <c r="A977">
        <v>1976</v>
      </c>
      <c r="B977" t="s">
        <v>488</v>
      </c>
      <c r="C977">
        <v>2023</v>
      </c>
      <c r="D977" t="s">
        <v>43</v>
      </c>
      <c r="E977" t="s">
        <v>44</v>
      </c>
      <c r="F977" t="s">
        <v>92</v>
      </c>
      <c r="G977" t="s">
        <v>20</v>
      </c>
      <c r="H977" t="s">
        <v>100</v>
      </c>
      <c r="I977" t="s">
        <v>22</v>
      </c>
      <c r="J977">
        <v>1.5</v>
      </c>
      <c r="K977">
        <v>21</v>
      </c>
      <c r="L977">
        <v>7</v>
      </c>
      <c r="M977">
        <v>1162098</v>
      </c>
      <c r="N977">
        <v>8134686</v>
      </c>
      <c r="O977">
        <v>6317807</v>
      </c>
      <c r="P977">
        <v>1816879</v>
      </c>
    </row>
    <row r="978" spans="1:16" x14ac:dyDescent="0.3">
      <c r="A978">
        <v>1977</v>
      </c>
      <c r="B978" t="s">
        <v>372</v>
      </c>
      <c r="C978">
        <v>2024</v>
      </c>
      <c r="D978" t="s">
        <v>61</v>
      </c>
      <c r="E978" t="s">
        <v>25</v>
      </c>
      <c r="F978" t="s">
        <v>77</v>
      </c>
      <c r="G978" t="s">
        <v>46</v>
      </c>
      <c r="H978" t="s">
        <v>37</v>
      </c>
      <c r="I978" t="s">
        <v>32</v>
      </c>
      <c r="J978">
        <v>1</v>
      </c>
      <c r="K978">
        <v>16</v>
      </c>
      <c r="L978">
        <v>4</v>
      </c>
      <c r="M978">
        <v>862804</v>
      </c>
      <c r="N978">
        <v>3451216</v>
      </c>
      <c r="O978">
        <v>2761642</v>
      </c>
      <c r="P978">
        <v>689574</v>
      </c>
    </row>
    <row r="979" spans="1:16" x14ac:dyDescent="0.3">
      <c r="A979">
        <v>1978</v>
      </c>
      <c r="B979" t="s">
        <v>184</v>
      </c>
      <c r="C979">
        <v>2024</v>
      </c>
      <c r="D979" t="s">
        <v>50</v>
      </c>
      <c r="E979" t="s">
        <v>44</v>
      </c>
      <c r="F979" t="s">
        <v>70</v>
      </c>
      <c r="G979" t="s">
        <v>30</v>
      </c>
      <c r="H979" t="s">
        <v>37</v>
      </c>
      <c r="I979" t="s">
        <v>32</v>
      </c>
      <c r="J979">
        <v>1.2</v>
      </c>
      <c r="K979">
        <v>20</v>
      </c>
      <c r="L979">
        <v>3</v>
      </c>
      <c r="M979">
        <v>924418</v>
      </c>
      <c r="N979">
        <v>2773254</v>
      </c>
      <c r="O979">
        <v>2224215</v>
      </c>
      <c r="P979">
        <v>549039</v>
      </c>
    </row>
    <row r="980" spans="1:16" x14ac:dyDescent="0.3">
      <c r="A980">
        <v>1979</v>
      </c>
      <c r="B980" t="s">
        <v>620</v>
      </c>
      <c r="C980">
        <v>2023</v>
      </c>
      <c r="D980" t="s">
        <v>50</v>
      </c>
      <c r="E980" t="s">
        <v>18</v>
      </c>
      <c r="F980" t="s">
        <v>107</v>
      </c>
      <c r="G980" t="s">
        <v>27</v>
      </c>
      <c r="H980" t="s">
        <v>54</v>
      </c>
      <c r="I980" t="s">
        <v>48</v>
      </c>
      <c r="J980">
        <v>1.2</v>
      </c>
      <c r="K980">
        <v>21</v>
      </c>
      <c r="L980">
        <v>3</v>
      </c>
      <c r="M980">
        <v>1448040</v>
      </c>
      <c r="N980">
        <v>4344120</v>
      </c>
      <c r="O980">
        <v>3352701</v>
      </c>
      <c r="P980">
        <v>991419</v>
      </c>
    </row>
    <row r="981" spans="1:16" x14ac:dyDescent="0.3">
      <c r="A981">
        <v>1980</v>
      </c>
      <c r="B981" t="s">
        <v>308</v>
      </c>
      <c r="C981">
        <v>2023</v>
      </c>
      <c r="D981" t="s">
        <v>34</v>
      </c>
      <c r="E981" t="s">
        <v>44</v>
      </c>
      <c r="F981" t="s">
        <v>92</v>
      </c>
      <c r="G981" t="s">
        <v>90</v>
      </c>
      <c r="H981" t="s">
        <v>52</v>
      </c>
      <c r="I981" t="s">
        <v>22</v>
      </c>
      <c r="J981">
        <v>1.2</v>
      </c>
      <c r="K981">
        <v>16</v>
      </c>
      <c r="L981">
        <v>1</v>
      </c>
      <c r="M981">
        <v>1236440</v>
      </c>
      <c r="N981">
        <v>1236440</v>
      </c>
      <c r="O981">
        <v>1014508</v>
      </c>
      <c r="P981">
        <v>221932</v>
      </c>
    </row>
    <row r="982" spans="1:16" x14ac:dyDescent="0.3">
      <c r="A982">
        <v>1981</v>
      </c>
      <c r="B982" t="s">
        <v>621</v>
      </c>
      <c r="C982">
        <v>2024</v>
      </c>
      <c r="D982" t="s">
        <v>43</v>
      </c>
      <c r="E982" t="s">
        <v>18</v>
      </c>
      <c r="F982" t="s">
        <v>72</v>
      </c>
      <c r="G982" t="s">
        <v>90</v>
      </c>
      <c r="H982" t="s">
        <v>47</v>
      </c>
      <c r="I982" t="s">
        <v>48</v>
      </c>
      <c r="J982">
        <v>1</v>
      </c>
      <c r="K982">
        <v>19</v>
      </c>
      <c r="L982">
        <v>2</v>
      </c>
      <c r="M982">
        <v>1327549</v>
      </c>
      <c r="N982">
        <v>2655098</v>
      </c>
      <c r="O982">
        <v>2342375</v>
      </c>
      <c r="P982">
        <v>312723</v>
      </c>
    </row>
    <row r="983" spans="1:16" x14ac:dyDescent="0.3">
      <c r="A983">
        <v>1982</v>
      </c>
      <c r="B983" t="s">
        <v>383</v>
      </c>
      <c r="C983">
        <v>2023</v>
      </c>
      <c r="D983" t="s">
        <v>76</v>
      </c>
      <c r="E983" t="s">
        <v>18</v>
      </c>
      <c r="F983" t="s">
        <v>72</v>
      </c>
      <c r="G983" t="s">
        <v>46</v>
      </c>
      <c r="H983" t="s">
        <v>47</v>
      </c>
      <c r="I983" t="s">
        <v>48</v>
      </c>
      <c r="J983">
        <v>1.2</v>
      </c>
      <c r="K983">
        <v>23</v>
      </c>
      <c r="L983">
        <v>6</v>
      </c>
      <c r="M983">
        <v>1125298</v>
      </c>
      <c r="N983">
        <v>6751788</v>
      </c>
      <c r="O983">
        <v>5599060</v>
      </c>
      <c r="P983">
        <v>1152728</v>
      </c>
    </row>
    <row r="984" spans="1:16" x14ac:dyDescent="0.3">
      <c r="A984">
        <v>1983</v>
      </c>
      <c r="B984" t="s">
        <v>138</v>
      </c>
      <c r="C984">
        <v>2023</v>
      </c>
      <c r="D984" t="s">
        <v>17</v>
      </c>
      <c r="E984" t="s">
        <v>25</v>
      </c>
      <c r="F984" t="s">
        <v>58</v>
      </c>
      <c r="G984" t="s">
        <v>36</v>
      </c>
      <c r="H984" t="s">
        <v>21</v>
      </c>
      <c r="I984" t="s">
        <v>22</v>
      </c>
      <c r="J984">
        <v>1</v>
      </c>
      <c r="K984">
        <v>23</v>
      </c>
      <c r="L984">
        <v>7</v>
      </c>
      <c r="M984">
        <v>1058943</v>
      </c>
      <c r="N984">
        <v>7412601</v>
      </c>
      <c r="O984">
        <v>6152505</v>
      </c>
      <c r="P984">
        <v>1260096</v>
      </c>
    </row>
    <row r="985" spans="1:16" x14ac:dyDescent="0.3">
      <c r="A985">
        <v>1984</v>
      </c>
      <c r="B985" t="s">
        <v>360</v>
      </c>
      <c r="C985">
        <v>2024</v>
      </c>
      <c r="D985" t="s">
        <v>61</v>
      </c>
      <c r="E985" t="s">
        <v>25</v>
      </c>
      <c r="F985" t="s">
        <v>58</v>
      </c>
      <c r="G985" t="s">
        <v>51</v>
      </c>
      <c r="H985" t="s">
        <v>54</v>
      </c>
      <c r="I985" t="s">
        <v>48</v>
      </c>
      <c r="J985">
        <v>1</v>
      </c>
      <c r="K985">
        <v>19</v>
      </c>
      <c r="L985">
        <v>1</v>
      </c>
      <c r="M985">
        <v>1356765</v>
      </c>
      <c r="N985">
        <v>1356765</v>
      </c>
      <c r="O985">
        <v>1197082</v>
      </c>
      <c r="P985">
        <v>159683</v>
      </c>
    </row>
    <row r="986" spans="1:16" x14ac:dyDescent="0.3">
      <c r="A986">
        <v>1985</v>
      </c>
      <c r="B986" t="s">
        <v>98</v>
      </c>
      <c r="C986">
        <v>2024</v>
      </c>
      <c r="D986" t="s">
        <v>74</v>
      </c>
      <c r="E986" t="s">
        <v>25</v>
      </c>
      <c r="F986" t="s">
        <v>77</v>
      </c>
      <c r="G986" t="s">
        <v>27</v>
      </c>
      <c r="H986" t="s">
        <v>52</v>
      </c>
      <c r="I986" t="s">
        <v>22</v>
      </c>
      <c r="J986">
        <v>1.2</v>
      </c>
      <c r="K986">
        <v>16</v>
      </c>
      <c r="L986">
        <v>6</v>
      </c>
      <c r="M986">
        <v>1465868</v>
      </c>
      <c r="N986">
        <v>8795208</v>
      </c>
      <c r="O986">
        <v>7475934</v>
      </c>
      <c r="P986">
        <v>1319274</v>
      </c>
    </row>
    <row r="987" spans="1:16" x14ac:dyDescent="0.3">
      <c r="A987">
        <v>1986</v>
      </c>
      <c r="B987" t="s">
        <v>430</v>
      </c>
      <c r="C987">
        <v>2024</v>
      </c>
      <c r="D987" t="s">
        <v>39</v>
      </c>
      <c r="E987" t="s">
        <v>44</v>
      </c>
      <c r="F987" t="s">
        <v>62</v>
      </c>
      <c r="G987" t="s">
        <v>36</v>
      </c>
      <c r="H987" t="s">
        <v>21</v>
      </c>
      <c r="I987" t="s">
        <v>22</v>
      </c>
      <c r="J987">
        <v>1.5</v>
      </c>
      <c r="K987">
        <v>16</v>
      </c>
      <c r="L987">
        <v>2</v>
      </c>
      <c r="M987">
        <v>816607</v>
      </c>
      <c r="N987">
        <v>1633214</v>
      </c>
      <c r="O987">
        <v>1238291</v>
      </c>
      <c r="P987">
        <v>394923</v>
      </c>
    </row>
    <row r="988" spans="1:16" x14ac:dyDescent="0.3">
      <c r="A988">
        <v>1987</v>
      </c>
      <c r="B988" t="s">
        <v>199</v>
      </c>
      <c r="C988">
        <v>2024</v>
      </c>
      <c r="D988" t="s">
        <v>76</v>
      </c>
      <c r="E988" t="s">
        <v>40</v>
      </c>
      <c r="F988" t="s">
        <v>104</v>
      </c>
      <c r="G988" t="s">
        <v>46</v>
      </c>
      <c r="H988" t="s">
        <v>54</v>
      </c>
      <c r="I988" t="s">
        <v>48</v>
      </c>
      <c r="J988">
        <v>1</v>
      </c>
      <c r="K988">
        <v>22</v>
      </c>
      <c r="L988">
        <v>1</v>
      </c>
      <c r="M988">
        <v>695015</v>
      </c>
      <c r="N988">
        <v>695015</v>
      </c>
      <c r="O988">
        <v>545074</v>
      </c>
      <c r="P988">
        <v>149941</v>
      </c>
    </row>
    <row r="989" spans="1:16" x14ac:dyDescent="0.3">
      <c r="A989">
        <v>1988</v>
      </c>
      <c r="B989" t="s">
        <v>305</v>
      </c>
      <c r="C989">
        <v>2024</v>
      </c>
      <c r="D989" t="s">
        <v>43</v>
      </c>
      <c r="E989" t="s">
        <v>25</v>
      </c>
      <c r="F989" t="s">
        <v>58</v>
      </c>
      <c r="G989" t="s">
        <v>27</v>
      </c>
      <c r="H989" t="s">
        <v>79</v>
      </c>
      <c r="I989" t="s">
        <v>48</v>
      </c>
      <c r="J989">
        <v>1.2</v>
      </c>
      <c r="K989">
        <v>20</v>
      </c>
      <c r="L989">
        <v>4</v>
      </c>
      <c r="M989">
        <v>1442779</v>
      </c>
      <c r="N989">
        <v>5771116</v>
      </c>
      <c r="O989">
        <v>5116979</v>
      </c>
      <c r="P989">
        <v>654137</v>
      </c>
    </row>
    <row r="990" spans="1:16" x14ac:dyDescent="0.3">
      <c r="A990">
        <v>1989</v>
      </c>
      <c r="B990" t="s">
        <v>622</v>
      </c>
      <c r="C990">
        <v>2023</v>
      </c>
      <c r="D990" t="s">
        <v>34</v>
      </c>
      <c r="E990" t="s">
        <v>18</v>
      </c>
      <c r="F990" t="s">
        <v>72</v>
      </c>
      <c r="G990" t="s">
        <v>30</v>
      </c>
      <c r="H990" t="s">
        <v>100</v>
      </c>
      <c r="I990" t="s">
        <v>22</v>
      </c>
      <c r="J990">
        <v>2</v>
      </c>
      <c r="K990">
        <v>22</v>
      </c>
      <c r="L990">
        <v>6</v>
      </c>
      <c r="M990">
        <v>1361684</v>
      </c>
      <c r="N990">
        <v>8170104</v>
      </c>
      <c r="O990">
        <v>6671833</v>
      </c>
      <c r="P990">
        <v>1498271</v>
      </c>
    </row>
    <row r="991" spans="1:16" x14ac:dyDescent="0.3">
      <c r="A991">
        <v>1990</v>
      </c>
      <c r="B991" t="s">
        <v>560</v>
      </c>
      <c r="C991">
        <v>2024</v>
      </c>
      <c r="D991" t="s">
        <v>17</v>
      </c>
      <c r="E991" t="s">
        <v>40</v>
      </c>
      <c r="F991" t="s">
        <v>104</v>
      </c>
      <c r="G991" t="s">
        <v>30</v>
      </c>
      <c r="H991" t="s">
        <v>56</v>
      </c>
      <c r="I991" t="s">
        <v>48</v>
      </c>
      <c r="J991">
        <v>2</v>
      </c>
      <c r="K991">
        <v>16</v>
      </c>
      <c r="L991">
        <v>1</v>
      </c>
      <c r="M991">
        <v>1248201</v>
      </c>
      <c r="N991">
        <v>1248201</v>
      </c>
      <c r="O991">
        <v>1081071</v>
      </c>
      <c r="P991">
        <v>167130</v>
      </c>
    </row>
    <row r="992" spans="1:16" x14ac:dyDescent="0.3">
      <c r="A992">
        <v>1991</v>
      </c>
      <c r="B992" t="s">
        <v>195</v>
      </c>
      <c r="C992">
        <v>2023</v>
      </c>
      <c r="D992" t="s">
        <v>76</v>
      </c>
      <c r="E992" t="s">
        <v>18</v>
      </c>
      <c r="F992" t="s">
        <v>19</v>
      </c>
      <c r="G992" t="s">
        <v>30</v>
      </c>
      <c r="H992" t="s">
        <v>52</v>
      </c>
      <c r="I992" t="s">
        <v>22</v>
      </c>
      <c r="J992">
        <v>1</v>
      </c>
      <c r="K992">
        <v>21</v>
      </c>
      <c r="L992">
        <v>5</v>
      </c>
      <c r="M992">
        <v>806562</v>
      </c>
      <c r="N992">
        <v>4032810</v>
      </c>
      <c r="O992">
        <v>3583939</v>
      </c>
      <c r="P992">
        <v>448871</v>
      </c>
    </row>
    <row r="993" spans="1:16" x14ac:dyDescent="0.3">
      <c r="A993">
        <v>1992</v>
      </c>
      <c r="B993" t="s">
        <v>348</v>
      </c>
      <c r="C993">
        <v>2023</v>
      </c>
      <c r="D993" t="s">
        <v>24</v>
      </c>
      <c r="E993" t="s">
        <v>25</v>
      </c>
      <c r="F993" t="s">
        <v>84</v>
      </c>
      <c r="G993" t="s">
        <v>20</v>
      </c>
      <c r="H993" t="s">
        <v>47</v>
      </c>
      <c r="I993" t="s">
        <v>48</v>
      </c>
      <c r="J993">
        <v>2</v>
      </c>
      <c r="K993">
        <v>22</v>
      </c>
      <c r="L993">
        <v>1</v>
      </c>
      <c r="M993">
        <v>1217097</v>
      </c>
      <c r="N993">
        <v>1217097</v>
      </c>
      <c r="O993">
        <v>1068879</v>
      </c>
      <c r="P993">
        <v>148218</v>
      </c>
    </row>
    <row r="994" spans="1:16" x14ac:dyDescent="0.3">
      <c r="A994">
        <v>1993</v>
      </c>
      <c r="B994" t="s">
        <v>219</v>
      </c>
      <c r="C994">
        <v>2023</v>
      </c>
      <c r="D994" t="s">
        <v>76</v>
      </c>
      <c r="E994" t="s">
        <v>44</v>
      </c>
      <c r="F994" t="s">
        <v>70</v>
      </c>
      <c r="G994" t="s">
        <v>30</v>
      </c>
      <c r="H994" t="s">
        <v>37</v>
      </c>
      <c r="I994" t="s">
        <v>32</v>
      </c>
      <c r="J994">
        <v>1.5</v>
      </c>
      <c r="K994">
        <v>22</v>
      </c>
      <c r="L994">
        <v>8</v>
      </c>
      <c r="M994">
        <v>945035</v>
      </c>
      <c r="N994">
        <v>7560280</v>
      </c>
      <c r="O994">
        <v>6102969</v>
      </c>
      <c r="P994">
        <v>1457311</v>
      </c>
    </row>
    <row r="995" spans="1:16" x14ac:dyDescent="0.3">
      <c r="A995">
        <v>1994</v>
      </c>
      <c r="B995" t="s">
        <v>554</v>
      </c>
      <c r="C995">
        <v>2024</v>
      </c>
      <c r="D995" t="s">
        <v>76</v>
      </c>
      <c r="E995" t="s">
        <v>18</v>
      </c>
      <c r="F995" t="s">
        <v>107</v>
      </c>
      <c r="G995" t="s">
        <v>51</v>
      </c>
      <c r="H995" t="s">
        <v>21</v>
      </c>
      <c r="I995" t="s">
        <v>22</v>
      </c>
      <c r="J995">
        <v>1.2</v>
      </c>
      <c r="K995">
        <v>22</v>
      </c>
      <c r="L995">
        <v>5</v>
      </c>
      <c r="M995">
        <v>932443</v>
      </c>
      <c r="N995">
        <v>4662215</v>
      </c>
      <c r="O995">
        <v>3570146</v>
      </c>
      <c r="P995">
        <v>1092069</v>
      </c>
    </row>
    <row r="996" spans="1:16" x14ac:dyDescent="0.3">
      <c r="A996">
        <v>1995</v>
      </c>
      <c r="B996" t="s">
        <v>623</v>
      </c>
      <c r="C996">
        <v>2023</v>
      </c>
      <c r="D996" t="s">
        <v>97</v>
      </c>
      <c r="E996" t="s">
        <v>18</v>
      </c>
      <c r="F996" t="s">
        <v>72</v>
      </c>
      <c r="G996" t="s">
        <v>46</v>
      </c>
      <c r="H996" t="s">
        <v>21</v>
      </c>
      <c r="I996" t="s">
        <v>22</v>
      </c>
      <c r="J996">
        <v>1.5</v>
      </c>
      <c r="K996">
        <v>20</v>
      </c>
      <c r="L996">
        <v>1</v>
      </c>
      <c r="M996">
        <v>1013680</v>
      </c>
      <c r="N996">
        <v>1013680</v>
      </c>
      <c r="O996">
        <v>858492</v>
      </c>
      <c r="P996">
        <v>155188</v>
      </c>
    </row>
    <row r="997" spans="1:16" x14ac:dyDescent="0.3">
      <c r="A997">
        <v>1996</v>
      </c>
      <c r="B997" t="s">
        <v>338</v>
      </c>
      <c r="C997">
        <v>2024</v>
      </c>
      <c r="D997" t="s">
        <v>50</v>
      </c>
      <c r="E997" t="s">
        <v>44</v>
      </c>
      <c r="F997" t="s">
        <v>62</v>
      </c>
      <c r="G997" t="s">
        <v>59</v>
      </c>
      <c r="H997" t="s">
        <v>79</v>
      </c>
      <c r="I997" t="s">
        <v>48</v>
      </c>
      <c r="J997">
        <v>2</v>
      </c>
      <c r="K997">
        <v>20</v>
      </c>
      <c r="L997">
        <v>6</v>
      </c>
      <c r="M997">
        <v>1034287</v>
      </c>
      <c r="N997">
        <v>6205722</v>
      </c>
      <c r="O997">
        <v>5435139</v>
      </c>
      <c r="P997">
        <v>770583</v>
      </c>
    </row>
    <row r="998" spans="1:16" x14ac:dyDescent="0.3">
      <c r="A998">
        <v>1997</v>
      </c>
      <c r="B998" t="s">
        <v>204</v>
      </c>
      <c r="C998">
        <v>2023</v>
      </c>
      <c r="D998" t="s">
        <v>29</v>
      </c>
      <c r="E998" t="s">
        <v>25</v>
      </c>
      <c r="F998" t="s">
        <v>58</v>
      </c>
      <c r="G998" t="s">
        <v>27</v>
      </c>
      <c r="H998" t="s">
        <v>52</v>
      </c>
      <c r="I998" t="s">
        <v>22</v>
      </c>
      <c r="J998">
        <v>1.2</v>
      </c>
      <c r="K998">
        <v>23</v>
      </c>
      <c r="L998">
        <v>4</v>
      </c>
      <c r="M998">
        <v>858006</v>
      </c>
      <c r="N998">
        <v>3432024</v>
      </c>
      <c r="O998">
        <v>2704006</v>
      </c>
      <c r="P998">
        <v>728018</v>
      </c>
    </row>
    <row r="999" spans="1:16" x14ac:dyDescent="0.3">
      <c r="A999">
        <v>1998</v>
      </c>
      <c r="B999" t="s">
        <v>624</v>
      </c>
      <c r="C999">
        <v>2023</v>
      </c>
      <c r="D999" t="s">
        <v>61</v>
      </c>
      <c r="E999" t="s">
        <v>40</v>
      </c>
      <c r="F999" t="s">
        <v>68</v>
      </c>
      <c r="G999" t="s">
        <v>46</v>
      </c>
      <c r="H999" t="s">
        <v>56</v>
      </c>
      <c r="I999" t="s">
        <v>48</v>
      </c>
      <c r="J999">
        <v>1</v>
      </c>
      <c r="K999">
        <v>20</v>
      </c>
      <c r="L999">
        <v>3</v>
      </c>
      <c r="M999">
        <v>1178541</v>
      </c>
      <c r="N999">
        <v>3535623</v>
      </c>
      <c r="O999">
        <v>2958090</v>
      </c>
      <c r="P999">
        <v>577533</v>
      </c>
    </row>
    <row r="1000" spans="1:16" x14ac:dyDescent="0.3">
      <c r="A1000">
        <v>1999</v>
      </c>
      <c r="B1000" t="s">
        <v>232</v>
      </c>
      <c r="C1000">
        <v>2023</v>
      </c>
      <c r="D1000" t="s">
        <v>67</v>
      </c>
      <c r="E1000" t="s">
        <v>25</v>
      </c>
      <c r="F1000" t="s">
        <v>77</v>
      </c>
      <c r="G1000" t="s">
        <v>30</v>
      </c>
      <c r="H1000" t="s">
        <v>47</v>
      </c>
      <c r="I1000" t="s">
        <v>48</v>
      </c>
      <c r="J1000">
        <v>1.2</v>
      </c>
      <c r="K1000">
        <v>23</v>
      </c>
      <c r="L1000">
        <v>4</v>
      </c>
      <c r="M1000">
        <v>860497</v>
      </c>
      <c r="N1000">
        <v>3441988</v>
      </c>
      <c r="O1000">
        <v>3077116</v>
      </c>
      <c r="P1000">
        <v>364872</v>
      </c>
    </row>
    <row r="1001" spans="1:16" x14ac:dyDescent="0.3">
      <c r="A1001">
        <v>2000</v>
      </c>
      <c r="B1001" t="s">
        <v>625</v>
      </c>
      <c r="C1001">
        <v>2024</v>
      </c>
      <c r="D1001" t="s">
        <v>34</v>
      </c>
      <c r="E1001" t="s">
        <v>18</v>
      </c>
      <c r="F1001" t="s">
        <v>35</v>
      </c>
      <c r="G1001" t="s">
        <v>36</v>
      </c>
      <c r="H1001" t="s">
        <v>79</v>
      </c>
      <c r="I1001" t="s">
        <v>48</v>
      </c>
      <c r="J1001">
        <v>1.2</v>
      </c>
      <c r="K1001">
        <v>19</v>
      </c>
      <c r="L1001">
        <v>2</v>
      </c>
      <c r="M1001">
        <v>723790</v>
      </c>
      <c r="N1001">
        <v>1447580</v>
      </c>
      <c r="O1001">
        <v>1142109</v>
      </c>
      <c r="P1001">
        <v>305471</v>
      </c>
    </row>
    <row r="1002" spans="1:16" x14ac:dyDescent="0.3">
      <c r="A1002">
        <v>2001</v>
      </c>
      <c r="B1002" t="s">
        <v>130</v>
      </c>
      <c r="C1002">
        <v>2024</v>
      </c>
      <c r="D1002" t="s">
        <v>61</v>
      </c>
      <c r="E1002" t="s">
        <v>25</v>
      </c>
      <c r="F1002" t="s">
        <v>58</v>
      </c>
      <c r="G1002" t="s">
        <v>59</v>
      </c>
      <c r="H1002" t="s">
        <v>52</v>
      </c>
      <c r="I1002" t="s">
        <v>22</v>
      </c>
      <c r="J1002">
        <v>2</v>
      </c>
      <c r="K1002">
        <v>18</v>
      </c>
      <c r="L1002">
        <v>6</v>
      </c>
      <c r="M1002">
        <v>624710</v>
      </c>
      <c r="N1002">
        <v>3748260</v>
      </c>
      <c r="O1002">
        <v>2853880</v>
      </c>
      <c r="P1002">
        <v>894380</v>
      </c>
    </row>
    <row r="1003" spans="1:16" x14ac:dyDescent="0.3">
      <c r="A1003">
        <v>2002</v>
      </c>
      <c r="B1003" t="s">
        <v>139</v>
      </c>
      <c r="C1003">
        <v>2024</v>
      </c>
      <c r="D1003" t="s">
        <v>61</v>
      </c>
      <c r="E1003" t="s">
        <v>40</v>
      </c>
      <c r="F1003" t="s">
        <v>120</v>
      </c>
      <c r="G1003" t="s">
        <v>51</v>
      </c>
      <c r="H1003" t="s">
        <v>100</v>
      </c>
      <c r="I1003" t="s">
        <v>22</v>
      </c>
      <c r="J1003">
        <v>1.5</v>
      </c>
      <c r="K1003">
        <v>23</v>
      </c>
      <c r="L1003">
        <v>7</v>
      </c>
      <c r="M1003">
        <v>855365</v>
      </c>
      <c r="N1003">
        <v>5987555</v>
      </c>
      <c r="O1003">
        <v>4701578</v>
      </c>
      <c r="P1003">
        <v>1285977</v>
      </c>
    </row>
    <row r="1004" spans="1:16" x14ac:dyDescent="0.3">
      <c r="A1004">
        <v>2003</v>
      </c>
      <c r="B1004" t="s">
        <v>349</v>
      </c>
      <c r="C1004">
        <v>2024</v>
      </c>
      <c r="D1004" t="s">
        <v>50</v>
      </c>
      <c r="E1004" t="s">
        <v>40</v>
      </c>
      <c r="F1004" t="s">
        <v>104</v>
      </c>
      <c r="G1004" t="s">
        <v>27</v>
      </c>
      <c r="H1004" t="s">
        <v>21</v>
      </c>
      <c r="I1004" t="s">
        <v>22</v>
      </c>
      <c r="J1004">
        <v>2</v>
      </c>
      <c r="K1004">
        <v>23</v>
      </c>
      <c r="L1004">
        <v>7</v>
      </c>
      <c r="M1004">
        <v>1189726</v>
      </c>
      <c r="N1004">
        <v>8328082</v>
      </c>
      <c r="O1004">
        <v>6632466</v>
      </c>
      <c r="P1004">
        <v>1695616</v>
      </c>
    </row>
    <row r="1005" spans="1:16" x14ac:dyDescent="0.3">
      <c r="A1005">
        <v>2004</v>
      </c>
      <c r="B1005" t="s">
        <v>626</v>
      </c>
      <c r="C1005">
        <v>2024</v>
      </c>
      <c r="D1005" t="s">
        <v>67</v>
      </c>
      <c r="E1005" t="s">
        <v>18</v>
      </c>
      <c r="F1005" t="s">
        <v>35</v>
      </c>
      <c r="G1005" t="s">
        <v>46</v>
      </c>
      <c r="H1005" t="s">
        <v>100</v>
      </c>
      <c r="I1005" t="s">
        <v>22</v>
      </c>
      <c r="J1005">
        <v>2</v>
      </c>
      <c r="K1005">
        <v>21</v>
      </c>
      <c r="L1005">
        <v>4</v>
      </c>
      <c r="M1005">
        <v>925446</v>
      </c>
      <c r="N1005">
        <v>3701784</v>
      </c>
      <c r="O1005">
        <v>3077072</v>
      </c>
      <c r="P1005">
        <v>624712</v>
      </c>
    </row>
    <row r="1006" spans="1:16" x14ac:dyDescent="0.3">
      <c r="A1006">
        <v>2005</v>
      </c>
      <c r="B1006" t="s">
        <v>247</v>
      </c>
      <c r="C1006">
        <v>2024</v>
      </c>
      <c r="D1006" t="s">
        <v>76</v>
      </c>
      <c r="E1006" t="s">
        <v>40</v>
      </c>
      <c r="F1006" t="s">
        <v>41</v>
      </c>
      <c r="G1006" t="s">
        <v>36</v>
      </c>
      <c r="H1006" t="s">
        <v>37</v>
      </c>
      <c r="I1006" t="s">
        <v>32</v>
      </c>
      <c r="J1006">
        <v>1.2</v>
      </c>
      <c r="K1006">
        <v>16</v>
      </c>
      <c r="L1006">
        <v>8</v>
      </c>
      <c r="M1006">
        <v>1468500</v>
      </c>
      <c r="N1006">
        <v>11748000</v>
      </c>
      <c r="O1006">
        <v>9938083</v>
      </c>
      <c r="P1006">
        <v>1809917</v>
      </c>
    </row>
    <row r="1007" spans="1:16" x14ac:dyDescent="0.3">
      <c r="A1007">
        <v>2006</v>
      </c>
      <c r="B1007" t="s">
        <v>476</v>
      </c>
      <c r="C1007">
        <v>2023</v>
      </c>
      <c r="D1007" t="s">
        <v>97</v>
      </c>
      <c r="E1007" t="s">
        <v>40</v>
      </c>
      <c r="F1007" t="s">
        <v>41</v>
      </c>
      <c r="G1007" t="s">
        <v>30</v>
      </c>
      <c r="H1007" t="s">
        <v>63</v>
      </c>
      <c r="I1007" t="s">
        <v>22</v>
      </c>
      <c r="J1007">
        <v>2</v>
      </c>
      <c r="K1007">
        <v>19</v>
      </c>
      <c r="L1007">
        <v>3</v>
      </c>
      <c r="M1007">
        <v>1178387</v>
      </c>
      <c r="N1007">
        <v>3535161</v>
      </c>
      <c r="O1007">
        <v>2917533</v>
      </c>
      <c r="P1007">
        <v>617628</v>
      </c>
    </row>
    <row r="1008" spans="1:16" x14ac:dyDescent="0.3">
      <c r="A1008">
        <v>2007</v>
      </c>
      <c r="B1008" t="s">
        <v>242</v>
      </c>
      <c r="C1008">
        <v>2024</v>
      </c>
      <c r="D1008" t="s">
        <v>97</v>
      </c>
      <c r="E1008" t="s">
        <v>18</v>
      </c>
      <c r="F1008" t="s">
        <v>35</v>
      </c>
      <c r="G1008" t="s">
        <v>46</v>
      </c>
      <c r="H1008" t="s">
        <v>56</v>
      </c>
      <c r="I1008" t="s">
        <v>48</v>
      </c>
      <c r="J1008">
        <v>2</v>
      </c>
      <c r="K1008">
        <v>22</v>
      </c>
      <c r="L1008">
        <v>7</v>
      </c>
      <c r="M1008">
        <v>818802</v>
      </c>
      <c r="N1008">
        <v>5731614</v>
      </c>
      <c r="O1008">
        <v>4498035</v>
      </c>
      <c r="P1008">
        <v>1233579</v>
      </c>
    </row>
    <row r="1009" spans="1:16" x14ac:dyDescent="0.3">
      <c r="A1009">
        <v>2008</v>
      </c>
      <c r="B1009" t="s">
        <v>499</v>
      </c>
      <c r="C1009">
        <v>2024</v>
      </c>
      <c r="D1009" t="s">
        <v>76</v>
      </c>
      <c r="E1009" t="s">
        <v>25</v>
      </c>
      <c r="F1009" t="s">
        <v>77</v>
      </c>
      <c r="G1009" t="s">
        <v>51</v>
      </c>
      <c r="H1009" t="s">
        <v>100</v>
      </c>
      <c r="I1009" t="s">
        <v>22</v>
      </c>
      <c r="J1009">
        <v>1.5</v>
      </c>
      <c r="K1009">
        <v>16</v>
      </c>
      <c r="L1009">
        <v>3</v>
      </c>
      <c r="M1009">
        <v>787107</v>
      </c>
      <c r="N1009">
        <v>2361321</v>
      </c>
      <c r="O1009">
        <v>2005664</v>
      </c>
      <c r="P1009">
        <v>355657</v>
      </c>
    </row>
    <row r="1010" spans="1:16" x14ac:dyDescent="0.3">
      <c r="A1010">
        <v>2009</v>
      </c>
      <c r="B1010" t="s">
        <v>379</v>
      </c>
      <c r="C1010">
        <v>2024</v>
      </c>
      <c r="D1010" t="s">
        <v>39</v>
      </c>
      <c r="E1010" t="s">
        <v>25</v>
      </c>
      <c r="F1010" t="s">
        <v>58</v>
      </c>
      <c r="G1010" t="s">
        <v>51</v>
      </c>
      <c r="H1010" t="s">
        <v>100</v>
      </c>
      <c r="I1010" t="s">
        <v>22</v>
      </c>
      <c r="J1010">
        <v>1</v>
      </c>
      <c r="K1010">
        <v>23</v>
      </c>
      <c r="L1010">
        <v>2</v>
      </c>
      <c r="M1010">
        <v>1161045</v>
      </c>
      <c r="N1010">
        <v>2322090</v>
      </c>
      <c r="O1010">
        <v>1754555</v>
      </c>
      <c r="P1010">
        <v>567535</v>
      </c>
    </row>
    <row r="1011" spans="1:16" x14ac:dyDescent="0.3">
      <c r="A1011">
        <v>2010</v>
      </c>
      <c r="B1011" t="s">
        <v>576</v>
      </c>
      <c r="C1011">
        <v>2024</v>
      </c>
      <c r="D1011" t="s">
        <v>76</v>
      </c>
      <c r="E1011" t="s">
        <v>44</v>
      </c>
      <c r="F1011" t="s">
        <v>70</v>
      </c>
      <c r="G1011" t="s">
        <v>59</v>
      </c>
      <c r="H1011" t="s">
        <v>79</v>
      </c>
      <c r="I1011" t="s">
        <v>48</v>
      </c>
      <c r="J1011">
        <v>1.2</v>
      </c>
      <c r="K1011">
        <v>18</v>
      </c>
      <c r="L1011">
        <v>3</v>
      </c>
      <c r="M1011">
        <v>653962</v>
      </c>
      <c r="N1011">
        <v>1961886</v>
      </c>
      <c r="O1011">
        <v>1535897</v>
      </c>
      <c r="P1011">
        <v>425989</v>
      </c>
    </row>
    <row r="1012" spans="1:16" x14ac:dyDescent="0.3">
      <c r="A1012">
        <v>2011</v>
      </c>
      <c r="B1012" t="s">
        <v>461</v>
      </c>
      <c r="C1012">
        <v>2023</v>
      </c>
      <c r="D1012" t="s">
        <v>39</v>
      </c>
      <c r="E1012" t="s">
        <v>40</v>
      </c>
      <c r="F1012" t="s">
        <v>68</v>
      </c>
      <c r="G1012" t="s">
        <v>90</v>
      </c>
      <c r="H1012" t="s">
        <v>100</v>
      </c>
      <c r="I1012" t="s">
        <v>22</v>
      </c>
      <c r="J1012">
        <v>1.5</v>
      </c>
      <c r="K1012">
        <v>20</v>
      </c>
      <c r="L1012">
        <v>2</v>
      </c>
      <c r="M1012">
        <v>1055392</v>
      </c>
      <c r="N1012">
        <v>2110784</v>
      </c>
      <c r="O1012">
        <v>1613554</v>
      </c>
      <c r="P1012">
        <v>497230</v>
      </c>
    </row>
    <row r="1013" spans="1:16" x14ac:dyDescent="0.3">
      <c r="A1013">
        <v>2012</v>
      </c>
      <c r="B1013" t="s">
        <v>606</v>
      </c>
      <c r="C1013">
        <v>2024</v>
      </c>
      <c r="D1013" t="s">
        <v>76</v>
      </c>
      <c r="E1013" t="s">
        <v>18</v>
      </c>
      <c r="F1013" t="s">
        <v>19</v>
      </c>
      <c r="G1013" t="s">
        <v>46</v>
      </c>
      <c r="H1013" t="s">
        <v>31</v>
      </c>
      <c r="I1013" t="s">
        <v>32</v>
      </c>
      <c r="J1013">
        <v>1</v>
      </c>
      <c r="K1013">
        <v>22</v>
      </c>
      <c r="L1013">
        <v>8</v>
      </c>
      <c r="M1013">
        <v>1497074</v>
      </c>
      <c r="N1013">
        <v>11976592</v>
      </c>
      <c r="O1013">
        <v>10088181</v>
      </c>
      <c r="P1013">
        <v>1888411</v>
      </c>
    </row>
    <row r="1014" spans="1:16" x14ac:dyDescent="0.3">
      <c r="A1014">
        <v>2013</v>
      </c>
      <c r="B1014" t="s">
        <v>296</v>
      </c>
      <c r="C1014">
        <v>2023</v>
      </c>
      <c r="D1014" t="s">
        <v>74</v>
      </c>
      <c r="E1014" t="s">
        <v>44</v>
      </c>
      <c r="F1014" t="s">
        <v>45</v>
      </c>
      <c r="G1014" t="s">
        <v>90</v>
      </c>
      <c r="H1014" t="s">
        <v>31</v>
      </c>
      <c r="I1014" t="s">
        <v>32</v>
      </c>
      <c r="J1014">
        <v>1</v>
      </c>
      <c r="K1014">
        <v>21</v>
      </c>
      <c r="L1014">
        <v>3</v>
      </c>
      <c r="M1014">
        <v>1098346</v>
      </c>
      <c r="N1014">
        <v>3295038</v>
      </c>
      <c r="O1014">
        <v>2733421</v>
      </c>
      <c r="P1014">
        <v>561617</v>
      </c>
    </row>
    <row r="1015" spans="1:16" x14ac:dyDescent="0.3">
      <c r="A1015">
        <v>2014</v>
      </c>
      <c r="B1015" t="s">
        <v>392</v>
      </c>
      <c r="C1015">
        <v>2023</v>
      </c>
      <c r="D1015" t="s">
        <v>61</v>
      </c>
      <c r="E1015" t="s">
        <v>44</v>
      </c>
      <c r="F1015" t="s">
        <v>45</v>
      </c>
      <c r="G1015" t="s">
        <v>46</v>
      </c>
      <c r="H1015" t="s">
        <v>54</v>
      </c>
      <c r="I1015" t="s">
        <v>48</v>
      </c>
      <c r="J1015">
        <v>2</v>
      </c>
      <c r="K1015">
        <v>18</v>
      </c>
      <c r="L1015">
        <v>7</v>
      </c>
      <c r="M1015">
        <v>731504</v>
      </c>
      <c r="N1015">
        <v>5120528</v>
      </c>
      <c r="O1015">
        <v>4175910</v>
      </c>
      <c r="P1015">
        <v>944618</v>
      </c>
    </row>
    <row r="1016" spans="1:16" x14ac:dyDescent="0.3">
      <c r="A1016">
        <v>2015</v>
      </c>
      <c r="B1016" t="s">
        <v>416</v>
      </c>
      <c r="C1016">
        <v>2023</v>
      </c>
      <c r="D1016" t="s">
        <v>39</v>
      </c>
      <c r="E1016" t="s">
        <v>40</v>
      </c>
      <c r="F1016" t="s">
        <v>41</v>
      </c>
      <c r="G1016" t="s">
        <v>90</v>
      </c>
      <c r="H1016" t="s">
        <v>47</v>
      </c>
      <c r="I1016" t="s">
        <v>48</v>
      </c>
      <c r="J1016">
        <v>2</v>
      </c>
      <c r="K1016">
        <v>23</v>
      </c>
      <c r="L1016">
        <v>4</v>
      </c>
      <c r="M1016">
        <v>1039660</v>
      </c>
      <c r="N1016">
        <v>4158640</v>
      </c>
      <c r="O1016">
        <v>3156235</v>
      </c>
      <c r="P1016">
        <v>1002405</v>
      </c>
    </row>
    <row r="1017" spans="1:16" x14ac:dyDescent="0.3">
      <c r="A1017">
        <v>2016</v>
      </c>
      <c r="B1017" t="s">
        <v>346</v>
      </c>
      <c r="C1017">
        <v>2023</v>
      </c>
      <c r="D1017" t="s">
        <v>97</v>
      </c>
      <c r="E1017" t="s">
        <v>40</v>
      </c>
      <c r="F1017" t="s">
        <v>104</v>
      </c>
      <c r="G1017" t="s">
        <v>20</v>
      </c>
      <c r="H1017" t="s">
        <v>47</v>
      </c>
      <c r="I1017" t="s">
        <v>48</v>
      </c>
      <c r="J1017">
        <v>1.5</v>
      </c>
      <c r="K1017">
        <v>18</v>
      </c>
      <c r="L1017">
        <v>8</v>
      </c>
      <c r="M1017">
        <v>972867</v>
      </c>
      <c r="N1017">
        <v>7782936</v>
      </c>
      <c r="O1017">
        <v>6298667</v>
      </c>
      <c r="P1017">
        <v>1484269</v>
      </c>
    </row>
    <row r="1018" spans="1:16" x14ac:dyDescent="0.3">
      <c r="A1018">
        <v>2017</v>
      </c>
      <c r="B1018" t="s">
        <v>463</v>
      </c>
      <c r="C1018">
        <v>2023</v>
      </c>
      <c r="D1018" t="s">
        <v>50</v>
      </c>
      <c r="E1018" t="s">
        <v>40</v>
      </c>
      <c r="F1018" t="s">
        <v>41</v>
      </c>
      <c r="G1018" t="s">
        <v>30</v>
      </c>
      <c r="H1018" t="s">
        <v>37</v>
      </c>
      <c r="I1018" t="s">
        <v>32</v>
      </c>
      <c r="J1018">
        <v>1.5</v>
      </c>
      <c r="K1018">
        <v>21</v>
      </c>
      <c r="L1018">
        <v>3</v>
      </c>
      <c r="M1018">
        <v>1009653</v>
      </c>
      <c r="N1018">
        <v>3028959</v>
      </c>
      <c r="O1018">
        <v>2718435</v>
      </c>
      <c r="P1018">
        <v>310524</v>
      </c>
    </row>
    <row r="1019" spans="1:16" x14ac:dyDescent="0.3">
      <c r="A1019">
        <v>2018</v>
      </c>
      <c r="B1019" t="s">
        <v>627</v>
      </c>
      <c r="C1019">
        <v>2023</v>
      </c>
      <c r="D1019" t="s">
        <v>61</v>
      </c>
      <c r="E1019" t="s">
        <v>40</v>
      </c>
      <c r="F1019" t="s">
        <v>41</v>
      </c>
      <c r="G1019" t="s">
        <v>59</v>
      </c>
      <c r="H1019" t="s">
        <v>54</v>
      </c>
      <c r="I1019" t="s">
        <v>48</v>
      </c>
      <c r="J1019">
        <v>1.2</v>
      </c>
      <c r="K1019">
        <v>19</v>
      </c>
      <c r="L1019">
        <v>6</v>
      </c>
      <c r="M1019">
        <v>1481668</v>
      </c>
      <c r="N1019">
        <v>8890008</v>
      </c>
      <c r="O1019">
        <v>7560487</v>
      </c>
      <c r="P1019">
        <v>1329521</v>
      </c>
    </row>
    <row r="1020" spans="1:16" x14ac:dyDescent="0.3">
      <c r="A1020">
        <v>2019</v>
      </c>
      <c r="B1020" t="s">
        <v>555</v>
      </c>
      <c r="C1020">
        <v>2023</v>
      </c>
      <c r="D1020" t="s">
        <v>39</v>
      </c>
      <c r="E1020" t="s">
        <v>25</v>
      </c>
      <c r="F1020" t="s">
        <v>26</v>
      </c>
      <c r="G1020" t="s">
        <v>59</v>
      </c>
      <c r="H1020" t="s">
        <v>56</v>
      </c>
      <c r="I1020" t="s">
        <v>48</v>
      </c>
      <c r="J1020">
        <v>1.5</v>
      </c>
      <c r="K1020">
        <v>20</v>
      </c>
      <c r="L1020">
        <v>7</v>
      </c>
      <c r="M1020">
        <v>763366</v>
      </c>
      <c r="N1020">
        <v>5343562</v>
      </c>
      <c r="O1020">
        <v>4061414</v>
      </c>
      <c r="P1020">
        <v>1282148</v>
      </c>
    </row>
    <row r="1021" spans="1:16" x14ac:dyDescent="0.3">
      <c r="A1021">
        <v>2020</v>
      </c>
      <c r="B1021" t="s">
        <v>311</v>
      </c>
      <c r="C1021">
        <v>2024</v>
      </c>
      <c r="D1021" t="s">
        <v>34</v>
      </c>
      <c r="E1021" t="s">
        <v>25</v>
      </c>
      <c r="F1021" t="s">
        <v>58</v>
      </c>
      <c r="G1021" t="s">
        <v>30</v>
      </c>
      <c r="H1021" t="s">
        <v>79</v>
      </c>
      <c r="I1021" t="s">
        <v>48</v>
      </c>
      <c r="J1021">
        <v>1.5</v>
      </c>
      <c r="K1021">
        <v>19</v>
      </c>
      <c r="L1021">
        <v>2</v>
      </c>
      <c r="M1021">
        <v>976591</v>
      </c>
      <c r="N1021">
        <v>1953182</v>
      </c>
      <c r="O1021">
        <v>1593963</v>
      </c>
      <c r="P1021">
        <v>359219</v>
      </c>
    </row>
    <row r="1022" spans="1:16" x14ac:dyDescent="0.3">
      <c r="A1022">
        <v>2021</v>
      </c>
      <c r="B1022" t="s">
        <v>592</v>
      </c>
      <c r="C1022">
        <v>2024</v>
      </c>
      <c r="D1022" t="s">
        <v>74</v>
      </c>
      <c r="E1022" t="s">
        <v>44</v>
      </c>
      <c r="F1022" t="s">
        <v>70</v>
      </c>
      <c r="G1022" t="s">
        <v>30</v>
      </c>
      <c r="H1022" t="s">
        <v>47</v>
      </c>
      <c r="I1022" t="s">
        <v>48</v>
      </c>
      <c r="J1022">
        <v>1.2</v>
      </c>
      <c r="K1022">
        <v>21</v>
      </c>
      <c r="L1022">
        <v>6</v>
      </c>
      <c r="M1022">
        <v>806919</v>
      </c>
      <c r="N1022">
        <v>4841514</v>
      </c>
      <c r="O1022">
        <v>3829236</v>
      </c>
      <c r="P1022">
        <v>1012278</v>
      </c>
    </row>
    <row r="1023" spans="1:16" x14ac:dyDescent="0.3">
      <c r="A1023">
        <v>2022</v>
      </c>
      <c r="B1023" t="s">
        <v>191</v>
      </c>
      <c r="C1023">
        <v>2024</v>
      </c>
      <c r="D1023" t="s">
        <v>34</v>
      </c>
      <c r="E1023" t="s">
        <v>25</v>
      </c>
      <c r="F1023" t="s">
        <v>77</v>
      </c>
      <c r="G1023" t="s">
        <v>59</v>
      </c>
      <c r="H1023" t="s">
        <v>52</v>
      </c>
      <c r="I1023" t="s">
        <v>22</v>
      </c>
      <c r="J1023">
        <v>1.2</v>
      </c>
      <c r="K1023">
        <v>16</v>
      </c>
      <c r="L1023">
        <v>4</v>
      </c>
      <c r="M1023">
        <v>1215889</v>
      </c>
      <c r="N1023">
        <v>4863556</v>
      </c>
      <c r="O1023">
        <v>3695158</v>
      </c>
      <c r="P1023">
        <v>1168398</v>
      </c>
    </row>
    <row r="1024" spans="1:16" x14ac:dyDescent="0.3">
      <c r="A1024">
        <v>2023</v>
      </c>
      <c r="B1024" t="s">
        <v>505</v>
      </c>
      <c r="C1024">
        <v>2024</v>
      </c>
      <c r="D1024" t="s">
        <v>34</v>
      </c>
      <c r="E1024" t="s">
        <v>18</v>
      </c>
      <c r="F1024" t="s">
        <v>19</v>
      </c>
      <c r="G1024" t="s">
        <v>51</v>
      </c>
      <c r="H1024" t="s">
        <v>63</v>
      </c>
      <c r="I1024" t="s">
        <v>22</v>
      </c>
      <c r="J1024">
        <v>1</v>
      </c>
      <c r="K1024">
        <v>19</v>
      </c>
      <c r="L1024">
        <v>4</v>
      </c>
      <c r="M1024">
        <v>1305065</v>
      </c>
      <c r="N1024">
        <v>5220260</v>
      </c>
      <c r="O1024">
        <v>4068000</v>
      </c>
      <c r="P1024">
        <v>1152260</v>
      </c>
    </row>
    <row r="1025" spans="1:16" x14ac:dyDescent="0.3">
      <c r="A1025">
        <v>2024</v>
      </c>
      <c r="B1025" t="s">
        <v>196</v>
      </c>
      <c r="C1025">
        <v>2023</v>
      </c>
      <c r="D1025" t="s">
        <v>39</v>
      </c>
      <c r="E1025" t="s">
        <v>18</v>
      </c>
      <c r="F1025" t="s">
        <v>19</v>
      </c>
      <c r="G1025" t="s">
        <v>27</v>
      </c>
      <c r="H1025" t="s">
        <v>47</v>
      </c>
      <c r="I1025" t="s">
        <v>48</v>
      </c>
      <c r="J1025">
        <v>1.2</v>
      </c>
      <c r="K1025">
        <v>23</v>
      </c>
      <c r="L1025">
        <v>7</v>
      </c>
      <c r="M1025">
        <v>971233</v>
      </c>
      <c r="N1025">
        <v>6798631</v>
      </c>
      <c r="O1025">
        <v>5864282</v>
      </c>
      <c r="P1025">
        <v>934349</v>
      </c>
    </row>
    <row r="1026" spans="1:16" x14ac:dyDescent="0.3">
      <c r="A1026">
        <v>2025</v>
      </c>
      <c r="B1026" t="s">
        <v>284</v>
      </c>
      <c r="C1026">
        <v>2024</v>
      </c>
      <c r="D1026" t="s">
        <v>67</v>
      </c>
      <c r="E1026" t="s">
        <v>40</v>
      </c>
      <c r="F1026" t="s">
        <v>120</v>
      </c>
      <c r="G1026" t="s">
        <v>30</v>
      </c>
      <c r="H1026" t="s">
        <v>54</v>
      </c>
      <c r="I1026" t="s">
        <v>48</v>
      </c>
      <c r="J1026">
        <v>1</v>
      </c>
      <c r="K1026">
        <v>20</v>
      </c>
      <c r="L1026">
        <v>5</v>
      </c>
      <c r="M1026">
        <v>802068</v>
      </c>
      <c r="N1026">
        <v>4010340</v>
      </c>
      <c r="O1026">
        <v>3301870</v>
      </c>
      <c r="P1026">
        <v>708470</v>
      </c>
    </row>
    <row r="1027" spans="1:16" x14ac:dyDescent="0.3">
      <c r="A1027">
        <v>2026</v>
      </c>
      <c r="B1027" t="s">
        <v>628</v>
      </c>
      <c r="C1027">
        <v>2023</v>
      </c>
      <c r="D1027" t="s">
        <v>24</v>
      </c>
      <c r="E1027" t="s">
        <v>40</v>
      </c>
      <c r="F1027" t="s">
        <v>104</v>
      </c>
      <c r="G1027" t="s">
        <v>90</v>
      </c>
      <c r="H1027" t="s">
        <v>100</v>
      </c>
      <c r="I1027" t="s">
        <v>22</v>
      </c>
      <c r="J1027">
        <v>2</v>
      </c>
      <c r="K1027">
        <v>21</v>
      </c>
      <c r="L1027">
        <v>6</v>
      </c>
      <c r="M1027">
        <v>1417139</v>
      </c>
      <c r="N1027">
        <v>8502834</v>
      </c>
      <c r="O1027">
        <v>7298629</v>
      </c>
      <c r="P1027">
        <v>1204205</v>
      </c>
    </row>
    <row r="1028" spans="1:16" x14ac:dyDescent="0.3">
      <c r="A1028">
        <v>2027</v>
      </c>
      <c r="B1028" t="s">
        <v>579</v>
      </c>
      <c r="C1028">
        <v>2023</v>
      </c>
      <c r="D1028" t="s">
        <v>34</v>
      </c>
      <c r="E1028" t="s">
        <v>18</v>
      </c>
      <c r="F1028" t="s">
        <v>107</v>
      </c>
      <c r="G1028" t="s">
        <v>90</v>
      </c>
      <c r="H1028" t="s">
        <v>21</v>
      </c>
      <c r="I1028" t="s">
        <v>22</v>
      </c>
      <c r="J1028">
        <v>2</v>
      </c>
      <c r="K1028">
        <v>21</v>
      </c>
      <c r="L1028">
        <v>8</v>
      </c>
      <c r="M1028">
        <v>620437</v>
      </c>
      <c r="N1028">
        <v>4963496</v>
      </c>
      <c r="O1028">
        <v>4333945</v>
      </c>
      <c r="P1028">
        <v>629551</v>
      </c>
    </row>
    <row r="1029" spans="1:16" x14ac:dyDescent="0.3">
      <c r="A1029">
        <v>2028</v>
      </c>
      <c r="B1029" t="s">
        <v>381</v>
      </c>
      <c r="C1029">
        <v>2024</v>
      </c>
      <c r="D1029" t="s">
        <v>74</v>
      </c>
      <c r="E1029" t="s">
        <v>25</v>
      </c>
      <c r="F1029" t="s">
        <v>84</v>
      </c>
      <c r="G1029" t="s">
        <v>20</v>
      </c>
      <c r="H1029" t="s">
        <v>54</v>
      </c>
      <c r="I1029" t="s">
        <v>48</v>
      </c>
      <c r="J1029">
        <v>1.5</v>
      </c>
      <c r="K1029">
        <v>21</v>
      </c>
      <c r="L1029">
        <v>3</v>
      </c>
      <c r="M1029">
        <v>771528</v>
      </c>
      <c r="N1029">
        <v>2314584</v>
      </c>
      <c r="O1029">
        <v>1887812</v>
      </c>
      <c r="P1029">
        <v>426772</v>
      </c>
    </row>
    <row r="1030" spans="1:16" x14ac:dyDescent="0.3">
      <c r="A1030">
        <v>2029</v>
      </c>
      <c r="B1030" t="s">
        <v>217</v>
      </c>
      <c r="C1030">
        <v>2024</v>
      </c>
      <c r="D1030" t="s">
        <v>34</v>
      </c>
      <c r="E1030" t="s">
        <v>40</v>
      </c>
      <c r="F1030" t="s">
        <v>68</v>
      </c>
      <c r="G1030" t="s">
        <v>46</v>
      </c>
      <c r="H1030" t="s">
        <v>21</v>
      </c>
      <c r="I1030" t="s">
        <v>22</v>
      </c>
      <c r="J1030">
        <v>1.2</v>
      </c>
      <c r="K1030">
        <v>21</v>
      </c>
      <c r="L1030">
        <v>6</v>
      </c>
      <c r="M1030">
        <v>1265576</v>
      </c>
      <c r="N1030">
        <v>7593456</v>
      </c>
      <c r="O1030">
        <v>6652110</v>
      </c>
      <c r="P1030">
        <v>941346</v>
      </c>
    </row>
    <row r="1031" spans="1:16" x14ac:dyDescent="0.3">
      <c r="A1031">
        <v>2030</v>
      </c>
      <c r="B1031" t="s">
        <v>375</v>
      </c>
      <c r="C1031">
        <v>2024</v>
      </c>
      <c r="D1031" t="s">
        <v>24</v>
      </c>
      <c r="E1031" t="s">
        <v>25</v>
      </c>
      <c r="F1031" t="s">
        <v>77</v>
      </c>
      <c r="G1031" t="s">
        <v>46</v>
      </c>
      <c r="H1031" t="s">
        <v>47</v>
      </c>
      <c r="I1031" t="s">
        <v>48</v>
      </c>
      <c r="J1031">
        <v>2</v>
      </c>
      <c r="K1031">
        <v>23</v>
      </c>
      <c r="L1031">
        <v>5</v>
      </c>
      <c r="M1031">
        <v>1353201</v>
      </c>
      <c r="N1031">
        <v>6766005</v>
      </c>
      <c r="O1031">
        <v>5914576</v>
      </c>
      <c r="P1031">
        <v>851429</v>
      </c>
    </row>
    <row r="1032" spans="1:16" x14ac:dyDescent="0.3">
      <c r="A1032">
        <v>2031</v>
      </c>
      <c r="B1032" t="s">
        <v>439</v>
      </c>
      <c r="C1032">
        <v>2024</v>
      </c>
      <c r="D1032" t="s">
        <v>67</v>
      </c>
      <c r="E1032" t="s">
        <v>18</v>
      </c>
      <c r="F1032" t="s">
        <v>72</v>
      </c>
      <c r="G1032" t="s">
        <v>51</v>
      </c>
      <c r="H1032" t="s">
        <v>21</v>
      </c>
      <c r="I1032" t="s">
        <v>22</v>
      </c>
      <c r="J1032">
        <v>1.2</v>
      </c>
      <c r="K1032">
        <v>18</v>
      </c>
      <c r="L1032">
        <v>1</v>
      </c>
      <c r="M1032">
        <v>1011459</v>
      </c>
      <c r="N1032">
        <v>1011459</v>
      </c>
      <c r="O1032">
        <v>896595</v>
      </c>
      <c r="P1032">
        <v>114864</v>
      </c>
    </row>
    <row r="1033" spans="1:16" x14ac:dyDescent="0.3">
      <c r="A1033">
        <v>2032</v>
      </c>
      <c r="B1033" t="s">
        <v>515</v>
      </c>
      <c r="C1033">
        <v>2024</v>
      </c>
      <c r="D1033" t="s">
        <v>29</v>
      </c>
      <c r="E1033" t="s">
        <v>40</v>
      </c>
      <c r="F1033" t="s">
        <v>120</v>
      </c>
      <c r="G1033" t="s">
        <v>36</v>
      </c>
      <c r="H1033" t="s">
        <v>54</v>
      </c>
      <c r="I1033" t="s">
        <v>48</v>
      </c>
      <c r="J1033">
        <v>1</v>
      </c>
      <c r="K1033">
        <v>19</v>
      </c>
      <c r="L1033">
        <v>1</v>
      </c>
      <c r="M1033">
        <v>948295</v>
      </c>
      <c r="N1033">
        <v>948295</v>
      </c>
      <c r="O1033">
        <v>721585</v>
      </c>
      <c r="P1033">
        <v>226710</v>
      </c>
    </row>
    <row r="1034" spans="1:16" x14ac:dyDescent="0.3">
      <c r="A1034">
        <v>2033</v>
      </c>
      <c r="B1034" t="s">
        <v>629</v>
      </c>
      <c r="C1034">
        <v>2024</v>
      </c>
      <c r="D1034" t="s">
        <v>24</v>
      </c>
      <c r="E1034" t="s">
        <v>44</v>
      </c>
      <c r="F1034" t="s">
        <v>62</v>
      </c>
      <c r="G1034" t="s">
        <v>30</v>
      </c>
      <c r="H1034" t="s">
        <v>47</v>
      </c>
      <c r="I1034" t="s">
        <v>48</v>
      </c>
      <c r="J1034">
        <v>1</v>
      </c>
      <c r="K1034">
        <v>23</v>
      </c>
      <c r="L1034">
        <v>4</v>
      </c>
      <c r="M1034">
        <v>1182217</v>
      </c>
      <c r="N1034">
        <v>4728868</v>
      </c>
      <c r="O1034">
        <v>3780383</v>
      </c>
      <c r="P1034">
        <v>948485</v>
      </c>
    </row>
    <row r="1035" spans="1:16" x14ac:dyDescent="0.3">
      <c r="A1035">
        <v>2034</v>
      </c>
      <c r="B1035" t="s">
        <v>117</v>
      </c>
      <c r="C1035">
        <v>2023</v>
      </c>
      <c r="D1035" t="s">
        <v>43</v>
      </c>
      <c r="E1035" t="s">
        <v>44</v>
      </c>
      <c r="F1035" t="s">
        <v>92</v>
      </c>
      <c r="G1035" t="s">
        <v>59</v>
      </c>
      <c r="H1035" t="s">
        <v>21</v>
      </c>
      <c r="I1035" t="s">
        <v>22</v>
      </c>
      <c r="J1035">
        <v>1.2</v>
      </c>
      <c r="K1035">
        <v>16</v>
      </c>
      <c r="L1035">
        <v>7</v>
      </c>
      <c r="M1035">
        <v>701254</v>
      </c>
      <c r="N1035">
        <v>4908778</v>
      </c>
      <c r="O1035">
        <v>4009813</v>
      </c>
      <c r="P1035">
        <v>898965</v>
      </c>
    </row>
    <row r="1036" spans="1:16" x14ac:dyDescent="0.3">
      <c r="A1036">
        <v>2035</v>
      </c>
      <c r="B1036" t="s">
        <v>630</v>
      </c>
      <c r="C1036">
        <v>2023</v>
      </c>
      <c r="D1036" t="s">
        <v>97</v>
      </c>
      <c r="E1036" t="s">
        <v>44</v>
      </c>
      <c r="F1036" t="s">
        <v>92</v>
      </c>
      <c r="G1036" t="s">
        <v>20</v>
      </c>
      <c r="H1036" t="s">
        <v>54</v>
      </c>
      <c r="I1036" t="s">
        <v>48</v>
      </c>
      <c r="J1036">
        <v>1.5</v>
      </c>
      <c r="K1036">
        <v>22</v>
      </c>
      <c r="L1036">
        <v>6</v>
      </c>
      <c r="M1036">
        <v>1123015</v>
      </c>
      <c r="N1036">
        <v>6738090</v>
      </c>
      <c r="O1036">
        <v>5943167</v>
      </c>
      <c r="P1036">
        <v>794923</v>
      </c>
    </row>
    <row r="1037" spans="1:16" x14ac:dyDescent="0.3">
      <c r="A1037">
        <v>2036</v>
      </c>
      <c r="B1037" t="s">
        <v>631</v>
      </c>
      <c r="C1037">
        <v>2024</v>
      </c>
      <c r="D1037" t="s">
        <v>97</v>
      </c>
      <c r="E1037" t="s">
        <v>25</v>
      </c>
      <c r="F1037" t="s">
        <v>77</v>
      </c>
      <c r="G1037" t="s">
        <v>59</v>
      </c>
      <c r="H1037" t="s">
        <v>56</v>
      </c>
      <c r="I1037" t="s">
        <v>48</v>
      </c>
      <c r="J1037">
        <v>1.2</v>
      </c>
      <c r="K1037">
        <v>20</v>
      </c>
      <c r="L1037">
        <v>2</v>
      </c>
      <c r="M1037">
        <v>1358732</v>
      </c>
      <c r="N1037">
        <v>2717464</v>
      </c>
      <c r="O1037">
        <v>2386221</v>
      </c>
      <c r="P1037">
        <v>331243</v>
      </c>
    </row>
    <row r="1038" spans="1:16" x14ac:dyDescent="0.3">
      <c r="A1038">
        <v>2037</v>
      </c>
      <c r="B1038" t="s">
        <v>493</v>
      </c>
      <c r="C1038">
        <v>2023</v>
      </c>
      <c r="D1038" t="s">
        <v>24</v>
      </c>
      <c r="E1038" t="s">
        <v>40</v>
      </c>
      <c r="F1038" t="s">
        <v>68</v>
      </c>
      <c r="G1038" t="s">
        <v>51</v>
      </c>
      <c r="H1038" t="s">
        <v>63</v>
      </c>
      <c r="I1038" t="s">
        <v>22</v>
      </c>
      <c r="J1038">
        <v>1</v>
      </c>
      <c r="K1038">
        <v>23</v>
      </c>
      <c r="L1038">
        <v>7</v>
      </c>
      <c r="M1038">
        <v>1294682</v>
      </c>
      <c r="N1038">
        <v>9062774</v>
      </c>
      <c r="O1038">
        <v>8020091</v>
      </c>
      <c r="P1038">
        <v>1042683</v>
      </c>
    </row>
    <row r="1039" spans="1:16" x14ac:dyDescent="0.3">
      <c r="A1039">
        <v>2038</v>
      </c>
      <c r="B1039" t="s">
        <v>632</v>
      </c>
      <c r="C1039">
        <v>2023</v>
      </c>
      <c r="D1039" t="s">
        <v>76</v>
      </c>
      <c r="E1039" t="s">
        <v>44</v>
      </c>
      <c r="F1039" t="s">
        <v>45</v>
      </c>
      <c r="G1039" t="s">
        <v>51</v>
      </c>
      <c r="H1039" t="s">
        <v>52</v>
      </c>
      <c r="I1039" t="s">
        <v>22</v>
      </c>
      <c r="J1039">
        <v>2</v>
      </c>
      <c r="K1039">
        <v>20</v>
      </c>
      <c r="L1039">
        <v>7</v>
      </c>
      <c r="M1039">
        <v>1286769</v>
      </c>
      <c r="N1039">
        <v>9007383</v>
      </c>
      <c r="O1039">
        <v>6811469</v>
      </c>
      <c r="P1039">
        <v>2195914</v>
      </c>
    </row>
    <row r="1040" spans="1:16" x14ac:dyDescent="0.3">
      <c r="A1040">
        <v>2039</v>
      </c>
      <c r="B1040" t="s">
        <v>620</v>
      </c>
      <c r="C1040">
        <v>2023</v>
      </c>
      <c r="D1040" t="s">
        <v>50</v>
      </c>
      <c r="E1040" t="s">
        <v>40</v>
      </c>
      <c r="F1040" t="s">
        <v>120</v>
      </c>
      <c r="G1040" t="s">
        <v>90</v>
      </c>
      <c r="H1040" t="s">
        <v>37</v>
      </c>
      <c r="I1040" t="s">
        <v>32</v>
      </c>
      <c r="J1040">
        <v>1.2</v>
      </c>
      <c r="K1040">
        <v>19</v>
      </c>
      <c r="L1040">
        <v>6</v>
      </c>
      <c r="M1040">
        <v>1213655</v>
      </c>
      <c r="N1040">
        <v>7281930</v>
      </c>
      <c r="O1040">
        <v>6371553</v>
      </c>
      <c r="P1040">
        <v>910377</v>
      </c>
    </row>
    <row r="1041" spans="1:16" x14ac:dyDescent="0.3">
      <c r="A1041">
        <v>2040</v>
      </c>
      <c r="B1041" t="s">
        <v>324</v>
      </c>
      <c r="C1041">
        <v>2024</v>
      </c>
      <c r="D1041" t="s">
        <v>97</v>
      </c>
      <c r="E1041" t="s">
        <v>44</v>
      </c>
      <c r="F1041" t="s">
        <v>70</v>
      </c>
      <c r="G1041" t="s">
        <v>27</v>
      </c>
      <c r="H1041" t="s">
        <v>63</v>
      </c>
      <c r="I1041" t="s">
        <v>22</v>
      </c>
      <c r="J1041">
        <v>1</v>
      </c>
      <c r="K1041">
        <v>23</v>
      </c>
      <c r="L1041">
        <v>3</v>
      </c>
      <c r="M1041">
        <v>1208464</v>
      </c>
      <c r="N1041">
        <v>3625392</v>
      </c>
      <c r="O1041">
        <v>3176044</v>
      </c>
      <c r="P1041">
        <v>449348</v>
      </c>
    </row>
    <row r="1042" spans="1:16" x14ac:dyDescent="0.3">
      <c r="A1042">
        <v>2041</v>
      </c>
      <c r="B1042" t="s">
        <v>413</v>
      </c>
      <c r="C1042">
        <v>2023</v>
      </c>
      <c r="D1042" t="s">
        <v>76</v>
      </c>
      <c r="E1042" t="s">
        <v>44</v>
      </c>
      <c r="F1042" t="s">
        <v>92</v>
      </c>
      <c r="G1042" t="s">
        <v>46</v>
      </c>
      <c r="H1042" t="s">
        <v>56</v>
      </c>
      <c r="I1042" t="s">
        <v>48</v>
      </c>
      <c r="J1042">
        <v>1.2</v>
      </c>
      <c r="K1042">
        <v>19</v>
      </c>
      <c r="L1042">
        <v>7</v>
      </c>
      <c r="M1042">
        <v>1321768</v>
      </c>
      <c r="N1042">
        <v>9252376</v>
      </c>
      <c r="O1042">
        <v>7340345</v>
      </c>
      <c r="P1042">
        <v>1912031</v>
      </c>
    </row>
    <row r="1043" spans="1:16" x14ac:dyDescent="0.3">
      <c r="A1043">
        <v>2042</v>
      </c>
      <c r="B1043" t="s">
        <v>307</v>
      </c>
      <c r="C1043">
        <v>2023</v>
      </c>
      <c r="D1043" t="s">
        <v>97</v>
      </c>
      <c r="E1043" t="s">
        <v>40</v>
      </c>
      <c r="F1043" t="s">
        <v>41</v>
      </c>
      <c r="G1043" t="s">
        <v>20</v>
      </c>
      <c r="H1043" t="s">
        <v>21</v>
      </c>
      <c r="I1043" t="s">
        <v>22</v>
      </c>
      <c r="J1043">
        <v>1</v>
      </c>
      <c r="K1043">
        <v>19</v>
      </c>
      <c r="L1043">
        <v>4</v>
      </c>
      <c r="M1043">
        <v>826929</v>
      </c>
      <c r="N1043">
        <v>3307716</v>
      </c>
      <c r="O1043">
        <v>2518400</v>
      </c>
      <c r="P1043">
        <v>789316</v>
      </c>
    </row>
    <row r="1044" spans="1:16" x14ac:dyDescent="0.3">
      <c r="A1044">
        <v>2043</v>
      </c>
      <c r="B1044" t="s">
        <v>422</v>
      </c>
      <c r="C1044">
        <v>2023</v>
      </c>
      <c r="D1044" t="s">
        <v>67</v>
      </c>
      <c r="E1044" t="s">
        <v>18</v>
      </c>
      <c r="F1044" t="s">
        <v>35</v>
      </c>
      <c r="G1044" t="s">
        <v>59</v>
      </c>
      <c r="H1044" t="s">
        <v>56</v>
      </c>
      <c r="I1044" t="s">
        <v>48</v>
      </c>
      <c r="J1044">
        <v>1.5</v>
      </c>
      <c r="K1044">
        <v>16</v>
      </c>
      <c r="L1044">
        <v>5</v>
      </c>
      <c r="M1044">
        <v>744881</v>
      </c>
      <c r="N1044">
        <v>3724405</v>
      </c>
      <c r="O1044">
        <v>3288412</v>
      </c>
      <c r="P1044">
        <v>435993</v>
      </c>
    </row>
    <row r="1045" spans="1:16" x14ac:dyDescent="0.3">
      <c r="A1045">
        <v>2044</v>
      </c>
      <c r="B1045" t="s">
        <v>408</v>
      </c>
      <c r="C1045">
        <v>2024</v>
      </c>
      <c r="D1045" t="s">
        <v>50</v>
      </c>
      <c r="E1045" t="s">
        <v>18</v>
      </c>
      <c r="F1045" t="s">
        <v>35</v>
      </c>
      <c r="G1045" t="s">
        <v>46</v>
      </c>
      <c r="H1045" t="s">
        <v>37</v>
      </c>
      <c r="I1045" t="s">
        <v>32</v>
      </c>
      <c r="J1045">
        <v>1.2</v>
      </c>
      <c r="K1045">
        <v>18</v>
      </c>
      <c r="L1045">
        <v>4</v>
      </c>
      <c r="M1045">
        <v>1395683</v>
      </c>
      <c r="N1045">
        <v>5582732</v>
      </c>
      <c r="O1045">
        <v>4950355</v>
      </c>
      <c r="P1045">
        <v>632377</v>
      </c>
    </row>
    <row r="1046" spans="1:16" x14ac:dyDescent="0.3">
      <c r="A1046">
        <v>2045</v>
      </c>
      <c r="B1046" t="s">
        <v>633</v>
      </c>
      <c r="C1046">
        <v>2024</v>
      </c>
      <c r="D1046" t="s">
        <v>34</v>
      </c>
      <c r="E1046" t="s">
        <v>25</v>
      </c>
      <c r="F1046" t="s">
        <v>58</v>
      </c>
      <c r="G1046" t="s">
        <v>46</v>
      </c>
      <c r="H1046" t="s">
        <v>47</v>
      </c>
      <c r="I1046" t="s">
        <v>48</v>
      </c>
      <c r="J1046">
        <v>1.2</v>
      </c>
      <c r="K1046">
        <v>20</v>
      </c>
      <c r="L1046">
        <v>6</v>
      </c>
      <c r="M1046">
        <v>1055485</v>
      </c>
      <c r="N1046">
        <v>6332910</v>
      </c>
      <c r="O1046">
        <v>4772763</v>
      </c>
      <c r="P1046">
        <v>1560147</v>
      </c>
    </row>
    <row r="1047" spans="1:16" x14ac:dyDescent="0.3">
      <c r="A1047">
        <v>2046</v>
      </c>
      <c r="B1047" t="s">
        <v>628</v>
      </c>
      <c r="C1047">
        <v>2023</v>
      </c>
      <c r="D1047" t="s">
        <v>24</v>
      </c>
      <c r="E1047" t="s">
        <v>18</v>
      </c>
      <c r="F1047" t="s">
        <v>19</v>
      </c>
      <c r="G1047" t="s">
        <v>46</v>
      </c>
      <c r="H1047" t="s">
        <v>79</v>
      </c>
      <c r="I1047" t="s">
        <v>48</v>
      </c>
      <c r="J1047">
        <v>1</v>
      </c>
      <c r="K1047">
        <v>19</v>
      </c>
      <c r="L1047">
        <v>5</v>
      </c>
      <c r="M1047">
        <v>1287826</v>
      </c>
      <c r="N1047">
        <v>6439130</v>
      </c>
      <c r="O1047">
        <v>5206788</v>
      </c>
      <c r="P1047">
        <v>1232342</v>
      </c>
    </row>
    <row r="1048" spans="1:16" x14ac:dyDescent="0.3">
      <c r="A1048">
        <v>2047</v>
      </c>
      <c r="B1048" t="s">
        <v>440</v>
      </c>
      <c r="C1048">
        <v>2023</v>
      </c>
      <c r="D1048" t="s">
        <v>34</v>
      </c>
      <c r="E1048" t="s">
        <v>44</v>
      </c>
      <c r="F1048" t="s">
        <v>70</v>
      </c>
      <c r="G1048" t="s">
        <v>36</v>
      </c>
      <c r="H1048" t="s">
        <v>21</v>
      </c>
      <c r="I1048" t="s">
        <v>22</v>
      </c>
      <c r="J1048">
        <v>1.2</v>
      </c>
      <c r="K1048">
        <v>23</v>
      </c>
      <c r="L1048">
        <v>6</v>
      </c>
      <c r="M1048">
        <v>827101</v>
      </c>
      <c r="N1048">
        <v>4962606</v>
      </c>
      <c r="O1048">
        <v>3997127</v>
      </c>
      <c r="P1048">
        <v>965479</v>
      </c>
    </row>
    <row r="1049" spans="1:16" x14ac:dyDescent="0.3">
      <c r="A1049">
        <v>2048</v>
      </c>
      <c r="B1049" t="s">
        <v>179</v>
      </c>
      <c r="C1049">
        <v>2023</v>
      </c>
      <c r="D1049" t="s">
        <v>29</v>
      </c>
      <c r="E1049" t="s">
        <v>25</v>
      </c>
      <c r="F1049" t="s">
        <v>84</v>
      </c>
      <c r="G1049" t="s">
        <v>51</v>
      </c>
      <c r="H1049" t="s">
        <v>21</v>
      </c>
      <c r="I1049" t="s">
        <v>22</v>
      </c>
      <c r="J1049">
        <v>2</v>
      </c>
      <c r="K1049">
        <v>23</v>
      </c>
      <c r="L1049">
        <v>6</v>
      </c>
      <c r="M1049">
        <v>1350147</v>
      </c>
      <c r="N1049">
        <v>8100882</v>
      </c>
      <c r="O1049">
        <v>6397031</v>
      </c>
      <c r="P1049">
        <v>1703851</v>
      </c>
    </row>
    <row r="1050" spans="1:16" x14ac:dyDescent="0.3">
      <c r="A1050">
        <v>2049</v>
      </c>
      <c r="B1050" t="s">
        <v>133</v>
      </c>
      <c r="C1050">
        <v>2024</v>
      </c>
      <c r="D1050" t="s">
        <v>39</v>
      </c>
      <c r="E1050" t="s">
        <v>18</v>
      </c>
      <c r="F1050" t="s">
        <v>35</v>
      </c>
      <c r="G1050" t="s">
        <v>51</v>
      </c>
      <c r="H1050" t="s">
        <v>63</v>
      </c>
      <c r="I1050" t="s">
        <v>22</v>
      </c>
      <c r="J1050">
        <v>1.5</v>
      </c>
      <c r="K1050">
        <v>20</v>
      </c>
      <c r="L1050">
        <v>3</v>
      </c>
      <c r="M1050">
        <v>1251862</v>
      </c>
      <c r="N1050">
        <v>3755586</v>
      </c>
      <c r="O1050">
        <v>3209011</v>
      </c>
      <c r="P1050">
        <v>546575</v>
      </c>
    </row>
    <row r="1051" spans="1:16" x14ac:dyDescent="0.3">
      <c r="A1051">
        <v>2050</v>
      </c>
      <c r="B1051" t="s">
        <v>492</v>
      </c>
      <c r="C1051">
        <v>2024</v>
      </c>
      <c r="D1051" t="s">
        <v>74</v>
      </c>
      <c r="E1051" t="s">
        <v>18</v>
      </c>
      <c r="F1051" t="s">
        <v>35</v>
      </c>
      <c r="G1051" t="s">
        <v>20</v>
      </c>
      <c r="H1051" t="s">
        <v>79</v>
      </c>
      <c r="I1051" t="s">
        <v>48</v>
      </c>
      <c r="J1051">
        <v>2</v>
      </c>
      <c r="K1051">
        <v>20</v>
      </c>
      <c r="L1051">
        <v>4</v>
      </c>
      <c r="M1051">
        <v>832162</v>
      </c>
      <c r="N1051">
        <v>3328648</v>
      </c>
      <c r="O1051">
        <v>2809452</v>
      </c>
      <c r="P1051">
        <v>519196</v>
      </c>
    </row>
    <row r="1052" spans="1:16" x14ac:dyDescent="0.3">
      <c r="A1052">
        <v>2051</v>
      </c>
      <c r="B1052" t="s">
        <v>539</v>
      </c>
      <c r="C1052">
        <v>2023</v>
      </c>
      <c r="D1052" t="s">
        <v>24</v>
      </c>
      <c r="E1052" t="s">
        <v>40</v>
      </c>
      <c r="F1052" t="s">
        <v>41</v>
      </c>
      <c r="G1052" t="s">
        <v>20</v>
      </c>
      <c r="H1052" t="s">
        <v>37</v>
      </c>
      <c r="I1052" t="s">
        <v>32</v>
      </c>
      <c r="J1052">
        <v>1</v>
      </c>
      <c r="K1052">
        <v>22</v>
      </c>
      <c r="L1052">
        <v>1</v>
      </c>
      <c r="M1052">
        <v>1386052</v>
      </c>
      <c r="N1052">
        <v>1386052</v>
      </c>
      <c r="O1052">
        <v>1199562</v>
      </c>
      <c r="P1052">
        <v>186490</v>
      </c>
    </row>
    <row r="1053" spans="1:16" x14ac:dyDescent="0.3">
      <c r="A1053">
        <v>2052</v>
      </c>
      <c r="B1053" t="s">
        <v>627</v>
      </c>
      <c r="C1053">
        <v>2023</v>
      </c>
      <c r="D1053" t="s">
        <v>61</v>
      </c>
      <c r="E1053" t="s">
        <v>18</v>
      </c>
      <c r="F1053" t="s">
        <v>19</v>
      </c>
      <c r="G1053" t="s">
        <v>20</v>
      </c>
      <c r="H1053" t="s">
        <v>54</v>
      </c>
      <c r="I1053" t="s">
        <v>48</v>
      </c>
      <c r="J1053">
        <v>1.2</v>
      </c>
      <c r="K1053">
        <v>18</v>
      </c>
      <c r="L1053">
        <v>1</v>
      </c>
      <c r="M1053">
        <v>673243</v>
      </c>
      <c r="N1053">
        <v>673243</v>
      </c>
      <c r="O1053">
        <v>533925</v>
      </c>
      <c r="P1053">
        <v>139318</v>
      </c>
    </row>
    <row r="1054" spans="1:16" x14ac:dyDescent="0.3">
      <c r="A1054">
        <v>2053</v>
      </c>
      <c r="B1054" t="s">
        <v>407</v>
      </c>
      <c r="C1054">
        <v>2024</v>
      </c>
      <c r="D1054" t="s">
        <v>67</v>
      </c>
      <c r="E1054" t="s">
        <v>44</v>
      </c>
      <c r="F1054" t="s">
        <v>92</v>
      </c>
      <c r="G1054" t="s">
        <v>59</v>
      </c>
      <c r="H1054" t="s">
        <v>31</v>
      </c>
      <c r="I1054" t="s">
        <v>32</v>
      </c>
      <c r="J1054">
        <v>1.5</v>
      </c>
      <c r="K1054">
        <v>16</v>
      </c>
      <c r="L1054">
        <v>4</v>
      </c>
      <c r="M1054">
        <v>728187</v>
      </c>
      <c r="N1054">
        <v>2912748</v>
      </c>
      <c r="O1054">
        <v>2253057</v>
      </c>
      <c r="P1054">
        <v>659691</v>
      </c>
    </row>
    <row r="1055" spans="1:16" x14ac:dyDescent="0.3">
      <c r="A1055">
        <v>2054</v>
      </c>
      <c r="B1055" t="s">
        <v>634</v>
      </c>
      <c r="C1055">
        <v>2023</v>
      </c>
      <c r="D1055" t="s">
        <v>97</v>
      </c>
      <c r="E1055" t="s">
        <v>18</v>
      </c>
      <c r="F1055" t="s">
        <v>107</v>
      </c>
      <c r="G1055" t="s">
        <v>27</v>
      </c>
      <c r="H1055" t="s">
        <v>21</v>
      </c>
      <c r="I1055" t="s">
        <v>22</v>
      </c>
      <c r="J1055">
        <v>1</v>
      </c>
      <c r="K1055">
        <v>21</v>
      </c>
      <c r="L1055">
        <v>6</v>
      </c>
      <c r="M1055">
        <v>1164935</v>
      </c>
      <c r="N1055">
        <v>6989610</v>
      </c>
      <c r="O1055">
        <v>5917966</v>
      </c>
      <c r="P1055">
        <v>1071644</v>
      </c>
    </row>
    <row r="1056" spans="1:16" x14ac:dyDescent="0.3">
      <c r="A1056">
        <v>2055</v>
      </c>
      <c r="B1056" t="s">
        <v>224</v>
      </c>
      <c r="C1056">
        <v>2023</v>
      </c>
      <c r="D1056" t="s">
        <v>43</v>
      </c>
      <c r="E1056" t="s">
        <v>44</v>
      </c>
      <c r="F1056" t="s">
        <v>62</v>
      </c>
      <c r="G1056" t="s">
        <v>36</v>
      </c>
      <c r="H1056" t="s">
        <v>100</v>
      </c>
      <c r="I1056" t="s">
        <v>22</v>
      </c>
      <c r="J1056">
        <v>1.2</v>
      </c>
      <c r="K1056">
        <v>22</v>
      </c>
      <c r="L1056">
        <v>2</v>
      </c>
      <c r="M1056">
        <v>1124036</v>
      </c>
      <c r="N1056">
        <v>2248072</v>
      </c>
      <c r="O1056">
        <v>1772853</v>
      </c>
      <c r="P1056">
        <v>475219</v>
      </c>
    </row>
    <row r="1057" spans="1:16" x14ac:dyDescent="0.3">
      <c r="A1057">
        <v>2056</v>
      </c>
      <c r="B1057" t="s">
        <v>177</v>
      </c>
      <c r="C1057">
        <v>2023</v>
      </c>
      <c r="D1057" t="s">
        <v>76</v>
      </c>
      <c r="E1057" t="s">
        <v>18</v>
      </c>
      <c r="F1057" t="s">
        <v>35</v>
      </c>
      <c r="G1057" t="s">
        <v>30</v>
      </c>
      <c r="H1057" t="s">
        <v>100</v>
      </c>
      <c r="I1057" t="s">
        <v>22</v>
      </c>
      <c r="J1057">
        <v>1</v>
      </c>
      <c r="K1057">
        <v>16</v>
      </c>
      <c r="L1057">
        <v>8</v>
      </c>
      <c r="M1057">
        <v>883302</v>
      </c>
      <c r="N1057">
        <v>7066416</v>
      </c>
      <c r="O1057">
        <v>5411849</v>
      </c>
      <c r="P1057">
        <v>1654567</v>
      </c>
    </row>
    <row r="1058" spans="1:16" x14ac:dyDescent="0.3">
      <c r="A1058">
        <v>2057</v>
      </c>
      <c r="B1058" t="s">
        <v>635</v>
      </c>
      <c r="C1058">
        <v>2023</v>
      </c>
      <c r="D1058" t="s">
        <v>29</v>
      </c>
      <c r="E1058" t="s">
        <v>40</v>
      </c>
      <c r="F1058" t="s">
        <v>120</v>
      </c>
      <c r="G1058" t="s">
        <v>20</v>
      </c>
      <c r="H1058" t="s">
        <v>37</v>
      </c>
      <c r="I1058" t="s">
        <v>32</v>
      </c>
      <c r="J1058">
        <v>1.2</v>
      </c>
      <c r="K1058">
        <v>22</v>
      </c>
      <c r="L1058">
        <v>8</v>
      </c>
      <c r="M1058">
        <v>1265014</v>
      </c>
      <c r="N1058">
        <v>10120112</v>
      </c>
      <c r="O1058">
        <v>8589752</v>
      </c>
      <c r="P1058">
        <v>1530360</v>
      </c>
    </row>
    <row r="1059" spans="1:16" x14ac:dyDescent="0.3">
      <c r="A1059">
        <v>2058</v>
      </c>
      <c r="B1059" t="s">
        <v>102</v>
      </c>
      <c r="C1059">
        <v>2023</v>
      </c>
      <c r="D1059" t="s">
        <v>29</v>
      </c>
      <c r="E1059" t="s">
        <v>25</v>
      </c>
      <c r="F1059" t="s">
        <v>58</v>
      </c>
      <c r="G1059" t="s">
        <v>36</v>
      </c>
      <c r="H1059" t="s">
        <v>79</v>
      </c>
      <c r="I1059" t="s">
        <v>48</v>
      </c>
      <c r="J1059">
        <v>1.2</v>
      </c>
      <c r="K1059">
        <v>21</v>
      </c>
      <c r="L1059">
        <v>7</v>
      </c>
      <c r="M1059">
        <v>684605</v>
      </c>
      <c r="N1059">
        <v>4792235</v>
      </c>
      <c r="O1059">
        <v>3685015</v>
      </c>
      <c r="P1059">
        <v>1107220</v>
      </c>
    </row>
    <row r="1060" spans="1:16" x14ac:dyDescent="0.3">
      <c r="A1060">
        <v>2059</v>
      </c>
      <c r="B1060" t="s">
        <v>180</v>
      </c>
      <c r="C1060">
        <v>2024</v>
      </c>
      <c r="D1060" t="s">
        <v>76</v>
      </c>
      <c r="E1060" t="s">
        <v>40</v>
      </c>
      <c r="F1060" t="s">
        <v>120</v>
      </c>
      <c r="G1060" t="s">
        <v>36</v>
      </c>
      <c r="H1060" t="s">
        <v>47</v>
      </c>
      <c r="I1060" t="s">
        <v>48</v>
      </c>
      <c r="J1060">
        <v>1</v>
      </c>
      <c r="K1060">
        <v>22</v>
      </c>
      <c r="L1060">
        <v>8</v>
      </c>
      <c r="M1060">
        <v>1115254</v>
      </c>
      <c r="N1060">
        <v>8922032</v>
      </c>
      <c r="O1060">
        <v>7704779</v>
      </c>
      <c r="P1060">
        <v>1217253</v>
      </c>
    </row>
    <row r="1061" spans="1:16" x14ac:dyDescent="0.3">
      <c r="A1061">
        <v>2060</v>
      </c>
      <c r="B1061" t="s">
        <v>139</v>
      </c>
      <c r="C1061">
        <v>2024</v>
      </c>
      <c r="D1061" t="s">
        <v>61</v>
      </c>
      <c r="E1061" t="s">
        <v>18</v>
      </c>
      <c r="F1061" t="s">
        <v>72</v>
      </c>
      <c r="G1061" t="s">
        <v>59</v>
      </c>
      <c r="H1061" t="s">
        <v>100</v>
      </c>
      <c r="I1061" t="s">
        <v>22</v>
      </c>
      <c r="J1061">
        <v>1.2</v>
      </c>
      <c r="K1061">
        <v>16</v>
      </c>
      <c r="L1061">
        <v>8</v>
      </c>
      <c r="M1061">
        <v>1096350</v>
      </c>
      <c r="N1061">
        <v>8770800</v>
      </c>
      <c r="O1061">
        <v>7407446</v>
      </c>
      <c r="P1061">
        <v>1363354</v>
      </c>
    </row>
    <row r="1062" spans="1:16" x14ac:dyDescent="0.3">
      <c r="A1062">
        <v>2061</v>
      </c>
      <c r="B1062" t="s">
        <v>636</v>
      </c>
      <c r="C1062">
        <v>2024</v>
      </c>
      <c r="D1062" t="s">
        <v>17</v>
      </c>
      <c r="E1062" t="s">
        <v>40</v>
      </c>
      <c r="F1062" t="s">
        <v>41</v>
      </c>
      <c r="G1062" t="s">
        <v>36</v>
      </c>
      <c r="H1062" t="s">
        <v>63</v>
      </c>
      <c r="I1062" t="s">
        <v>22</v>
      </c>
      <c r="J1062">
        <v>1</v>
      </c>
      <c r="K1062">
        <v>16</v>
      </c>
      <c r="L1062">
        <v>2</v>
      </c>
      <c r="M1062">
        <v>1068248</v>
      </c>
      <c r="N1062">
        <v>2136496</v>
      </c>
      <c r="O1062">
        <v>1629354</v>
      </c>
      <c r="P1062">
        <v>507142</v>
      </c>
    </row>
    <row r="1063" spans="1:16" x14ac:dyDescent="0.3">
      <c r="A1063">
        <v>2062</v>
      </c>
      <c r="B1063" t="s">
        <v>637</v>
      </c>
      <c r="C1063">
        <v>2023</v>
      </c>
      <c r="D1063" t="s">
        <v>67</v>
      </c>
      <c r="E1063" t="s">
        <v>25</v>
      </c>
      <c r="F1063" t="s">
        <v>77</v>
      </c>
      <c r="G1063" t="s">
        <v>46</v>
      </c>
      <c r="H1063" t="s">
        <v>63</v>
      </c>
      <c r="I1063" t="s">
        <v>22</v>
      </c>
      <c r="J1063">
        <v>2</v>
      </c>
      <c r="K1063">
        <v>23</v>
      </c>
      <c r="L1063">
        <v>1</v>
      </c>
      <c r="M1063">
        <v>1019541</v>
      </c>
      <c r="N1063">
        <v>1019541</v>
      </c>
      <c r="O1063">
        <v>871235</v>
      </c>
      <c r="P1063">
        <v>148306</v>
      </c>
    </row>
    <row r="1064" spans="1:16" x14ac:dyDescent="0.3">
      <c r="A1064">
        <v>2063</v>
      </c>
      <c r="B1064" t="s">
        <v>638</v>
      </c>
      <c r="C1064">
        <v>2023</v>
      </c>
      <c r="D1064" t="s">
        <v>97</v>
      </c>
      <c r="E1064" t="s">
        <v>40</v>
      </c>
      <c r="F1064" t="s">
        <v>68</v>
      </c>
      <c r="G1064" t="s">
        <v>36</v>
      </c>
      <c r="H1064" t="s">
        <v>56</v>
      </c>
      <c r="I1064" t="s">
        <v>48</v>
      </c>
      <c r="J1064">
        <v>1</v>
      </c>
      <c r="K1064">
        <v>16</v>
      </c>
      <c r="L1064">
        <v>7</v>
      </c>
      <c r="M1064">
        <v>1237585</v>
      </c>
      <c r="N1064">
        <v>8663095</v>
      </c>
      <c r="O1064">
        <v>6785371</v>
      </c>
      <c r="P1064">
        <v>1877724</v>
      </c>
    </row>
    <row r="1065" spans="1:16" x14ac:dyDescent="0.3">
      <c r="A1065">
        <v>2064</v>
      </c>
      <c r="B1065" t="s">
        <v>272</v>
      </c>
      <c r="C1065">
        <v>2023</v>
      </c>
      <c r="D1065" t="s">
        <v>17</v>
      </c>
      <c r="E1065" t="s">
        <v>40</v>
      </c>
      <c r="F1065" t="s">
        <v>120</v>
      </c>
      <c r="G1065" t="s">
        <v>36</v>
      </c>
      <c r="H1065" t="s">
        <v>37</v>
      </c>
      <c r="I1065" t="s">
        <v>32</v>
      </c>
      <c r="J1065">
        <v>2</v>
      </c>
      <c r="K1065">
        <v>16</v>
      </c>
      <c r="L1065">
        <v>6</v>
      </c>
      <c r="M1065">
        <v>1272845</v>
      </c>
      <c r="N1065">
        <v>7637070</v>
      </c>
      <c r="O1065">
        <v>6648054</v>
      </c>
      <c r="P1065">
        <v>989016</v>
      </c>
    </row>
    <row r="1066" spans="1:16" x14ac:dyDescent="0.3">
      <c r="A1066">
        <v>2065</v>
      </c>
      <c r="B1066" t="s">
        <v>260</v>
      </c>
      <c r="C1066">
        <v>2023</v>
      </c>
      <c r="D1066" t="s">
        <v>76</v>
      </c>
      <c r="E1066" t="s">
        <v>25</v>
      </c>
      <c r="F1066" t="s">
        <v>26</v>
      </c>
      <c r="G1066" t="s">
        <v>36</v>
      </c>
      <c r="H1066" t="s">
        <v>37</v>
      </c>
      <c r="I1066" t="s">
        <v>32</v>
      </c>
      <c r="J1066">
        <v>2</v>
      </c>
      <c r="K1066">
        <v>18</v>
      </c>
      <c r="L1066">
        <v>8</v>
      </c>
      <c r="M1066">
        <v>1034795</v>
      </c>
      <c r="N1066">
        <v>8278360</v>
      </c>
      <c r="O1066">
        <v>7107487</v>
      </c>
      <c r="P1066">
        <v>1170873</v>
      </c>
    </row>
    <row r="1067" spans="1:16" x14ac:dyDescent="0.3">
      <c r="A1067">
        <v>2066</v>
      </c>
      <c r="B1067" t="s">
        <v>639</v>
      </c>
      <c r="C1067">
        <v>2024</v>
      </c>
      <c r="D1067" t="s">
        <v>74</v>
      </c>
      <c r="E1067" t="s">
        <v>18</v>
      </c>
      <c r="F1067" t="s">
        <v>72</v>
      </c>
      <c r="G1067" t="s">
        <v>51</v>
      </c>
      <c r="H1067" t="s">
        <v>52</v>
      </c>
      <c r="I1067" t="s">
        <v>22</v>
      </c>
      <c r="J1067">
        <v>1</v>
      </c>
      <c r="K1067">
        <v>18</v>
      </c>
      <c r="L1067">
        <v>4</v>
      </c>
      <c r="M1067">
        <v>1254882</v>
      </c>
      <c r="N1067">
        <v>5019528</v>
      </c>
      <c r="O1067">
        <v>4259611</v>
      </c>
      <c r="P1067">
        <v>759917</v>
      </c>
    </row>
    <row r="1068" spans="1:16" x14ac:dyDescent="0.3">
      <c r="A1068">
        <v>2067</v>
      </c>
      <c r="B1068" t="s">
        <v>507</v>
      </c>
      <c r="C1068">
        <v>2023</v>
      </c>
      <c r="D1068" t="s">
        <v>43</v>
      </c>
      <c r="E1068" t="s">
        <v>40</v>
      </c>
      <c r="F1068" t="s">
        <v>68</v>
      </c>
      <c r="G1068" t="s">
        <v>20</v>
      </c>
      <c r="H1068" t="s">
        <v>63</v>
      </c>
      <c r="I1068" t="s">
        <v>22</v>
      </c>
      <c r="J1068">
        <v>2</v>
      </c>
      <c r="K1068">
        <v>20</v>
      </c>
      <c r="L1068">
        <v>7</v>
      </c>
      <c r="M1068">
        <v>751413</v>
      </c>
      <c r="N1068">
        <v>5259891</v>
      </c>
      <c r="O1068">
        <v>4654638</v>
      </c>
      <c r="P1068">
        <v>605253</v>
      </c>
    </row>
    <row r="1069" spans="1:16" x14ac:dyDescent="0.3">
      <c r="A1069">
        <v>2068</v>
      </c>
      <c r="B1069" t="s">
        <v>624</v>
      </c>
      <c r="C1069">
        <v>2023</v>
      </c>
      <c r="D1069" t="s">
        <v>61</v>
      </c>
      <c r="E1069" t="s">
        <v>18</v>
      </c>
      <c r="F1069" t="s">
        <v>19</v>
      </c>
      <c r="G1069" t="s">
        <v>20</v>
      </c>
      <c r="H1069" t="s">
        <v>79</v>
      </c>
      <c r="I1069" t="s">
        <v>48</v>
      </c>
      <c r="J1069">
        <v>1</v>
      </c>
      <c r="K1069">
        <v>16</v>
      </c>
      <c r="L1069">
        <v>8</v>
      </c>
      <c r="M1069">
        <v>683517</v>
      </c>
      <c r="N1069">
        <v>5468136</v>
      </c>
      <c r="O1069">
        <v>4790456</v>
      </c>
      <c r="P1069">
        <v>677680</v>
      </c>
    </row>
    <row r="1070" spans="1:16" x14ac:dyDescent="0.3">
      <c r="A1070">
        <v>2069</v>
      </c>
      <c r="B1070" t="s">
        <v>471</v>
      </c>
      <c r="C1070">
        <v>2024</v>
      </c>
      <c r="D1070" t="s">
        <v>97</v>
      </c>
      <c r="E1070" t="s">
        <v>25</v>
      </c>
      <c r="F1070" t="s">
        <v>84</v>
      </c>
      <c r="G1070" t="s">
        <v>90</v>
      </c>
      <c r="H1070" t="s">
        <v>100</v>
      </c>
      <c r="I1070" t="s">
        <v>22</v>
      </c>
      <c r="J1070">
        <v>1</v>
      </c>
      <c r="K1070">
        <v>23</v>
      </c>
      <c r="L1070">
        <v>5</v>
      </c>
      <c r="M1070">
        <v>1054806</v>
      </c>
      <c r="N1070">
        <v>5274030</v>
      </c>
      <c r="O1070">
        <v>4726564</v>
      </c>
      <c r="P1070">
        <v>547466</v>
      </c>
    </row>
    <row r="1071" spans="1:16" x14ac:dyDescent="0.3">
      <c r="A1071">
        <v>2070</v>
      </c>
      <c r="B1071" t="s">
        <v>640</v>
      </c>
      <c r="C1071">
        <v>2023</v>
      </c>
      <c r="D1071" t="s">
        <v>29</v>
      </c>
      <c r="E1071" t="s">
        <v>25</v>
      </c>
      <c r="F1071" t="s">
        <v>58</v>
      </c>
      <c r="G1071" t="s">
        <v>51</v>
      </c>
      <c r="H1071" t="s">
        <v>79</v>
      </c>
      <c r="I1071" t="s">
        <v>48</v>
      </c>
      <c r="J1071">
        <v>1.5</v>
      </c>
      <c r="K1071">
        <v>23</v>
      </c>
      <c r="L1071">
        <v>1</v>
      </c>
      <c r="M1071">
        <v>692404</v>
      </c>
      <c r="N1071">
        <v>692404</v>
      </c>
      <c r="O1071">
        <v>569883</v>
      </c>
      <c r="P1071">
        <v>122521</v>
      </c>
    </row>
    <row r="1072" spans="1:16" x14ac:dyDescent="0.3">
      <c r="A1072">
        <v>2071</v>
      </c>
      <c r="B1072" t="s">
        <v>538</v>
      </c>
      <c r="C1072">
        <v>2023</v>
      </c>
      <c r="D1072" t="s">
        <v>74</v>
      </c>
      <c r="E1072" t="s">
        <v>40</v>
      </c>
      <c r="F1072" t="s">
        <v>41</v>
      </c>
      <c r="G1072" t="s">
        <v>59</v>
      </c>
      <c r="H1072" t="s">
        <v>37</v>
      </c>
      <c r="I1072" t="s">
        <v>32</v>
      </c>
      <c r="J1072">
        <v>1</v>
      </c>
      <c r="K1072">
        <v>19</v>
      </c>
      <c r="L1072">
        <v>1</v>
      </c>
      <c r="M1072">
        <v>1069997</v>
      </c>
      <c r="N1072">
        <v>1069997</v>
      </c>
      <c r="O1072">
        <v>878077</v>
      </c>
      <c r="P1072">
        <v>191920</v>
      </c>
    </row>
    <row r="1073" spans="1:16" x14ac:dyDescent="0.3">
      <c r="A1073">
        <v>2072</v>
      </c>
      <c r="B1073" t="s">
        <v>260</v>
      </c>
      <c r="C1073">
        <v>2023</v>
      </c>
      <c r="D1073" t="s">
        <v>76</v>
      </c>
      <c r="E1073" t="s">
        <v>25</v>
      </c>
      <c r="F1073" t="s">
        <v>26</v>
      </c>
      <c r="G1073" t="s">
        <v>90</v>
      </c>
      <c r="H1073" t="s">
        <v>52</v>
      </c>
      <c r="I1073" t="s">
        <v>22</v>
      </c>
      <c r="J1073">
        <v>1</v>
      </c>
      <c r="K1073">
        <v>19</v>
      </c>
      <c r="L1073">
        <v>6</v>
      </c>
      <c r="M1073">
        <v>1034219</v>
      </c>
      <c r="N1073">
        <v>6205314</v>
      </c>
      <c r="O1073">
        <v>4801023</v>
      </c>
      <c r="P1073">
        <v>1404291</v>
      </c>
    </row>
    <row r="1074" spans="1:16" x14ac:dyDescent="0.3">
      <c r="A1074">
        <v>2073</v>
      </c>
      <c r="B1074" t="s">
        <v>641</v>
      </c>
      <c r="C1074">
        <v>2024</v>
      </c>
      <c r="D1074" t="s">
        <v>34</v>
      </c>
      <c r="E1074" t="s">
        <v>44</v>
      </c>
      <c r="F1074" t="s">
        <v>92</v>
      </c>
      <c r="G1074" t="s">
        <v>20</v>
      </c>
      <c r="H1074" t="s">
        <v>100</v>
      </c>
      <c r="I1074" t="s">
        <v>22</v>
      </c>
      <c r="J1074">
        <v>1</v>
      </c>
      <c r="K1074">
        <v>21</v>
      </c>
      <c r="L1074">
        <v>4</v>
      </c>
      <c r="M1074">
        <v>890746</v>
      </c>
      <c r="N1074">
        <v>3562984</v>
      </c>
      <c r="O1074">
        <v>2928907</v>
      </c>
      <c r="P1074">
        <v>634077</v>
      </c>
    </row>
    <row r="1075" spans="1:16" x14ac:dyDescent="0.3">
      <c r="A1075">
        <v>2074</v>
      </c>
      <c r="B1075" t="s">
        <v>487</v>
      </c>
      <c r="C1075">
        <v>2024</v>
      </c>
      <c r="D1075" t="s">
        <v>34</v>
      </c>
      <c r="E1075" t="s">
        <v>18</v>
      </c>
      <c r="F1075" t="s">
        <v>107</v>
      </c>
      <c r="G1075" t="s">
        <v>59</v>
      </c>
      <c r="H1075" t="s">
        <v>47</v>
      </c>
      <c r="I1075" t="s">
        <v>48</v>
      </c>
      <c r="J1075">
        <v>1.2</v>
      </c>
      <c r="K1075">
        <v>20</v>
      </c>
      <c r="L1075">
        <v>7</v>
      </c>
      <c r="M1075">
        <v>1281354</v>
      </c>
      <c r="N1075">
        <v>8969478</v>
      </c>
      <c r="O1075">
        <v>7621531</v>
      </c>
      <c r="P1075">
        <v>1347947</v>
      </c>
    </row>
    <row r="1076" spans="1:16" x14ac:dyDescent="0.3">
      <c r="A1076">
        <v>2075</v>
      </c>
      <c r="B1076" t="s">
        <v>603</v>
      </c>
      <c r="C1076">
        <v>2024</v>
      </c>
      <c r="D1076" t="s">
        <v>29</v>
      </c>
      <c r="E1076" t="s">
        <v>40</v>
      </c>
      <c r="F1076" t="s">
        <v>68</v>
      </c>
      <c r="G1076" t="s">
        <v>46</v>
      </c>
      <c r="H1076" t="s">
        <v>56</v>
      </c>
      <c r="I1076" t="s">
        <v>48</v>
      </c>
      <c r="J1076">
        <v>1.5</v>
      </c>
      <c r="K1076">
        <v>20</v>
      </c>
      <c r="L1076">
        <v>1</v>
      </c>
      <c r="M1076">
        <v>1327800</v>
      </c>
      <c r="N1076">
        <v>1327800</v>
      </c>
      <c r="O1076">
        <v>1084582</v>
      </c>
      <c r="P1076">
        <v>243218</v>
      </c>
    </row>
    <row r="1077" spans="1:16" x14ac:dyDescent="0.3">
      <c r="A1077">
        <v>2076</v>
      </c>
      <c r="B1077" t="s">
        <v>483</v>
      </c>
      <c r="C1077">
        <v>2023</v>
      </c>
      <c r="D1077" t="s">
        <v>43</v>
      </c>
      <c r="E1077" t="s">
        <v>25</v>
      </c>
      <c r="F1077" t="s">
        <v>26</v>
      </c>
      <c r="G1077" t="s">
        <v>59</v>
      </c>
      <c r="H1077" t="s">
        <v>52</v>
      </c>
      <c r="I1077" t="s">
        <v>22</v>
      </c>
      <c r="J1077">
        <v>1.5</v>
      </c>
      <c r="K1077">
        <v>16</v>
      </c>
      <c r="L1077">
        <v>6</v>
      </c>
      <c r="M1077">
        <v>1325194</v>
      </c>
      <c r="N1077">
        <v>7951164</v>
      </c>
      <c r="O1077">
        <v>6126142</v>
      </c>
      <c r="P1077">
        <v>1825022</v>
      </c>
    </row>
    <row r="1078" spans="1:16" x14ac:dyDescent="0.3">
      <c r="A1078">
        <v>2077</v>
      </c>
      <c r="B1078" t="s">
        <v>338</v>
      </c>
      <c r="C1078">
        <v>2024</v>
      </c>
      <c r="D1078" t="s">
        <v>50</v>
      </c>
      <c r="E1078" t="s">
        <v>44</v>
      </c>
      <c r="F1078" t="s">
        <v>62</v>
      </c>
      <c r="G1078" t="s">
        <v>30</v>
      </c>
      <c r="H1078" t="s">
        <v>56</v>
      </c>
      <c r="I1078" t="s">
        <v>48</v>
      </c>
      <c r="J1078">
        <v>1.5</v>
      </c>
      <c r="K1078">
        <v>20</v>
      </c>
      <c r="L1078">
        <v>5</v>
      </c>
      <c r="M1078">
        <v>1155283</v>
      </c>
      <c r="N1078">
        <v>5776415</v>
      </c>
      <c r="O1078">
        <v>4582253</v>
      </c>
      <c r="P1078">
        <v>1194162</v>
      </c>
    </row>
    <row r="1079" spans="1:16" x14ac:dyDescent="0.3">
      <c r="A1079">
        <v>2078</v>
      </c>
      <c r="B1079" t="s">
        <v>124</v>
      </c>
      <c r="C1079">
        <v>2024</v>
      </c>
      <c r="D1079" t="s">
        <v>17</v>
      </c>
      <c r="E1079" t="s">
        <v>18</v>
      </c>
      <c r="F1079" t="s">
        <v>72</v>
      </c>
      <c r="G1079" t="s">
        <v>27</v>
      </c>
      <c r="H1079" t="s">
        <v>47</v>
      </c>
      <c r="I1079" t="s">
        <v>48</v>
      </c>
      <c r="J1079">
        <v>1</v>
      </c>
      <c r="K1079">
        <v>22</v>
      </c>
      <c r="L1079">
        <v>5</v>
      </c>
      <c r="M1079">
        <v>696977</v>
      </c>
      <c r="N1079">
        <v>3484885</v>
      </c>
      <c r="O1079">
        <v>2688282</v>
      </c>
      <c r="P1079">
        <v>796603</v>
      </c>
    </row>
    <row r="1080" spans="1:16" x14ac:dyDescent="0.3">
      <c r="A1080">
        <v>2079</v>
      </c>
      <c r="B1080" t="s">
        <v>642</v>
      </c>
      <c r="C1080">
        <v>2024</v>
      </c>
      <c r="D1080" t="s">
        <v>50</v>
      </c>
      <c r="E1080" t="s">
        <v>40</v>
      </c>
      <c r="F1080" t="s">
        <v>120</v>
      </c>
      <c r="G1080" t="s">
        <v>27</v>
      </c>
      <c r="H1080" t="s">
        <v>37</v>
      </c>
      <c r="I1080" t="s">
        <v>32</v>
      </c>
      <c r="J1080">
        <v>2</v>
      </c>
      <c r="K1080">
        <v>16</v>
      </c>
      <c r="L1080">
        <v>4</v>
      </c>
      <c r="M1080">
        <v>1226542</v>
      </c>
      <c r="N1080">
        <v>4906168</v>
      </c>
      <c r="O1080">
        <v>3908911</v>
      </c>
      <c r="P1080">
        <v>997257</v>
      </c>
    </row>
    <row r="1081" spans="1:16" x14ac:dyDescent="0.3">
      <c r="A1081">
        <v>2080</v>
      </c>
      <c r="B1081" t="s">
        <v>453</v>
      </c>
      <c r="C1081">
        <v>2023</v>
      </c>
      <c r="D1081" t="s">
        <v>61</v>
      </c>
      <c r="E1081" t="s">
        <v>18</v>
      </c>
      <c r="F1081" t="s">
        <v>19</v>
      </c>
      <c r="G1081" t="s">
        <v>51</v>
      </c>
      <c r="H1081" t="s">
        <v>47</v>
      </c>
      <c r="I1081" t="s">
        <v>48</v>
      </c>
      <c r="J1081">
        <v>1</v>
      </c>
      <c r="K1081">
        <v>20</v>
      </c>
      <c r="L1081">
        <v>7</v>
      </c>
      <c r="M1081">
        <v>1382835</v>
      </c>
      <c r="N1081">
        <v>9679845</v>
      </c>
      <c r="O1081">
        <v>8245534</v>
      </c>
      <c r="P1081">
        <v>1434311</v>
      </c>
    </row>
    <row r="1082" spans="1:16" x14ac:dyDescent="0.3">
      <c r="A1082">
        <v>2081</v>
      </c>
      <c r="B1082" t="s">
        <v>643</v>
      </c>
      <c r="C1082">
        <v>2023</v>
      </c>
      <c r="D1082" t="s">
        <v>50</v>
      </c>
      <c r="E1082" t="s">
        <v>25</v>
      </c>
      <c r="F1082" t="s">
        <v>77</v>
      </c>
      <c r="G1082" t="s">
        <v>30</v>
      </c>
      <c r="H1082" t="s">
        <v>37</v>
      </c>
      <c r="I1082" t="s">
        <v>32</v>
      </c>
      <c r="J1082">
        <v>2</v>
      </c>
      <c r="K1082">
        <v>21</v>
      </c>
      <c r="L1082">
        <v>5</v>
      </c>
      <c r="M1082">
        <v>848891</v>
      </c>
      <c r="N1082">
        <v>4244455</v>
      </c>
      <c r="O1082">
        <v>3721410</v>
      </c>
      <c r="P1082">
        <v>523045</v>
      </c>
    </row>
    <row r="1083" spans="1:16" x14ac:dyDescent="0.3">
      <c r="A1083">
        <v>2082</v>
      </c>
      <c r="B1083" t="s">
        <v>644</v>
      </c>
      <c r="C1083">
        <v>2023</v>
      </c>
      <c r="D1083" t="s">
        <v>39</v>
      </c>
      <c r="E1083" t="s">
        <v>40</v>
      </c>
      <c r="F1083" t="s">
        <v>68</v>
      </c>
      <c r="G1083" t="s">
        <v>46</v>
      </c>
      <c r="H1083" t="s">
        <v>54</v>
      </c>
      <c r="I1083" t="s">
        <v>48</v>
      </c>
      <c r="J1083">
        <v>1.5</v>
      </c>
      <c r="K1083">
        <v>21</v>
      </c>
      <c r="L1083">
        <v>6</v>
      </c>
      <c r="M1083">
        <v>766173</v>
      </c>
      <c r="N1083">
        <v>4597038</v>
      </c>
      <c r="O1083">
        <v>4024900</v>
      </c>
      <c r="P1083">
        <v>572138</v>
      </c>
    </row>
    <row r="1084" spans="1:16" x14ac:dyDescent="0.3">
      <c r="A1084">
        <v>2083</v>
      </c>
      <c r="B1084" t="s">
        <v>570</v>
      </c>
      <c r="C1084">
        <v>2023</v>
      </c>
      <c r="D1084" t="s">
        <v>76</v>
      </c>
      <c r="E1084" t="s">
        <v>18</v>
      </c>
      <c r="F1084" t="s">
        <v>72</v>
      </c>
      <c r="G1084" t="s">
        <v>59</v>
      </c>
      <c r="H1084" t="s">
        <v>21</v>
      </c>
      <c r="I1084" t="s">
        <v>22</v>
      </c>
      <c r="J1084">
        <v>2</v>
      </c>
      <c r="K1084">
        <v>19</v>
      </c>
      <c r="L1084">
        <v>8</v>
      </c>
      <c r="M1084">
        <v>1484770</v>
      </c>
      <c r="N1084">
        <v>11878160</v>
      </c>
      <c r="O1084">
        <v>9279899</v>
      </c>
      <c r="P1084">
        <v>2598261</v>
      </c>
    </row>
    <row r="1085" spans="1:16" x14ac:dyDescent="0.3">
      <c r="A1085">
        <v>2084</v>
      </c>
      <c r="B1085" t="s">
        <v>173</v>
      </c>
      <c r="C1085">
        <v>2023</v>
      </c>
      <c r="D1085" t="s">
        <v>61</v>
      </c>
      <c r="E1085" t="s">
        <v>25</v>
      </c>
      <c r="F1085" t="s">
        <v>77</v>
      </c>
      <c r="G1085" t="s">
        <v>51</v>
      </c>
      <c r="H1085" t="s">
        <v>56</v>
      </c>
      <c r="I1085" t="s">
        <v>48</v>
      </c>
      <c r="J1085">
        <v>1.5</v>
      </c>
      <c r="K1085">
        <v>22</v>
      </c>
      <c r="L1085">
        <v>6</v>
      </c>
      <c r="M1085">
        <v>1083542</v>
      </c>
      <c r="N1085">
        <v>6501252</v>
      </c>
      <c r="O1085">
        <v>5503811</v>
      </c>
      <c r="P1085">
        <v>997441</v>
      </c>
    </row>
    <row r="1086" spans="1:16" x14ac:dyDescent="0.3">
      <c r="A1086">
        <v>2085</v>
      </c>
      <c r="B1086" t="s">
        <v>65</v>
      </c>
      <c r="C1086">
        <v>2023</v>
      </c>
      <c r="D1086" t="s">
        <v>17</v>
      </c>
      <c r="E1086" t="s">
        <v>25</v>
      </c>
      <c r="F1086" t="s">
        <v>58</v>
      </c>
      <c r="G1086" t="s">
        <v>27</v>
      </c>
      <c r="H1086" t="s">
        <v>47</v>
      </c>
      <c r="I1086" t="s">
        <v>48</v>
      </c>
      <c r="J1086">
        <v>1.2</v>
      </c>
      <c r="K1086">
        <v>20</v>
      </c>
      <c r="L1086">
        <v>7</v>
      </c>
      <c r="M1086">
        <v>1465872</v>
      </c>
      <c r="N1086">
        <v>10261104</v>
      </c>
      <c r="O1086">
        <v>9117410</v>
      </c>
      <c r="P1086">
        <v>1143694</v>
      </c>
    </row>
    <row r="1087" spans="1:16" x14ac:dyDescent="0.3">
      <c r="A1087">
        <v>2086</v>
      </c>
      <c r="B1087" t="s">
        <v>645</v>
      </c>
      <c r="C1087">
        <v>2023</v>
      </c>
      <c r="D1087" t="s">
        <v>39</v>
      </c>
      <c r="E1087" t="s">
        <v>18</v>
      </c>
      <c r="F1087" t="s">
        <v>72</v>
      </c>
      <c r="G1087" t="s">
        <v>59</v>
      </c>
      <c r="H1087" t="s">
        <v>52</v>
      </c>
      <c r="I1087" t="s">
        <v>22</v>
      </c>
      <c r="J1087">
        <v>2</v>
      </c>
      <c r="K1087">
        <v>22</v>
      </c>
      <c r="L1087">
        <v>2</v>
      </c>
      <c r="M1087">
        <v>925228</v>
      </c>
      <c r="N1087">
        <v>1850456</v>
      </c>
      <c r="O1087">
        <v>1521434</v>
      </c>
      <c r="P1087">
        <v>329022</v>
      </c>
    </row>
    <row r="1088" spans="1:16" x14ac:dyDescent="0.3">
      <c r="A1088">
        <v>2087</v>
      </c>
      <c r="B1088" t="s">
        <v>435</v>
      </c>
      <c r="C1088">
        <v>2023</v>
      </c>
      <c r="D1088" t="s">
        <v>29</v>
      </c>
      <c r="E1088" t="s">
        <v>44</v>
      </c>
      <c r="F1088" t="s">
        <v>62</v>
      </c>
      <c r="G1088" t="s">
        <v>51</v>
      </c>
      <c r="H1088" t="s">
        <v>52</v>
      </c>
      <c r="I1088" t="s">
        <v>22</v>
      </c>
      <c r="J1088">
        <v>1.2</v>
      </c>
      <c r="K1088">
        <v>23</v>
      </c>
      <c r="L1088">
        <v>5</v>
      </c>
      <c r="M1088">
        <v>767054</v>
      </c>
      <c r="N1088">
        <v>3835270</v>
      </c>
      <c r="O1088">
        <v>3072510</v>
      </c>
      <c r="P1088">
        <v>762760</v>
      </c>
    </row>
    <row r="1089" spans="1:16" x14ac:dyDescent="0.3">
      <c r="A1089">
        <v>2088</v>
      </c>
      <c r="B1089" t="s">
        <v>646</v>
      </c>
      <c r="C1089">
        <v>2023</v>
      </c>
      <c r="D1089" t="s">
        <v>67</v>
      </c>
      <c r="E1089" t="s">
        <v>40</v>
      </c>
      <c r="F1089" t="s">
        <v>104</v>
      </c>
      <c r="G1089" t="s">
        <v>90</v>
      </c>
      <c r="H1089" t="s">
        <v>54</v>
      </c>
      <c r="I1089" t="s">
        <v>48</v>
      </c>
      <c r="J1089">
        <v>1.5</v>
      </c>
      <c r="K1089">
        <v>23</v>
      </c>
      <c r="L1089">
        <v>6</v>
      </c>
      <c r="M1089">
        <v>1103281</v>
      </c>
      <c r="N1089">
        <v>6619686</v>
      </c>
      <c r="O1089">
        <v>5708275</v>
      </c>
      <c r="P1089">
        <v>911411</v>
      </c>
    </row>
    <row r="1090" spans="1:16" x14ac:dyDescent="0.3">
      <c r="A1090">
        <v>2089</v>
      </c>
      <c r="B1090" t="s">
        <v>296</v>
      </c>
      <c r="C1090">
        <v>2023</v>
      </c>
      <c r="D1090" t="s">
        <v>74</v>
      </c>
      <c r="E1090" t="s">
        <v>44</v>
      </c>
      <c r="F1090" t="s">
        <v>92</v>
      </c>
      <c r="G1090" t="s">
        <v>90</v>
      </c>
      <c r="H1090" t="s">
        <v>52</v>
      </c>
      <c r="I1090" t="s">
        <v>22</v>
      </c>
      <c r="J1090">
        <v>1.2</v>
      </c>
      <c r="K1090">
        <v>19</v>
      </c>
      <c r="L1090">
        <v>7</v>
      </c>
      <c r="M1090">
        <v>1001319</v>
      </c>
      <c r="N1090">
        <v>7009233</v>
      </c>
      <c r="O1090">
        <v>5797139</v>
      </c>
      <c r="P1090">
        <v>1212094</v>
      </c>
    </row>
    <row r="1091" spans="1:16" x14ac:dyDescent="0.3">
      <c r="A1091">
        <v>2090</v>
      </c>
      <c r="B1091" t="s">
        <v>240</v>
      </c>
      <c r="C1091">
        <v>2024</v>
      </c>
      <c r="D1091" t="s">
        <v>43</v>
      </c>
      <c r="E1091" t="s">
        <v>25</v>
      </c>
      <c r="F1091" t="s">
        <v>77</v>
      </c>
      <c r="G1091" t="s">
        <v>51</v>
      </c>
      <c r="H1091" t="s">
        <v>21</v>
      </c>
      <c r="I1091" t="s">
        <v>22</v>
      </c>
      <c r="J1091">
        <v>1.2</v>
      </c>
      <c r="K1091">
        <v>21</v>
      </c>
      <c r="L1091">
        <v>5</v>
      </c>
      <c r="M1091">
        <v>890119</v>
      </c>
      <c r="N1091">
        <v>4450595</v>
      </c>
      <c r="O1091">
        <v>3443588</v>
      </c>
      <c r="P1091">
        <v>1007007</v>
      </c>
    </row>
    <row r="1092" spans="1:16" x14ac:dyDescent="0.3">
      <c r="A1092">
        <v>2091</v>
      </c>
      <c r="B1092" t="s">
        <v>647</v>
      </c>
      <c r="C1092">
        <v>2023</v>
      </c>
      <c r="D1092" t="s">
        <v>50</v>
      </c>
      <c r="E1092" t="s">
        <v>25</v>
      </c>
      <c r="F1092" t="s">
        <v>84</v>
      </c>
      <c r="G1092" t="s">
        <v>59</v>
      </c>
      <c r="H1092" t="s">
        <v>100</v>
      </c>
      <c r="I1092" t="s">
        <v>22</v>
      </c>
      <c r="J1092">
        <v>2</v>
      </c>
      <c r="K1092">
        <v>16</v>
      </c>
      <c r="L1092">
        <v>7</v>
      </c>
      <c r="M1092">
        <v>1107826</v>
      </c>
      <c r="N1092">
        <v>7754782</v>
      </c>
      <c r="O1092">
        <v>6782308</v>
      </c>
      <c r="P1092">
        <v>972474</v>
      </c>
    </row>
    <row r="1093" spans="1:16" x14ac:dyDescent="0.3">
      <c r="A1093">
        <v>2092</v>
      </c>
      <c r="B1093" t="s">
        <v>60</v>
      </c>
      <c r="C1093">
        <v>2024</v>
      </c>
      <c r="D1093" t="s">
        <v>61</v>
      </c>
      <c r="E1093" t="s">
        <v>18</v>
      </c>
      <c r="F1093" t="s">
        <v>35</v>
      </c>
      <c r="G1093" t="s">
        <v>46</v>
      </c>
      <c r="H1093" t="s">
        <v>37</v>
      </c>
      <c r="I1093" t="s">
        <v>32</v>
      </c>
      <c r="J1093">
        <v>1.2</v>
      </c>
      <c r="K1093">
        <v>18</v>
      </c>
      <c r="L1093">
        <v>4</v>
      </c>
      <c r="M1093">
        <v>881813</v>
      </c>
      <c r="N1093">
        <v>3527252</v>
      </c>
      <c r="O1093">
        <v>2920435</v>
      </c>
      <c r="P1093">
        <v>606817</v>
      </c>
    </row>
    <row r="1094" spans="1:16" x14ac:dyDescent="0.3">
      <c r="A1094">
        <v>2093</v>
      </c>
      <c r="B1094" t="s">
        <v>178</v>
      </c>
      <c r="C1094">
        <v>2024</v>
      </c>
      <c r="D1094" t="s">
        <v>76</v>
      </c>
      <c r="E1094" t="s">
        <v>18</v>
      </c>
      <c r="F1094" t="s">
        <v>19</v>
      </c>
      <c r="G1094" t="s">
        <v>90</v>
      </c>
      <c r="H1094" t="s">
        <v>79</v>
      </c>
      <c r="I1094" t="s">
        <v>48</v>
      </c>
      <c r="J1094">
        <v>1</v>
      </c>
      <c r="K1094">
        <v>19</v>
      </c>
      <c r="L1094">
        <v>8</v>
      </c>
      <c r="M1094">
        <v>1113592</v>
      </c>
      <c r="N1094">
        <v>8908736</v>
      </c>
      <c r="O1094">
        <v>6963623</v>
      </c>
      <c r="P1094">
        <v>1945113</v>
      </c>
    </row>
    <row r="1095" spans="1:16" x14ac:dyDescent="0.3">
      <c r="A1095">
        <v>2094</v>
      </c>
      <c r="B1095" t="s">
        <v>597</v>
      </c>
      <c r="C1095">
        <v>2023</v>
      </c>
      <c r="D1095" t="s">
        <v>29</v>
      </c>
      <c r="E1095" t="s">
        <v>25</v>
      </c>
      <c r="F1095" t="s">
        <v>84</v>
      </c>
      <c r="G1095" t="s">
        <v>46</v>
      </c>
      <c r="H1095" t="s">
        <v>79</v>
      </c>
      <c r="I1095" t="s">
        <v>48</v>
      </c>
      <c r="J1095">
        <v>2</v>
      </c>
      <c r="K1095">
        <v>16</v>
      </c>
      <c r="L1095">
        <v>6</v>
      </c>
      <c r="M1095">
        <v>703126</v>
      </c>
      <c r="N1095">
        <v>4218756</v>
      </c>
      <c r="O1095">
        <v>3574416</v>
      </c>
      <c r="P1095">
        <v>644340</v>
      </c>
    </row>
    <row r="1096" spans="1:16" x14ac:dyDescent="0.3">
      <c r="A1096">
        <v>2095</v>
      </c>
      <c r="B1096" t="s">
        <v>215</v>
      </c>
      <c r="C1096">
        <v>2024</v>
      </c>
      <c r="D1096" t="s">
        <v>67</v>
      </c>
      <c r="E1096" t="s">
        <v>44</v>
      </c>
      <c r="F1096" t="s">
        <v>92</v>
      </c>
      <c r="G1096" t="s">
        <v>59</v>
      </c>
      <c r="H1096" t="s">
        <v>54</v>
      </c>
      <c r="I1096" t="s">
        <v>48</v>
      </c>
      <c r="J1096">
        <v>1</v>
      </c>
      <c r="K1096">
        <v>21</v>
      </c>
      <c r="L1096">
        <v>1</v>
      </c>
      <c r="M1096">
        <v>651362</v>
      </c>
      <c r="N1096">
        <v>651362</v>
      </c>
      <c r="O1096">
        <v>568772</v>
      </c>
      <c r="P1096">
        <v>82590</v>
      </c>
    </row>
    <row r="1097" spans="1:16" x14ac:dyDescent="0.3">
      <c r="A1097">
        <v>2096</v>
      </c>
      <c r="B1097" t="s">
        <v>593</v>
      </c>
      <c r="C1097">
        <v>2023</v>
      </c>
      <c r="D1097" t="s">
        <v>29</v>
      </c>
      <c r="E1097" t="s">
        <v>44</v>
      </c>
      <c r="F1097" t="s">
        <v>45</v>
      </c>
      <c r="G1097" t="s">
        <v>30</v>
      </c>
      <c r="H1097" t="s">
        <v>100</v>
      </c>
      <c r="I1097" t="s">
        <v>22</v>
      </c>
      <c r="J1097">
        <v>1.5</v>
      </c>
      <c r="K1097">
        <v>19</v>
      </c>
      <c r="L1097">
        <v>1</v>
      </c>
      <c r="M1097">
        <v>941198</v>
      </c>
      <c r="N1097">
        <v>941198</v>
      </c>
      <c r="O1097">
        <v>799078</v>
      </c>
      <c r="P1097">
        <v>142120</v>
      </c>
    </row>
    <row r="1098" spans="1:16" x14ac:dyDescent="0.3">
      <c r="A1098">
        <v>2097</v>
      </c>
      <c r="B1098" t="s">
        <v>648</v>
      </c>
      <c r="C1098">
        <v>2023</v>
      </c>
      <c r="D1098" t="s">
        <v>61</v>
      </c>
      <c r="E1098" t="s">
        <v>44</v>
      </c>
      <c r="F1098" t="s">
        <v>70</v>
      </c>
      <c r="G1098" t="s">
        <v>36</v>
      </c>
      <c r="H1098" t="s">
        <v>54</v>
      </c>
      <c r="I1098" t="s">
        <v>48</v>
      </c>
      <c r="J1098">
        <v>1.5</v>
      </c>
      <c r="K1098">
        <v>21</v>
      </c>
      <c r="L1098">
        <v>1</v>
      </c>
      <c r="M1098">
        <v>1304122</v>
      </c>
      <c r="N1098">
        <v>1304122</v>
      </c>
      <c r="O1098">
        <v>1026686</v>
      </c>
      <c r="P1098">
        <v>277436</v>
      </c>
    </row>
    <row r="1099" spans="1:16" x14ac:dyDescent="0.3">
      <c r="A1099">
        <v>2098</v>
      </c>
      <c r="B1099" t="s">
        <v>582</v>
      </c>
      <c r="C1099">
        <v>2023</v>
      </c>
      <c r="D1099" t="s">
        <v>34</v>
      </c>
      <c r="E1099" t="s">
        <v>18</v>
      </c>
      <c r="F1099" t="s">
        <v>72</v>
      </c>
      <c r="G1099" t="s">
        <v>30</v>
      </c>
      <c r="H1099" t="s">
        <v>54</v>
      </c>
      <c r="I1099" t="s">
        <v>48</v>
      </c>
      <c r="J1099">
        <v>1</v>
      </c>
      <c r="K1099">
        <v>22</v>
      </c>
      <c r="L1099">
        <v>7</v>
      </c>
      <c r="M1099">
        <v>1052621</v>
      </c>
      <c r="N1099">
        <v>7368347</v>
      </c>
      <c r="O1099">
        <v>6591232</v>
      </c>
      <c r="P1099">
        <v>777115</v>
      </c>
    </row>
    <row r="1100" spans="1:16" x14ac:dyDescent="0.3">
      <c r="A1100">
        <v>2099</v>
      </c>
      <c r="B1100" t="s">
        <v>430</v>
      </c>
      <c r="C1100">
        <v>2024</v>
      </c>
      <c r="D1100" t="s">
        <v>39</v>
      </c>
      <c r="E1100" t="s">
        <v>40</v>
      </c>
      <c r="F1100" t="s">
        <v>120</v>
      </c>
      <c r="G1100" t="s">
        <v>20</v>
      </c>
      <c r="H1100" t="s">
        <v>37</v>
      </c>
      <c r="I1100" t="s">
        <v>32</v>
      </c>
      <c r="J1100">
        <v>2</v>
      </c>
      <c r="K1100">
        <v>19</v>
      </c>
      <c r="L1100">
        <v>1</v>
      </c>
      <c r="M1100">
        <v>1070208</v>
      </c>
      <c r="N1100">
        <v>1070208</v>
      </c>
      <c r="O1100">
        <v>841261</v>
      </c>
      <c r="P1100">
        <v>228947</v>
      </c>
    </row>
    <row r="1101" spans="1:16" x14ac:dyDescent="0.3">
      <c r="A1101">
        <v>2100</v>
      </c>
      <c r="B1101" t="s">
        <v>424</v>
      </c>
      <c r="C1101">
        <v>2023</v>
      </c>
      <c r="D1101" t="s">
        <v>34</v>
      </c>
      <c r="E1101" t="s">
        <v>44</v>
      </c>
      <c r="F1101" t="s">
        <v>70</v>
      </c>
      <c r="G1101" t="s">
        <v>46</v>
      </c>
      <c r="H1101" t="s">
        <v>63</v>
      </c>
      <c r="I1101" t="s">
        <v>22</v>
      </c>
      <c r="J1101">
        <v>2</v>
      </c>
      <c r="K1101">
        <v>23</v>
      </c>
      <c r="L1101">
        <v>8</v>
      </c>
      <c r="M1101">
        <v>913566</v>
      </c>
      <c r="N1101">
        <v>7308528</v>
      </c>
      <c r="O1101">
        <v>6082012</v>
      </c>
      <c r="P1101">
        <v>1226516</v>
      </c>
    </row>
    <row r="1102" spans="1:16" x14ac:dyDescent="0.3">
      <c r="A1102">
        <v>2101</v>
      </c>
      <c r="B1102" t="s">
        <v>632</v>
      </c>
      <c r="C1102">
        <v>2023</v>
      </c>
      <c r="D1102" t="s">
        <v>76</v>
      </c>
      <c r="E1102" t="s">
        <v>40</v>
      </c>
      <c r="F1102" t="s">
        <v>120</v>
      </c>
      <c r="G1102" t="s">
        <v>30</v>
      </c>
      <c r="H1102" t="s">
        <v>47</v>
      </c>
      <c r="I1102" t="s">
        <v>48</v>
      </c>
      <c r="J1102">
        <v>1.5</v>
      </c>
      <c r="K1102">
        <v>22</v>
      </c>
      <c r="L1102">
        <v>5</v>
      </c>
      <c r="M1102">
        <v>1024253</v>
      </c>
      <c r="N1102">
        <v>5121265</v>
      </c>
      <c r="O1102">
        <v>4258940</v>
      </c>
      <c r="P1102">
        <v>862325</v>
      </c>
    </row>
    <row r="1103" spans="1:16" x14ac:dyDescent="0.3">
      <c r="A1103">
        <v>2102</v>
      </c>
      <c r="B1103" t="s">
        <v>122</v>
      </c>
      <c r="C1103">
        <v>2024</v>
      </c>
      <c r="D1103" t="s">
        <v>67</v>
      </c>
      <c r="E1103" t="s">
        <v>40</v>
      </c>
      <c r="F1103" t="s">
        <v>68</v>
      </c>
      <c r="G1103" t="s">
        <v>20</v>
      </c>
      <c r="H1103" t="s">
        <v>79</v>
      </c>
      <c r="I1103" t="s">
        <v>48</v>
      </c>
      <c r="J1103">
        <v>1</v>
      </c>
      <c r="K1103">
        <v>23</v>
      </c>
      <c r="L1103">
        <v>8</v>
      </c>
      <c r="M1103">
        <v>714878</v>
      </c>
      <c r="N1103">
        <v>5719024</v>
      </c>
      <c r="O1103">
        <v>4900977</v>
      </c>
      <c r="P1103">
        <v>818047</v>
      </c>
    </row>
    <row r="1104" spans="1:16" x14ac:dyDescent="0.3">
      <c r="A1104">
        <v>2103</v>
      </c>
      <c r="B1104" t="s">
        <v>649</v>
      </c>
      <c r="C1104">
        <v>2024</v>
      </c>
      <c r="D1104" t="s">
        <v>43</v>
      </c>
      <c r="E1104" t="s">
        <v>25</v>
      </c>
      <c r="F1104" t="s">
        <v>84</v>
      </c>
      <c r="G1104" t="s">
        <v>46</v>
      </c>
      <c r="H1104" t="s">
        <v>100</v>
      </c>
      <c r="I1104" t="s">
        <v>22</v>
      </c>
      <c r="J1104">
        <v>1</v>
      </c>
      <c r="K1104">
        <v>20</v>
      </c>
      <c r="L1104">
        <v>1</v>
      </c>
      <c r="M1104">
        <v>1353002</v>
      </c>
      <c r="N1104">
        <v>1353002</v>
      </c>
      <c r="O1104">
        <v>1135371</v>
      </c>
      <c r="P1104">
        <v>217631</v>
      </c>
    </row>
    <row r="1105" spans="1:16" x14ac:dyDescent="0.3">
      <c r="A1105">
        <v>2104</v>
      </c>
      <c r="B1105" t="s">
        <v>650</v>
      </c>
      <c r="C1105">
        <v>2024</v>
      </c>
      <c r="D1105" t="s">
        <v>67</v>
      </c>
      <c r="E1105" t="s">
        <v>40</v>
      </c>
      <c r="F1105" t="s">
        <v>41</v>
      </c>
      <c r="G1105" t="s">
        <v>46</v>
      </c>
      <c r="H1105" t="s">
        <v>47</v>
      </c>
      <c r="I1105" t="s">
        <v>48</v>
      </c>
      <c r="J1105">
        <v>2</v>
      </c>
      <c r="K1105">
        <v>20</v>
      </c>
      <c r="L1105">
        <v>7</v>
      </c>
      <c r="M1105">
        <v>1221520</v>
      </c>
      <c r="N1105">
        <v>8550640</v>
      </c>
      <c r="O1105">
        <v>6899176</v>
      </c>
      <c r="P1105">
        <v>1651464</v>
      </c>
    </row>
    <row r="1106" spans="1:16" x14ac:dyDescent="0.3">
      <c r="A1106">
        <v>2105</v>
      </c>
      <c r="B1106" t="s">
        <v>376</v>
      </c>
      <c r="C1106">
        <v>2023</v>
      </c>
      <c r="D1106" t="s">
        <v>50</v>
      </c>
      <c r="E1106" t="s">
        <v>25</v>
      </c>
      <c r="F1106" t="s">
        <v>77</v>
      </c>
      <c r="G1106" t="s">
        <v>51</v>
      </c>
      <c r="H1106" t="s">
        <v>47</v>
      </c>
      <c r="I1106" t="s">
        <v>48</v>
      </c>
      <c r="J1106">
        <v>1.5</v>
      </c>
      <c r="K1106">
        <v>20</v>
      </c>
      <c r="L1106">
        <v>8</v>
      </c>
      <c r="M1106">
        <v>1330255</v>
      </c>
      <c r="N1106">
        <v>10642040</v>
      </c>
      <c r="O1106">
        <v>8971126</v>
      </c>
      <c r="P1106">
        <v>1670914</v>
      </c>
    </row>
    <row r="1107" spans="1:16" x14ac:dyDescent="0.3">
      <c r="A1107">
        <v>2106</v>
      </c>
      <c r="B1107" t="s">
        <v>361</v>
      </c>
      <c r="C1107">
        <v>2024</v>
      </c>
      <c r="D1107" t="s">
        <v>61</v>
      </c>
      <c r="E1107" t="s">
        <v>18</v>
      </c>
      <c r="F1107" t="s">
        <v>72</v>
      </c>
      <c r="G1107" t="s">
        <v>30</v>
      </c>
      <c r="H1107" t="s">
        <v>56</v>
      </c>
      <c r="I1107" t="s">
        <v>48</v>
      </c>
      <c r="J1107">
        <v>1</v>
      </c>
      <c r="K1107">
        <v>19</v>
      </c>
      <c r="L1107">
        <v>1</v>
      </c>
      <c r="M1107">
        <v>647654</v>
      </c>
      <c r="N1107">
        <v>647654</v>
      </c>
      <c r="O1107">
        <v>525200</v>
      </c>
      <c r="P1107">
        <v>122454</v>
      </c>
    </row>
    <row r="1108" spans="1:16" x14ac:dyDescent="0.3">
      <c r="A1108">
        <v>2107</v>
      </c>
      <c r="B1108" t="s">
        <v>651</v>
      </c>
      <c r="C1108">
        <v>2024</v>
      </c>
      <c r="D1108" t="s">
        <v>67</v>
      </c>
      <c r="E1108" t="s">
        <v>25</v>
      </c>
      <c r="F1108" t="s">
        <v>84</v>
      </c>
      <c r="G1108" t="s">
        <v>90</v>
      </c>
      <c r="H1108" t="s">
        <v>21</v>
      </c>
      <c r="I1108" t="s">
        <v>22</v>
      </c>
      <c r="J1108">
        <v>2</v>
      </c>
      <c r="K1108">
        <v>16</v>
      </c>
      <c r="L1108">
        <v>8</v>
      </c>
      <c r="M1108">
        <v>922321</v>
      </c>
      <c r="N1108">
        <v>7378568</v>
      </c>
      <c r="O1108">
        <v>5557668</v>
      </c>
      <c r="P1108">
        <v>1820900</v>
      </c>
    </row>
    <row r="1109" spans="1:16" x14ac:dyDescent="0.3">
      <c r="A1109">
        <v>2108</v>
      </c>
      <c r="B1109" t="s">
        <v>652</v>
      </c>
      <c r="C1109">
        <v>2023</v>
      </c>
      <c r="D1109" t="s">
        <v>61</v>
      </c>
      <c r="E1109" t="s">
        <v>25</v>
      </c>
      <c r="F1109" t="s">
        <v>26</v>
      </c>
      <c r="G1109" t="s">
        <v>30</v>
      </c>
      <c r="H1109" t="s">
        <v>100</v>
      </c>
      <c r="I1109" t="s">
        <v>22</v>
      </c>
      <c r="J1109">
        <v>1</v>
      </c>
      <c r="K1109">
        <v>20</v>
      </c>
      <c r="L1109">
        <v>1</v>
      </c>
      <c r="M1109">
        <v>662059</v>
      </c>
      <c r="N1109">
        <v>662059</v>
      </c>
      <c r="O1109">
        <v>566388</v>
      </c>
      <c r="P1109">
        <v>95671</v>
      </c>
    </row>
    <row r="1110" spans="1:16" x14ac:dyDescent="0.3">
      <c r="A1110">
        <v>2109</v>
      </c>
      <c r="B1110" t="s">
        <v>118</v>
      </c>
      <c r="C1110">
        <v>2024</v>
      </c>
      <c r="D1110" t="s">
        <v>67</v>
      </c>
      <c r="E1110" t="s">
        <v>18</v>
      </c>
      <c r="F1110" t="s">
        <v>19</v>
      </c>
      <c r="G1110" t="s">
        <v>27</v>
      </c>
      <c r="H1110" t="s">
        <v>54</v>
      </c>
      <c r="I1110" t="s">
        <v>48</v>
      </c>
      <c r="J1110">
        <v>1</v>
      </c>
      <c r="K1110">
        <v>18</v>
      </c>
      <c r="L1110">
        <v>7</v>
      </c>
      <c r="M1110">
        <v>616028</v>
      </c>
      <c r="N1110">
        <v>4312196</v>
      </c>
      <c r="O1110">
        <v>3315970</v>
      </c>
      <c r="P1110">
        <v>996226</v>
      </c>
    </row>
    <row r="1111" spans="1:16" x14ac:dyDescent="0.3">
      <c r="A1111">
        <v>2110</v>
      </c>
      <c r="B1111" t="s">
        <v>653</v>
      </c>
      <c r="C1111">
        <v>2024</v>
      </c>
      <c r="D1111" t="s">
        <v>61</v>
      </c>
      <c r="E1111" t="s">
        <v>18</v>
      </c>
      <c r="F1111" t="s">
        <v>35</v>
      </c>
      <c r="G1111" t="s">
        <v>30</v>
      </c>
      <c r="H1111" t="s">
        <v>47</v>
      </c>
      <c r="I1111" t="s">
        <v>48</v>
      </c>
      <c r="J1111">
        <v>1.5</v>
      </c>
      <c r="K1111">
        <v>23</v>
      </c>
      <c r="L1111">
        <v>3</v>
      </c>
      <c r="M1111">
        <v>1004921</v>
      </c>
      <c r="N1111">
        <v>3014763</v>
      </c>
      <c r="O1111">
        <v>2300252</v>
      </c>
      <c r="P1111">
        <v>714511</v>
      </c>
    </row>
    <row r="1112" spans="1:16" x14ac:dyDescent="0.3">
      <c r="A1112">
        <v>2111</v>
      </c>
      <c r="B1112" t="s">
        <v>404</v>
      </c>
      <c r="C1112">
        <v>2024</v>
      </c>
      <c r="D1112" t="s">
        <v>50</v>
      </c>
      <c r="E1112" t="s">
        <v>40</v>
      </c>
      <c r="F1112" t="s">
        <v>104</v>
      </c>
      <c r="G1112" t="s">
        <v>27</v>
      </c>
      <c r="H1112" t="s">
        <v>56</v>
      </c>
      <c r="I1112" t="s">
        <v>48</v>
      </c>
      <c r="J1112">
        <v>1.2</v>
      </c>
      <c r="K1112">
        <v>20</v>
      </c>
      <c r="L1112">
        <v>3</v>
      </c>
      <c r="M1112">
        <v>628476</v>
      </c>
      <c r="N1112">
        <v>1885428</v>
      </c>
      <c r="O1112">
        <v>1559345</v>
      </c>
      <c r="P1112">
        <v>326083</v>
      </c>
    </row>
    <row r="1113" spans="1:16" x14ac:dyDescent="0.3">
      <c r="A1113">
        <v>2112</v>
      </c>
      <c r="B1113" t="s">
        <v>270</v>
      </c>
      <c r="C1113">
        <v>2023</v>
      </c>
      <c r="D1113" t="s">
        <v>67</v>
      </c>
      <c r="E1113" t="s">
        <v>44</v>
      </c>
      <c r="F1113" t="s">
        <v>70</v>
      </c>
      <c r="G1113" t="s">
        <v>90</v>
      </c>
      <c r="H1113" t="s">
        <v>21</v>
      </c>
      <c r="I1113" t="s">
        <v>22</v>
      </c>
      <c r="J1113">
        <v>2</v>
      </c>
      <c r="K1113">
        <v>18</v>
      </c>
      <c r="L1113">
        <v>3</v>
      </c>
      <c r="M1113">
        <v>1031531</v>
      </c>
      <c r="N1113">
        <v>3094593</v>
      </c>
      <c r="O1113">
        <v>2715777</v>
      </c>
      <c r="P1113">
        <v>378816</v>
      </c>
    </row>
    <row r="1114" spans="1:16" x14ac:dyDescent="0.3">
      <c r="A1114">
        <v>2113</v>
      </c>
      <c r="B1114" t="s">
        <v>533</v>
      </c>
      <c r="C1114">
        <v>2024</v>
      </c>
      <c r="D1114" t="s">
        <v>17</v>
      </c>
      <c r="E1114" t="s">
        <v>25</v>
      </c>
      <c r="F1114" t="s">
        <v>26</v>
      </c>
      <c r="G1114" t="s">
        <v>30</v>
      </c>
      <c r="H1114" t="s">
        <v>47</v>
      </c>
      <c r="I1114" t="s">
        <v>48</v>
      </c>
      <c r="J1114">
        <v>1.5</v>
      </c>
      <c r="K1114">
        <v>20</v>
      </c>
      <c r="L1114">
        <v>3</v>
      </c>
      <c r="M1114">
        <v>1170472</v>
      </c>
      <c r="N1114">
        <v>3511416</v>
      </c>
      <c r="O1114">
        <v>3113789</v>
      </c>
      <c r="P1114">
        <v>397627</v>
      </c>
    </row>
    <row r="1115" spans="1:16" x14ac:dyDescent="0.3">
      <c r="A1115">
        <v>2114</v>
      </c>
      <c r="B1115" t="s">
        <v>654</v>
      </c>
      <c r="C1115">
        <v>2024</v>
      </c>
      <c r="D1115" t="s">
        <v>97</v>
      </c>
      <c r="E1115" t="s">
        <v>25</v>
      </c>
      <c r="F1115" t="s">
        <v>58</v>
      </c>
      <c r="G1115" t="s">
        <v>27</v>
      </c>
      <c r="H1115" t="s">
        <v>21</v>
      </c>
      <c r="I1115" t="s">
        <v>22</v>
      </c>
      <c r="J1115">
        <v>1.5</v>
      </c>
      <c r="K1115">
        <v>18</v>
      </c>
      <c r="L1115">
        <v>8</v>
      </c>
      <c r="M1115">
        <v>828846</v>
      </c>
      <c r="N1115">
        <v>6630768</v>
      </c>
      <c r="O1115">
        <v>5255230</v>
      </c>
      <c r="P1115">
        <v>1375538</v>
      </c>
    </row>
    <row r="1116" spans="1:16" x14ac:dyDescent="0.3">
      <c r="A1116">
        <v>2115</v>
      </c>
      <c r="B1116" t="s">
        <v>470</v>
      </c>
      <c r="C1116">
        <v>2023</v>
      </c>
      <c r="D1116" t="s">
        <v>74</v>
      </c>
      <c r="E1116" t="s">
        <v>25</v>
      </c>
      <c r="F1116" t="s">
        <v>84</v>
      </c>
      <c r="G1116" t="s">
        <v>30</v>
      </c>
      <c r="H1116" t="s">
        <v>21</v>
      </c>
      <c r="I1116" t="s">
        <v>22</v>
      </c>
      <c r="J1116">
        <v>1.5</v>
      </c>
      <c r="K1116">
        <v>18</v>
      </c>
      <c r="L1116">
        <v>8</v>
      </c>
      <c r="M1116">
        <v>914914</v>
      </c>
      <c r="N1116">
        <v>7319312</v>
      </c>
      <c r="O1116">
        <v>5862639</v>
      </c>
      <c r="P1116">
        <v>1456673</v>
      </c>
    </row>
    <row r="1117" spans="1:16" x14ac:dyDescent="0.3">
      <c r="A1117">
        <v>2116</v>
      </c>
      <c r="B1117" t="s">
        <v>655</v>
      </c>
      <c r="C1117">
        <v>2024</v>
      </c>
      <c r="D1117" t="s">
        <v>97</v>
      </c>
      <c r="E1117" t="s">
        <v>44</v>
      </c>
      <c r="F1117" t="s">
        <v>92</v>
      </c>
      <c r="G1117" t="s">
        <v>59</v>
      </c>
      <c r="H1117" t="s">
        <v>37</v>
      </c>
      <c r="I1117" t="s">
        <v>32</v>
      </c>
      <c r="J1117">
        <v>2</v>
      </c>
      <c r="K1117">
        <v>23</v>
      </c>
      <c r="L1117">
        <v>2</v>
      </c>
      <c r="M1117">
        <v>969710</v>
      </c>
      <c r="N1117">
        <v>1939420</v>
      </c>
      <c r="O1117">
        <v>1456654</v>
      </c>
      <c r="P1117">
        <v>482766</v>
      </c>
    </row>
    <row r="1118" spans="1:16" x14ac:dyDescent="0.3">
      <c r="A1118">
        <v>2117</v>
      </c>
      <c r="B1118" t="s">
        <v>395</v>
      </c>
      <c r="C1118">
        <v>2023</v>
      </c>
      <c r="D1118" t="s">
        <v>43</v>
      </c>
      <c r="E1118" t="s">
        <v>25</v>
      </c>
      <c r="F1118" t="s">
        <v>84</v>
      </c>
      <c r="G1118" t="s">
        <v>51</v>
      </c>
      <c r="H1118" t="s">
        <v>79</v>
      </c>
      <c r="I1118" t="s">
        <v>48</v>
      </c>
      <c r="J1118">
        <v>2</v>
      </c>
      <c r="K1118">
        <v>23</v>
      </c>
      <c r="L1118">
        <v>8</v>
      </c>
      <c r="M1118">
        <v>633743</v>
      </c>
      <c r="N1118">
        <v>5069944</v>
      </c>
      <c r="O1118">
        <v>3960712</v>
      </c>
      <c r="P1118">
        <v>1109232</v>
      </c>
    </row>
    <row r="1119" spans="1:16" x14ac:dyDescent="0.3">
      <c r="A1119">
        <v>2118</v>
      </c>
      <c r="B1119" t="s">
        <v>233</v>
      </c>
      <c r="C1119">
        <v>2023</v>
      </c>
      <c r="D1119" t="s">
        <v>43</v>
      </c>
      <c r="E1119" t="s">
        <v>18</v>
      </c>
      <c r="F1119" t="s">
        <v>72</v>
      </c>
      <c r="G1119" t="s">
        <v>51</v>
      </c>
      <c r="H1119" t="s">
        <v>52</v>
      </c>
      <c r="I1119" t="s">
        <v>22</v>
      </c>
      <c r="J1119">
        <v>2</v>
      </c>
      <c r="K1119">
        <v>18</v>
      </c>
      <c r="L1119">
        <v>6</v>
      </c>
      <c r="M1119">
        <v>927751</v>
      </c>
      <c r="N1119">
        <v>5566506</v>
      </c>
      <c r="O1119">
        <v>4462025</v>
      </c>
      <c r="P1119">
        <v>1104481</v>
      </c>
    </row>
    <row r="1120" spans="1:16" x14ac:dyDescent="0.3">
      <c r="A1120">
        <v>2119</v>
      </c>
      <c r="B1120" t="s">
        <v>73</v>
      </c>
      <c r="C1120">
        <v>2024</v>
      </c>
      <c r="D1120" t="s">
        <v>74</v>
      </c>
      <c r="E1120" t="s">
        <v>40</v>
      </c>
      <c r="F1120" t="s">
        <v>104</v>
      </c>
      <c r="G1120" t="s">
        <v>46</v>
      </c>
      <c r="H1120" t="s">
        <v>31</v>
      </c>
      <c r="I1120" t="s">
        <v>32</v>
      </c>
      <c r="J1120">
        <v>1.5</v>
      </c>
      <c r="K1120">
        <v>22</v>
      </c>
      <c r="L1120">
        <v>7</v>
      </c>
      <c r="M1120">
        <v>1285859</v>
      </c>
      <c r="N1120">
        <v>9001013</v>
      </c>
      <c r="O1120">
        <v>7148792</v>
      </c>
      <c r="P1120">
        <v>1852221</v>
      </c>
    </row>
    <row r="1121" spans="1:16" x14ac:dyDescent="0.3">
      <c r="A1121">
        <v>2120</v>
      </c>
      <c r="B1121" t="s">
        <v>94</v>
      </c>
      <c r="C1121">
        <v>2024</v>
      </c>
      <c r="D1121" t="s">
        <v>43</v>
      </c>
      <c r="E1121" t="s">
        <v>40</v>
      </c>
      <c r="F1121" t="s">
        <v>120</v>
      </c>
      <c r="G1121" t="s">
        <v>20</v>
      </c>
      <c r="H1121" t="s">
        <v>63</v>
      </c>
      <c r="I1121" t="s">
        <v>22</v>
      </c>
      <c r="J1121">
        <v>1.5</v>
      </c>
      <c r="K1121">
        <v>16</v>
      </c>
      <c r="L1121">
        <v>4</v>
      </c>
      <c r="M1121">
        <v>1415069</v>
      </c>
      <c r="N1121">
        <v>5660276</v>
      </c>
      <c r="O1121">
        <v>4924757</v>
      </c>
      <c r="P1121">
        <v>735519</v>
      </c>
    </row>
    <row r="1122" spans="1:16" x14ac:dyDescent="0.3">
      <c r="A1122">
        <v>2121</v>
      </c>
      <c r="B1122" t="s">
        <v>265</v>
      </c>
      <c r="C1122">
        <v>2023</v>
      </c>
      <c r="D1122" t="s">
        <v>24</v>
      </c>
      <c r="E1122" t="s">
        <v>18</v>
      </c>
      <c r="F1122" t="s">
        <v>19</v>
      </c>
      <c r="G1122" t="s">
        <v>30</v>
      </c>
      <c r="H1122" t="s">
        <v>63</v>
      </c>
      <c r="I1122" t="s">
        <v>22</v>
      </c>
      <c r="J1122">
        <v>1.2</v>
      </c>
      <c r="K1122">
        <v>16</v>
      </c>
      <c r="L1122">
        <v>4</v>
      </c>
      <c r="M1122">
        <v>1369357</v>
      </c>
      <c r="N1122">
        <v>5477428</v>
      </c>
      <c r="O1122">
        <v>4824940</v>
      </c>
      <c r="P1122">
        <v>652488</v>
      </c>
    </row>
    <row r="1123" spans="1:16" x14ac:dyDescent="0.3">
      <c r="A1123">
        <v>2122</v>
      </c>
      <c r="B1123" t="s">
        <v>370</v>
      </c>
      <c r="C1123">
        <v>2024</v>
      </c>
      <c r="D1123" t="s">
        <v>39</v>
      </c>
      <c r="E1123" t="s">
        <v>18</v>
      </c>
      <c r="F1123" t="s">
        <v>107</v>
      </c>
      <c r="G1123" t="s">
        <v>51</v>
      </c>
      <c r="H1123" t="s">
        <v>31</v>
      </c>
      <c r="I1123" t="s">
        <v>32</v>
      </c>
      <c r="J1123">
        <v>1.2</v>
      </c>
      <c r="K1123">
        <v>22</v>
      </c>
      <c r="L1123">
        <v>8</v>
      </c>
      <c r="M1123">
        <v>1316051</v>
      </c>
      <c r="N1123">
        <v>10528408</v>
      </c>
      <c r="O1123">
        <v>8128404</v>
      </c>
      <c r="P1123">
        <v>2400004</v>
      </c>
    </row>
    <row r="1124" spans="1:16" x14ac:dyDescent="0.3">
      <c r="A1124">
        <v>2123</v>
      </c>
      <c r="B1124" t="s">
        <v>98</v>
      </c>
      <c r="C1124">
        <v>2024</v>
      </c>
      <c r="D1124" t="s">
        <v>74</v>
      </c>
      <c r="E1124" t="s">
        <v>40</v>
      </c>
      <c r="F1124" t="s">
        <v>104</v>
      </c>
      <c r="G1124" t="s">
        <v>20</v>
      </c>
      <c r="H1124" t="s">
        <v>56</v>
      </c>
      <c r="I1124" t="s">
        <v>48</v>
      </c>
      <c r="J1124">
        <v>2</v>
      </c>
      <c r="K1124">
        <v>19</v>
      </c>
      <c r="L1124">
        <v>8</v>
      </c>
      <c r="M1124">
        <v>1261074</v>
      </c>
      <c r="N1124">
        <v>10088592</v>
      </c>
      <c r="O1124">
        <v>8765114</v>
      </c>
      <c r="P1124">
        <v>1323478</v>
      </c>
    </row>
    <row r="1125" spans="1:16" x14ac:dyDescent="0.3">
      <c r="A1125">
        <v>2124</v>
      </c>
      <c r="B1125" t="s">
        <v>656</v>
      </c>
      <c r="C1125">
        <v>2023</v>
      </c>
      <c r="D1125" t="s">
        <v>74</v>
      </c>
      <c r="E1125" t="s">
        <v>25</v>
      </c>
      <c r="F1125" t="s">
        <v>77</v>
      </c>
      <c r="G1125" t="s">
        <v>59</v>
      </c>
      <c r="H1125" t="s">
        <v>79</v>
      </c>
      <c r="I1125" t="s">
        <v>48</v>
      </c>
      <c r="J1125">
        <v>1.5</v>
      </c>
      <c r="K1125">
        <v>20</v>
      </c>
      <c r="L1125">
        <v>6</v>
      </c>
      <c r="M1125">
        <v>704671</v>
      </c>
      <c r="N1125">
        <v>4228026</v>
      </c>
      <c r="O1125">
        <v>3219878</v>
      </c>
      <c r="P1125">
        <v>1008148</v>
      </c>
    </row>
    <row r="1126" spans="1:16" x14ac:dyDescent="0.3">
      <c r="A1126">
        <v>2125</v>
      </c>
      <c r="B1126" t="s">
        <v>624</v>
      </c>
      <c r="C1126">
        <v>2023</v>
      </c>
      <c r="D1126" t="s">
        <v>61</v>
      </c>
      <c r="E1126" t="s">
        <v>25</v>
      </c>
      <c r="F1126" t="s">
        <v>77</v>
      </c>
      <c r="G1126" t="s">
        <v>46</v>
      </c>
      <c r="H1126" t="s">
        <v>100</v>
      </c>
      <c r="I1126" t="s">
        <v>22</v>
      </c>
      <c r="J1126">
        <v>2</v>
      </c>
      <c r="K1126">
        <v>19</v>
      </c>
      <c r="L1126">
        <v>7</v>
      </c>
      <c r="M1126">
        <v>1321964</v>
      </c>
      <c r="N1126">
        <v>9253748</v>
      </c>
      <c r="O1126">
        <v>7689855</v>
      </c>
      <c r="P1126">
        <v>1563893</v>
      </c>
    </row>
    <row r="1127" spans="1:16" x14ac:dyDescent="0.3">
      <c r="A1127">
        <v>2126</v>
      </c>
      <c r="B1127" t="s">
        <v>385</v>
      </c>
      <c r="C1127">
        <v>2023</v>
      </c>
      <c r="D1127" t="s">
        <v>50</v>
      </c>
      <c r="E1127" t="s">
        <v>40</v>
      </c>
      <c r="F1127" t="s">
        <v>120</v>
      </c>
      <c r="G1127" t="s">
        <v>30</v>
      </c>
      <c r="H1127" t="s">
        <v>79</v>
      </c>
      <c r="I1127" t="s">
        <v>48</v>
      </c>
      <c r="J1127">
        <v>2</v>
      </c>
      <c r="K1127">
        <v>22</v>
      </c>
      <c r="L1127">
        <v>1</v>
      </c>
      <c r="M1127">
        <v>1378146</v>
      </c>
      <c r="N1127">
        <v>1378146</v>
      </c>
      <c r="O1127">
        <v>1160173</v>
      </c>
      <c r="P1127">
        <v>217973</v>
      </c>
    </row>
    <row r="1128" spans="1:16" x14ac:dyDescent="0.3">
      <c r="A1128">
        <v>2127</v>
      </c>
      <c r="B1128" t="s">
        <v>418</v>
      </c>
      <c r="C1128">
        <v>2023</v>
      </c>
      <c r="D1128" t="s">
        <v>43</v>
      </c>
      <c r="E1128" t="s">
        <v>18</v>
      </c>
      <c r="F1128" t="s">
        <v>19</v>
      </c>
      <c r="G1128" t="s">
        <v>20</v>
      </c>
      <c r="H1128" t="s">
        <v>54</v>
      </c>
      <c r="I1128" t="s">
        <v>48</v>
      </c>
      <c r="J1128">
        <v>2</v>
      </c>
      <c r="K1128">
        <v>21</v>
      </c>
      <c r="L1128">
        <v>7</v>
      </c>
      <c r="M1128">
        <v>1194063</v>
      </c>
      <c r="N1128">
        <v>8358441</v>
      </c>
      <c r="O1128">
        <v>6692857</v>
      </c>
      <c r="P1128">
        <v>1665584</v>
      </c>
    </row>
    <row r="1129" spans="1:16" x14ac:dyDescent="0.3">
      <c r="A1129">
        <v>2128</v>
      </c>
      <c r="B1129" t="s">
        <v>456</v>
      </c>
      <c r="C1129">
        <v>2024</v>
      </c>
      <c r="D1129" t="s">
        <v>61</v>
      </c>
      <c r="E1129" t="s">
        <v>40</v>
      </c>
      <c r="F1129" t="s">
        <v>41</v>
      </c>
      <c r="G1129" t="s">
        <v>20</v>
      </c>
      <c r="H1129" t="s">
        <v>47</v>
      </c>
      <c r="I1129" t="s">
        <v>48</v>
      </c>
      <c r="J1129">
        <v>1.2</v>
      </c>
      <c r="K1129">
        <v>20</v>
      </c>
      <c r="L1129">
        <v>5</v>
      </c>
      <c r="M1129">
        <v>940157</v>
      </c>
      <c r="N1129">
        <v>4700785</v>
      </c>
      <c r="O1129">
        <v>3878800</v>
      </c>
      <c r="P1129">
        <v>821985</v>
      </c>
    </row>
    <row r="1130" spans="1:16" x14ac:dyDescent="0.3">
      <c r="A1130">
        <v>2129</v>
      </c>
      <c r="B1130" t="s">
        <v>657</v>
      </c>
      <c r="C1130">
        <v>2024</v>
      </c>
      <c r="D1130" t="s">
        <v>50</v>
      </c>
      <c r="E1130" t="s">
        <v>25</v>
      </c>
      <c r="F1130" t="s">
        <v>77</v>
      </c>
      <c r="G1130" t="s">
        <v>90</v>
      </c>
      <c r="H1130" t="s">
        <v>56</v>
      </c>
      <c r="I1130" t="s">
        <v>48</v>
      </c>
      <c r="J1130">
        <v>1.2</v>
      </c>
      <c r="K1130">
        <v>19</v>
      </c>
      <c r="L1130">
        <v>4</v>
      </c>
      <c r="M1130">
        <v>607781</v>
      </c>
      <c r="N1130">
        <v>2431124</v>
      </c>
      <c r="O1130">
        <v>1854955</v>
      </c>
      <c r="P1130">
        <v>576169</v>
      </c>
    </row>
    <row r="1131" spans="1:16" x14ac:dyDescent="0.3">
      <c r="A1131">
        <v>2130</v>
      </c>
      <c r="B1131" t="s">
        <v>53</v>
      </c>
      <c r="C1131">
        <v>2023</v>
      </c>
      <c r="D1131" t="s">
        <v>50</v>
      </c>
      <c r="E1131" t="s">
        <v>44</v>
      </c>
      <c r="F1131" t="s">
        <v>70</v>
      </c>
      <c r="G1131" t="s">
        <v>30</v>
      </c>
      <c r="H1131" t="s">
        <v>31</v>
      </c>
      <c r="I1131" t="s">
        <v>32</v>
      </c>
      <c r="J1131">
        <v>2</v>
      </c>
      <c r="K1131">
        <v>21</v>
      </c>
      <c r="L1131">
        <v>3</v>
      </c>
      <c r="M1131">
        <v>987965</v>
      </c>
      <c r="N1131">
        <v>2963895</v>
      </c>
      <c r="O1131">
        <v>2292181</v>
      </c>
      <c r="P1131">
        <v>671714</v>
      </c>
    </row>
    <row r="1132" spans="1:16" x14ac:dyDescent="0.3">
      <c r="A1132">
        <v>2131</v>
      </c>
      <c r="B1132" t="s">
        <v>652</v>
      </c>
      <c r="C1132">
        <v>2023</v>
      </c>
      <c r="D1132" t="s">
        <v>61</v>
      </c>
      <c r="E1132" t="s">
        <v>18</v>
      </c>
      <c r="F1132" t="s">
        <v>19</v>
      </c>
      <c r="G1132" t="s">
        <v>27</v>
      </c>
      <c r="H1132" t="s">
        <v>37</v>
      </c>
      <c r="I1132" t="s">
        <v>32</v>
      </c>
      <c r="J1132">
        <v>2</v>
      </c>
      <c r="K1132">
        <v>16</v>
      </c>
      <c r="L1132">
        <v>3</v>
      </c>
      <c r="M1132">
        <v>1306585</v>
      </c>
      <c r="N1132">
        <v>3919755</v>
      </c>
      <c r="O1132">
        <v>2947005</v>
      </c>
      <c r="P1132">
        <v>972750</v>
      </c>
    </row>
    <row r="1133" spans="1:16" x14ac:dyDescent="0.3">
      <c r="A1133">
        <v>2132</v>
      </c>
      <c r="B1133" t="s">
        <v>658</v>
      </c>
      <c r="C1133">
        <v>2023</v>
      </c>
      <c r="D1133" t="s">
        <v>39</v>
      </c>
      <c r="E1133" t="s">
        <v>40</v>
      </c>
      <c r="F1133" t="s">
        <v>41</v>
      </c>
      <c r="G1133" t="s">
        <v>90</v>
      </c>
      <c r="H1133" t="s">
        <v>56</v>
      </c>
      <c r="I1133" t="s">
        <v>48</v>
      </c>
      <c r="J1133">
        <v>1</v>
      </c>
      <c r="K1133">
        <v>23</v>
      </c>
      <c r="L1133">
        <v>7</v>
      </c>
      <c r="M1133">
        <v>1353042</v>
      </c>
      <c r="N1133">
        <v>9471294</v>
      </c>
      <c r="O1133">
        <v>8454750</v>
      </c>
      <c r="P1133">
        <v>1016544</v>
      </c>
    </row>
    <row r="1134" spans="1:16" x14ac:dyDescent="0.3">
      <c r="A1134">
        <v>2133</v>
      </c>
      <c r="B1134" t="s">
        <v>274</v>
      </c>
      <c r="C1134">
        <v>2024</v>
      </c>
      <c r="D1134" t="s">
        <v>29</v>
      </c>
      <c r="E1134" t="s">
        <v>40</v>
      </c>
      <c r="F1134" t="s">
        <v>104</v>
      </c>
      <c r="G1134" t="s">
        <v>36</v>
      </c>
      <c r="H1134" t="s">
        <v>52</v>
      </c>
      <c r="I1134" t="s">
        <v>22</v>
      </c>
      <c r="J1134">
        <v>1.2</v>
      </c>
      <c r="K1134">
        <v>16</v>
      </c>
      <c r="L1134">
        <v>2</v>
      </c>
      <c r="M1134">
        <v>1492667</v>
      </c>
      <c r="N1134">
        <v>2985334</v>
      </c>
      <c r="O1134">
        <v>2542179</v>
      </c>
      <c r="P1134">
        <v>443155</v>
      </c>
    </row>
    <row r="1135" spans="1:16" x14ac:dyDescent="0.3">
      <c r="A1135">
        <v>2134</v>
      </c>
      <c r="B1135" t="s">
        <v>299</v>
      </c>
      <c r="C1135">
        <v>2023</v>
      </c>
      <c r="D1135" t="s">
        <v>67</v>
      </c>
      <c r="E1135" t="s">
        <v>25</v>
      </c>
      <c r="F1135" t="s">
        <v>26</v>
      </c>
      <c r="G1135" t="s">
        <v>27</v>
      </c>
      <c r="H1135" t="s">
        <v>56</v>
      </c>
      <c r="I1135" t="s">
        <v>48</v>
      </c>
      <c r="J1135">
        <v>1.5</v>
      </c>
      <c r="K1135">
        <v>21</v>
      </c>
      <c r="L1135">
        <v>7</v>
      </c>
      <c r="M1135">
        <v>1460612</v>
      </c>
      <c r="N1135">
        <v>10224284</v>
      </c>
      <c r="O1135">
        <v>9075251</v>
      </c>
      <c r="P1135">
        <v>1149033</v>
      </c>
    </row>
    <row r="1136" spans="1:16" x14ac:dyDescent="0.3">
      <c r="A1136">
        <v>2135</v>
      </c>
      <c r="B1136" t="s">
        <v>659</v>
      </c>
      <c r="C1136">
        <v>2023</v>
      </c>
      <c r="D1136" t="s">
        <v>61</v>
      </c>
      <c r="E1136" t="s">
        <v>40</v>
      </c>
      <c r="F1136" t="s">
        <v>41</v>
      </c>
      <c r="G1136" t="s">
        <v>90</v>
      </c>
      <c r="H1136" t="s">
        <v>63</v>
      </c>
      <c r="I1136" t="s">
        <v>22</v>
      </c>
      <c r="J1136">
        <v>1.5</v>
      </c>
      <c r="K1136">
        <v>23</v>
      </c>
      <c r="L1136">
        <v>6</v>
      </c>
      <c r="M1136">
        <v>672364</v>
      </c>
      <c r="N1136">
        <v>4034184</v>
      </c>
      <c r="O1136">
        <v>3419754</v>
      </c>
      <c r="P1136">
        <v>614430</v>
      </c>
    </row>
    <row r="1137" spans="1:16" x14ac:dyDescent="0.3">
      <c r="A1137">
        <v>2136</v>
      </c>
      <c r="B1137" t="s">
        <v>508</v>
      </c>
      <c r="C1137">
        <v>2024</v>
      </c>
      <c r="D1137" t="s">
        <v>34</v>
      </c>
      <c r="E1137" t="s">
        <v>25</v>
      </c>
      <c r="F1137" t="s">
        <v>58</v>
      </c>
      <c r="G1137" t="s">
        <v>20</v>
      </c>
      <c r="H1137" t="s">
        <v>31</v>
      </c>
      <c r="I1137" t="s">
        <v>32</v>
      </c>
      <c r="J1137">
        <v>1</v>
      </c>
      <c r="K1137">
        <v>16</v>
      </c>
      <c r="L1137">
        <v>7</v>
      </c>
      <c r="M1137">
        <v>1445752</v>
      </c>
      <c r="N1137">
        <v>10120264</v>
      </c>
      <c r="O1137">
        <v>7883839</v>
      </c>
      <c r="P1137">
        <v>2236425</v>
      </c>
    </row>
    <row r="1138" spans="1:16" x14ac:dyDescent="0.3">
      <c r="A1138">
        <v>2137</v>
      </c>
      <c r="B1138" t="s">
        <v>660</v>
      </c>
      <c r="C1138">
        <v>2024</v>
      </c>
      <c r="D1138" t="s">
        <v>17</v>
      </c>
      <c r="E1138" t="s">
        <v>40</v>
      </c>
      <c r="F1138" t="s">
        <v>68</v>
      </c>
      <c r="G1138" t="s">
        <v>51</v>
      </c>
      <c r="H1138" t="s">
        <v>54</v>
      </c>
      <c r="I1138" t="s">
        <v>48</v>
      </c>
      <c r="J1138">
        <v>2</v>
      </c>
      <c r="K1138">
        <v>20</v>
      </c>
      <c r="L1138">
        <v>6</v>
      </c>
      <c r="M1138">
        <v>1046817</v>
      </c>
      <c r="N1138">
        <v>6280902</v>
      </c>
      <c r="O1138">
        <v>5344955</v>
      </c>
      <c r="P1138">
        <v>935947</v>
      </c>
    </row>
    <row r="1139" spans="1:16" x14ac:dyDescent="0.3">
      <c r="A1139">
        <v>2138</v>
      </c>
      <c r="B1139" t="s">
        <v>113</v>
      </c>
      <c r="C1139">
        <v>2023</v>
      </c>
      <c r="D1139" t="s">
        <v>29</v>
      </c>
      <c r="E1139" t="s">
        <v>25</v>
      </c>
      <c r="F1139" t="s">
        <v>77</v>
      </c>
      <c r="G1139" t="s">
        <v>46</v>
      </c>
      <c r="H1139" t="s">
        <v>63</v>
      </c>
      <c r="I1139" t="s">
        <v>22</v>
      </c>
      <c r="J1139">
        <v>1.2</v>
      </c>
      <c r="K1139">
        <v>22</v>
      </c>
      <c r="L1139">
        <v>7</v>
      </c>
      <c r="M1139">
        <v>625726</v>
      </c>
      <c r="N1139">
        <v>4380082</v>
      </c>
      <c r="O1139">
        <v>3835740</v>
      </c>
      <c r="P1139">
        <v>544342</v>
      </c>
    </row>
    <row r="1140" spans="1:16" x14ac:dyDescent="0.3">
      <c r="A1140">
        <v>2139</v>
      </c>
      <c r="B1140" t="s">
        <v>212</v>
      </c>
      <c r="C1140">
        <v>2024</v>
      </c>
      <c r="D1140" t="s">
        <v>97</v>
      </c>
      <c r="E1140" t="s">
        <v>44</v>
      </c>
      <c r="F1140" t="s">
        <v>92</v>
      </c>
      <c r="G1140" t="s">
        <v>27</v>
      </c>
      <c r="H1140" t="s">
        <v>63</v>
      </c>
      <c r="I1140" t="s">
        <v>22</v>
      </c>
      <c r="J1140">
        <v>1.2</v>
      </c>
      <c r="K1140">
        <v>20</v>
      </c>
      <c r="L1140">
        <v>3</v>
      </c>
      <c r="M1140">
        <v>1375841</v>
      </c>
      <c r="N1140">
        <v>4127523</v>
      </c>
      <c r="O1140">
        <v>3194894</v>
      </c>
      <c r="P1140">
        <v>932629</v>
      </c>
    </row>
    <row r="1141" spans="1:16" x14ac:dyDescent="0.3">
      <c r="A1141">
        <v>2140</v>
      </c>
      <c r="B1141" t="s">
        <v>399</v>
      </c>
      <c r="C1141">
        <v>2024</v>
      </c>
      <c r="D1141" t="s">
        <v>29</v>
      </c>
      <c r="E1141" t="s">
        <v>25</v>
      </c>
      <c r="F1141" t="s">
        <v>84</v>
      </c>
      <c r="G1141" t="s">
        <v>20</v>
      </c>
      <c r="H1141" t="s">
        <v>52</v>
      </c>
      <c r="I1141" t="s">
        <v>22</v>
      </c>
      <c r="J1141">
        <v>1.5</v>
      </c>
      <c r="K1141">
        <v>23</v>
      </c>
      <c r="L1141">
        <v>8</v>
      </c>
      <c r="M1141">
        <v>709087</v>
      </c>
      <c r="N1141">
        <v>5672696</v>
      </c>
      <c r="O1141">
        <v>4370819</v>
      </c>
      <c r="P1141">
        <v>1301877</v>
      </c>
    </row>
    <row r="1142" spans="1:16" x14ac:dyDescent="0.3">
      <c r="A1142">
        <v>2141</v>
      </c>
      <c r="B1142" t="s">
        <v>260</v>
      </c>
      <c r="C1142">
        <v>2023</v>
      </c>
      <c r="D1142" t="s">
        <v>76</v>
      </c>
      <c r="E1142" t="s">
        <v>25</v>
      </c>
      <c r="F1142" t="s">
        <v>84</v>
      </c>
      <c r="G1142" t="s">
        <v>30</v>
      </c>
      <c r="H1142" t="s">
        <v>21</v>
      </c>
      <c r="I1142" t="s">
        <v>22</v>
      </c>
      <c r="J1142">
        <v>1.5</v>
      </c>
      <c r="K1142">
        <v>21</v>
      </c>
      <c r="L1142">
        <v>3</v>
      </c>
      <c r="M1142">
        <v>709854</v>
      </c>
      <c r="N1142">
        <v>2129562</v>
      </c>
      <c r="O1142">
        <v>1893518</v>
      </c>
      <c r="P1142">
        <v>236044</v>
      </c>
    </row>
    <row r="1143" spans="1:16" x14ac:dyDescent="0.3">
      <c r="A1143">
        <v>2142</v>
      </c>
      <c r="B1143" t="s">
        <v>411</v>
      </c>
      <c r="C1143">
        <v>2023</v>
      </c>
      <c r="D1143" t="s">
        <v>61</v>
      </c>
      <c r="E1143" t="s">
        <v>25</v>
      </c>
      <c r="F1143" t="s">
        <v>26</v>
      </c>
      <c r="G1143" t="s">
        <v>27</v>
      </c>
      <c r="H1143" t="s">
        <v>52</v>
      </c>
      <c r="I1143" t="s">
        <v>22</v>
      </c>
      <c r="J1143">
        <v>1.5</v>
      </c>
      <c r="K1143">
        <v>16</v>
      </c>
      <c r="L1143">
        <v>3</v>
      </c>
      <c r="M1143">
        <v>688912</v>
      </c>
      <c r="N1143">
        <v>2066736</v>
      </c>
      <c r="O1143">
        <v>1681474</v>
      </c>
      <c r="P1143">
        <v>385262</v>
      </c>
    </row>
    <row r="1144" spans="1:16" x14ac:dyDescent="0.3">
      <c r="A1144">
        <v>2143</v>
      </c>
      <c r="B1144" t="s">
        <v>661</v>
      </c>
      <c r="C1144">
        <v>2024</v>
      </c>
      <c r="D1144" t="s">
        <v>29</v>
      </c>
      <c r="E1144" t="s">
        <v>18</v>
      </c>
      <c r="F1144" t="s">
        <v>35</v>
      </c>
      <c r="G1144" t="s">
        <v>51</v>
      </c>
      <c r="H1144" t="s">
        <v>100</v>
      </c>
      <c r="I1144" t="s">
        <v>22</v>
      </c>
      <c r="J1144">
        <v>2</v>
      </c>
      <c r="K1144">
        <v>20</v>
      </c>
      <c r="L1144">
        <v>6</v>
      </c>
      <c r="M1144">
        <v>1088323</v>
      </c>
      <c r="N1144">
        <v>6529938</v>
      </c>
      <c r="O1144">
        <v>5057442</v>
      </c>
      <c r="P1144">
        <v>1472496</v>
      </c>
    </row>
    <row r="1145" spans="1:16" x14ac:dyDescent="0.3">
      <c r="A1145">
        <v>2144</v>
      </c>
      <c r="B1145" t="s">
        <v>662</v>
      </c>
      <c r="C1145">
        <v>2024</v>
      </c>
      <c r="D1145" t="s">
        <v>17</v>
      </c>
      <c r="E1145" t="s">
        <v>40</v>
      </c>
      <c r="F1145" t="s">
        <v>41</v>
      </c>
      <c r="G1145" t="s">
        <v>30</v>
      </c>
      <c r="H1145" t="s">
        <v>37</v>
      </c>
      <c r="I1145" t="s">
        <v>32</v>
      </c>
      <c r="J1145">
        <v>1.2</v>
      </c>
      <c r="K1145">
        <v>20</v>
      </c>
      <c r="L1145">
        <v>1</v>
      </c>
      <c r="M1145">
        <v>1001818</v>
      </c>
      <c r="N1145">
        <v>1001818</v>
      </c>
      <c r="O1145">
        <v>846852</v>
      </c>
      <c r="P1145">
        <v>154966</v>
      </c>
    </row>
    <row r="1146" spans="1:16" x14ac:dyDescent="0.3">
      <c r="A1146">
        <v>2145</v>
      </c>
      <c r="B1146" t="s">
        <v>309</v>
      </c>
      <c r="C1146">
        <v>2024</v>
      </c>
      <c r="D1146" t="s">
        <v>17</v>
      </c>
      <c r="E1146" t="s">
        <v>25</v>
      </c>
      <c r="F1146" t="s">
        <v>58</v>
      </c>
      <c r="G1146" t="s">
        <v>90</v>
      </c>
      <c r="H1146" t="s">
        <v>31</v>
      </c>
      <c r="I1146" t="s">
        <v>32</v>
      </c>
      <c r="J1146">
        <v>1</v>
      </c>
      <c r="K1146">
        <v>19</v>
      </c>
      <c r="L1146">
        <v>7</v>
      </c>
      <c r="M1146">
        <v>1107377</v>
      </c>
      <c r="N1146">
        <v>7751639</v>
      </c>
      <c r="O1146">
        <v>5958028</v>
      </c>
      <c r="P1146">
        <v>1793611</v>
      </c>
    </row>
    <row r="1147" spans="1:16" x14ac:dyDescent="0.3">
      <c r="A1147">
        <v>2146</v>
      </c>
      <c r="B1147" t="s">
        <v>274</v>
      </c>
      <c r="C1147">
        <v>2024</v>
      </c>
      <c r="D1147" t="s">
        <v>29</v>
      </c>
      <c r="E1147" t="s">
        <v>18</v>
      </c>
      <c r="F1147" t="s">
        <v>107</v>
      </c>
      <c r="G1147" t="s">
        <v>20</v>
      </c>
      <c r="H1147" t="s">
        <v>54</v>
      </c>
      <c r="I1147" t="s">
        <v>48</v>
      </c>
      <c r="J1147">
        <v>1.2</v>
      </c>
      <c r="K1147">
        <v>21</v>
      </c>
      <c r="L1147">
        <v>5</v>
      </c>
      <c r="M1147">
        <v>638249</v>
      </c>
      <c r="N1147">
        <v>3191245</v>
      </c>
      <c r="O1147">
        <v>2639426</v>
      </c>
      <c r="P1147">
        <v>551819</v>
      </c>
    </row>
    <row r="1148" spans="1:16" x14ac:dyDescent="0.3">
      <c r="A1148">
        <v>2147</v>
      </c>
      <c r="B1148" t="s">
        <v>628</v>
      </c>
      <c r="C1148">
        <v>2023</v>
      </c>
      <c r="D1148" t="s">
        <v>24</v>
      </c>
      <c r="E1148" t="s">
        <v>40</v>
      </c>
      <c r="F1148" t="s">
        <v>104</v>
      </c>
      <c r="G1148" t="s">
        <v>90</v>
      </c>
      <c r="H1148" t="s">
        <v>37</v>
      </c>
      <c r="I1148" t="s">
        <v>32</v>
      </c>
      <c r="J1148">
        <v>1.5</v>
      </c>
      <c r="K1148">
        <v>20</v>
      </c>
      <c r="L1148">
        <v>4</v>
      </c>
      <c r="M1148">
        <v>1086521</v>
      </c>
      <c r="N1148">
        <v>4346084</v>
      </c>
      <c r="O1148">
        <v>3839987</v>
      </c>
      <c r="P1148">
        <v>506097</v>
      </c>
    </row>
    <row r="1149" spans="1:16" x14ac:dyDescent="0.3">
      <c r="A1149">
        <v>2148</v>
      </c>
      <c r="B1149" t="s">
        <v>384</v>
      </c>
      <c r="C1149">
        <v>2023</v>
      </c>
      <c r="D1149" t="s">
        <v>39</v>
      </c>
      <c r="E1149" t="s">
        <v>40</v>
      </c>
      <c r="F1149" t="s">
        <v>41</v>
      </c>
      <c r="G1149" t="s">
        <v>27</v>
      </c>
      <c r="H1149" t="s">
        <v>47</v>
      </c>
      <c r="I1149" t="s">
        <v>48</v>
      </c>
      <c r="J1149">
        <v>1</v>
      </c>
      <c r="K1149">
        <v>23</v>
      </c>
      <c r="L1149">
        <v>4</v>
      </c>
      <c r="M1149">
        <v>1226396</v>
      </c>
      <c r="N1149">
        <v>4905584</v>
      </c>
      <c r="O1149">
        <v>4397188</v>
      </c>
      <c r="P1149">
        <v>508396</v>
      </c>
    </row>
    <row r="1150" spans="1:16" x14ac:dyDescent="0.3">
      <c r="A1150">
        <v>2149</v>
      </c>
      <c r="B1150" t="s">
        <v>539</v>
      </c>
      <c r="C1150">
        <v>2023</v>
      </c>
      <c r="D1150" t="s">
        <v>24</v>
      </c>
      <c r="E1150" t="s">
        <v>18</v>
      </c>
      <c r="F1150" t="s">
        <v>19</v>
      </c>
      <c r="G1150" t="s">
        <v>59</v>
      </c>
      <c r="H1150" t="s">
        <v>52</v>
      </c>
      <c r="I1150" t="s">
        <v>22</v>
      </c>
      <c r="J1150">
        <v>1.2</v>
      </c>
      <c r="K1150">
        <v>22</v>
      </c>
      <c r="L1150">
        <v>3</v>
      </c>
      <c r="M1150">
        <v>1232056</v>
      </c>
      <c r="N1150">
        <v>3696168</v>
      </c>
      <c r="O1150">
        <v>2927390</v>
      </c>
      <c r="P1150">
        <v>768778</v>
      </c>
    </row>
    <row r="1151" spans="1:16" x14ac:dyDescent="0.3">
      <c r="A1151">
        <v>2150</v>
      </c>
      <c r="B1151" t="s">
        <v>263</v>
      </c>
      <c r="C1151">
        <v>2024</v>
      </c>
      <c r="D1151" t="s">
        <v>34</v>
      </c>
      <c r="E1151" t="s">
        <v>18</v>
      </c>
      <c r="F1151" t="s">
        <v>107</v>
      </c>
      <c r="G1151" t="s">
        <v>51</v>
      </c>
      <c r="H1151" t="s">
        <v>79</v>
      </c>
      <c r="I1151" t="s">
        <v>48</v>
      </c>
      <c r="J1151">
        <v>1.5</v>
      </c>
      <c r="K1151">
        <v>20</v>
      </c>
      <c r="L1151">
        <v>4</v>
      </c>
      <c r="M1151">
        <v>689387</v>
      </c>
      <c r="N1151">
        <v>2757548</v>
      </c>
      <c r="O1151">
        <v>2161889</v>
      </c>
      <c r="P1151">
        <v>595659</v>
      </c>
    </row>
    <row r="1152" spans="1:16" x14ac:dyDescent="0.3">
      <c r="A1152">
        <v>2151</v>
      </c>
      <c r="B1152" t="s">
        <v>69</v>
      </c>
      <c r="C1152">
        <v>2023</v>
      </c>
      <c r="D1152" t="s">
        <v>24</v>
      </c>
      <c r="E1152" t="s">
        <v>40</v>
      </c>
      <c r="F1152" t="s">
        <v>41</v>
      </c>
      <c r="G1152" t="s">
        <v>20</v>
      </c>
      <c r="H1152" t="s">
        <v>100</v>
      </c>
      <c r="I1152" t="s">
        <v>22</v>
      </c>
      <c r="J1152">
        <v>1.5</v>
      </c>
      <c r="K1152">
        <v>18</v>
      </c>
      <c r="L1152">
        <v>7</v>
      </c>
      <c r="M1152">
        <v>1001166</v>
      </c>
      <c r="N1152">
        <v>7008162</v>
      </c>
      <c r="O1152">
        <v>5907265</v>
      </c>
      <c r="P1152">
        <v>1100897</v>
      </c>
    </row>
    <row r="1153" spans="1:16" x14ac:dyDescent="0.3">
      <c r="A1153">
        <v>2152</v>
      </c>
      <c r="B1153" t="s">
        <v>215</v>
      </c>
      <c r="C1153">
        <v>2024</v>
      </c>
      <c r="D1153" t="s">
        <v>67</v>
      </c>
      <c r="E1153" t="s">
        <v>40</v>
      </c>
      <c r="F1153" t="s">
        <v>120</v>
      </c>
      <c r="G1153" t="s">
        <v>59</v>
      </c>
      <c r="H1153" t="s">
        <v>47</v>
      </c>
      <c r="I1153" t="s">
        <v>48</v>
      </c>
      <c r="J1153">
        <v>1</v>
      </c>
      <c r="K1153">
        <v>16</v>
      </c>
      <c r="L1153">
        <v>1</v>
      </c>
      <c r="M1153">
        <v>1374808</v>
      </c>
      <c r="N1153">
        <v>1374808</v>
      </c>
      <c r="O1153">
        <v>1195853</v>
      </c>
      <c r="P1153">
        <v>178955</v>
      </c>
    </row>
    <row r="1154" spans="1:16" x14ac:dyDescent="0.3">
      <c r="A1154">
        <v>2153</v>
      </c>
      <c r="B1154" t="s">
        <v>606</v>
      </c>
      <c r="C1154">
        <v>2024</v>
      </c>
      <c r="D1154" t="s">
        <v>76</v>
      </c>
      <c r="E1154" t="s">
        <v>18</v>
      </c>
      <c r="F1154" t="s">
        <v>19</v>
      </c>
      <c r="G1154" t="s">
        <v>36</v>
      </c>
      <c r="H1154" t="s">
        <v>79</v>
      </c>
      <c r="I1154" t="s">
        <v>48</v>
      </c>
      <c r="J1154">
        <v>1</v>
      </c>
      <c r="K1154">
        <v>21</v>
      </c>
      <c r="L1154">
        <v>3</v>
      </c>
      <c r="M1154">
        <v>827462</v>
      </c>
      <c r="N1154">
        <v>2482386</v>
      </c>
      <c r="O1154">
        <v>2046782</v>
      </c>
      <c r="P1154">
        <v>435604</v>
      </c>
    </row>
    <row r="1155" spans="1:16" x14ac:dyDescent="0.3">
      <c r="A1155">
        <v>2154</v>
      </c>
      <c r="B1155" t="s">
        <v>663</v>
      </c>
      <c r="C1155">
        <v>2024</v>
      </c>
      <c r="D1155" t="s">
        <v>67</v>
      </c>
      <c r="E1155" t="s">
        <v>44</v>
      </c>
      <c r="F1155" t="s">
        <v>92</v>
      </c>
      <c r="G1155" t="s">
        <v>36</v>
      </c>
      <c r="H1155" t="s">
        <v>37</v>
      </c>
      <c r="I1155" t="s">
        <v>32</v>
      </c>
      <c r="J1155">
        <v>1</v>
      </c>
      <c r="K1155">
        <v>21</v>
      </c>
      <c r="L1155">
        <v>4</v>
      </c>
      <c r="M1155">
        <v>1428038</v>
      </c>
      <c r="N1155">
        <v>5712152</v>
      </c>
      <c r="O1155">
        <v>4360446</v>
      </c>
      <c r="P1155">
        <v>1351706</v>
      </c>
    </row>
    <row r="1156" spans="1:16" x14ac:dyDescent="0.3">
      <c r="A1156">
        <v>2155</v>
      </c>
      <c r="B1156" t="s">
        <v>431</v>
      </c>
      <c r="C1156">
        <v>2024</v>
      </c>
      <c r="D1156" t="s">
        <v>61</v>
      </c>
      <c r="E1156" t="s">
        <v>25</v>
      </c>
      <c r="F1156" t="s">
        <v>26</v>
      </c>
      <c r="G1156" t="s">
        <v>90</v>
      </c>
      <c r="H1156" t="s">
        <v>56</v>
      </c>
      <c r="I1156" t="s">
        <v>48</v>
      </c>
      <c r="J1156">
        <v>1.5</v>
      </c>
      <c r="K1156">
        <v>19</v>
      </c>
      <c r="L1156">
        <v>5</v>
      </c>
      <c r="M1156">
        <v>1424726</v>
      </c>
      <c r="N1156">
        <v>7123630</v>
      </c>
      <c r="O1156">
        <v>6070167</v>
      </c>
      <c r="P1156">
        <v>1053463</v>
      </c>
    </row>
    <row r="1157" spans="1:16" x14ac:dyDescent="0.3">
      <c r="A1157">
        <v>2156</v>
      </c>
      <c r="B1157" t="s">
        <v>95</v>
      </c>
      <c r="C1157">
        <v>2023</v>
      </c>
      <c r="D1157" t="s">
        <v>29</v>
      </c>
      <c r="E1157" t="s">
        <v>44</v>
      </c>
      <c r="F1157" t="s">
        <v>45</v>
      </c>
      <c r="G1157" t="s">
        <v>59</v>
      </c>
      <c r="H1157" t="s">
        <v>52</v>
      </c>
      <c r="I1157" t="s">
        <v>22</v>
      </c>
      <c r="J1157">
        <v>1.2</v>
      </c>
      <c r="K1157">
        <v>23</v>
      </c>
      <c r="L1157">
        <v>7</v>
      </c>
      <c r="M1157">
        <v>797196</v>
      </c>
      <c r="N1157">
        <v>5580372</v>
      </c>
      <c r="O1157">
        <v>4813086</v>
      </c>
      <c r="P1157">
        <v>767286</v>
      </c>
    </row>
    <row r="1158" spans="1:16" x14ac:dyDescent="0.3">
      <c r="A1158">
        <v>2157</v>
      </c>
      <c r="B1158" t="s">
        <v>420</v>
      </c>
      <c r="C1158">
        <v>2023</v>
      </c>
      <c r="D1158" t="s">
        <v>29</v>
      </c>
      <c r="E1158" t="s">
        <v>18</v>
      </c>
      <c r="F1158" t="s">
        <v>19</v>
      </c>
      <c r="G1158" t="s">
        <v>46</v>
      </c>
      <c r="H1158" t="s">
        <v>21</v>
      </c>
      <c r="I1158" t="s">
        <v>22</v>
      </c>
      <c r="J1158">
        <v>1.5</v>
      </c>
      <c r="K1158">
        <v>21</v>
      </c>
      <c r="L1158">
        <v>3</v>
      </c>
      <c r="M1158">
        <v>727091</v>
      </c>
      <c r="N1158">
        <v>2181273</v>
      </c>
      <c r="O1158">
        <v>1909987</v>
      </c>
      <c r="P1158">
        <v>271286</v>
      </c>
    </row>
    <row r="1159" spans="1:16" x14ac:dyDescent="0.3">
      <c r="A1159">
        <v>2158</v>
      </c>
      <c r="B1159" t="s">
        <v>502</v>
      </c>
      <c r="C1159">
        <v>2024</v>
      </c>
      <c r="D1159" t="s">
        <v>61</v>
      </c>
      <c r="E1159" t="s">
        <v>25</v>
      </c>
      <c r="F1159" t="s">
        <v>84</v>
      </c>
      <c r="G1159" t="s">
        <v>27</v>
      </c>
      <c r="H1159" t="s">
        <v>47</v>
      </c>
      <c r="I1159" t="s">
        <v>48</v>
      </c>
      <c r="J1159">
        <v>1.5</v>
      </c>
      <c r="K1159">
        <v>23</v>
      </c>
      <c r="L1159">
        <v>8</v>
      </c>
      <c r="M1159">
        <v>832218</v>
      </c>
      <c r="N1159">
        <v>6657744</v>
      </c>
      <c r="O1159">
        <v>5540322</v>
      </c>
      <c r="P1159">
        <v>1117422</v>
      </c>
    </row>
    <row r="1160" spans="1:16" x14ac:dyDescent="0.3">
      <c r="A1160">
        <v>2159</v>
      </c>
      <c r="B1160" t="s">
        <v>664</v>
      </c>
      <c r="C1160">
        <v>2024</v>
      </c>
      <c r="D1160" t="s">
        <v>34</v>
      </c>
      <c r="E1160" t="s">
        <v>18</v>
      </c>
      <c r="F1160" t="s">
        <v>107</v>
      </c>
      <c r="G1160" t="s">
        <v>90</v>
      </c>
      <c r="H1160" t="s">
        <v>47</v>
      </c>
      <c r="I1160" t="s">
        <v>48</v>
      </c>
      <c r="J1160">
        <v>1.5</v>
      </c>
      <c r="K1160">
        <v>19</v>
      </c>
      <c r="L1160">
        <v>2</v>
      </c>
      <c r="M1160">
        <v>846093</v>
      </c>
      <c r="N1160">
        <v>1692186</v>
      </c>
      <c r="O1160">
        <v>1290562</v>
      </c>
      <c r="P1160">
        <v>401624</v>
      </c>
    </row>
    <row r="1161" spans="1:16" x14ac:dyDescent="0.3">
      <c r="A1161">
        <v>2160</v>
      </c>
      <c r="B1161" t="s">
        <v>665</v>
      </c>
      <c r="C1161">
        <v>2023</v>
      </c>
      <c r="D1161" t="s">
        <v>76</v>
      </c>
      <c r="E1161" t="s">
        <v>40</v>
      </c>
      <c r="F1161" t="s">
        <v>120</v>
      </c>
      <c r="G1161" t="s">
        <v>36</v>
      </c>
      <c r="H1161" t="s">
        <v>31</v>
      </c>
      <c r="I1161" t="s">
        <v>32</v>
      </c>
      <c r="J1161">
        <v>2</v>
      </c>
      <c r="K1161">
        <v>21</v>
      </c>
      <c r="L1161">
        <v>6</v>
      </c>
      <c r="M1161">
        <v>709726</v>
      </c>
      <c r="N1161">
        <v>4258356</v>
      </c>
      <c r="O1161">
        <v>3755953</v>
      </c>
      <c r="P1161">
        <v>502403</v>
      </c>
    </row>
    <row r="1162" spans="1:16" x14ac:dyDescent="0.3">
      <c r="A1162">
        <v>2161</v>
      </c>
      <c r="B1162" t="s">
        <v>622</v>
      </c>
      <c r="C1162">
        <v>2023</v>
      </c>
      <c r="D1162" t="s">
        <v>34</v>
      </c>
      <c r="E1162" t="s">
        <v>40</v>
      </c>
      <c r="F1162" t="s">
        <v>68</v>
      </c>
      <c r="G1162" t="s">
        <v>36</v>
      </c>
      <c r="H1162" t="s">
        <v>79</v>
      </c>
      <c r="I1162" t="s">
        <v>48</v>
      </c>
      <c r="J1162">
        <v>1.5</v>
      </c>
      <c r="K1162">
        <v>16</v>
      </c>
      <c r="L1162">
        <v>8</v>
      </c>
      <c r="M1162">
        <v>784045</v>
      </c>
      <c r="N1162">
        <v>6272360</v>
      </c>
      <c r="O1162">
        <v>5218861</v>
      </c>
      <c r="P1162">
        <v>1053499</v>
      </c>
    </row>
    <row r="1163" spans="1:16" x14ac:dyDescent="0.3">
      <c r="A1163">
        <v>2162</v>
      </c>
      <c r="B1163" t="s">
        <v>666</v>
      </c>
      <c r="C1163">
        <v>2023</v>
      </c>
      <c r="D1163" t="s">
        <v>74</v>
      </c>
      <c r="E1163" t="s">
        <v>25</v>
      </c>
      <c r="F1163" t="s">
        <v>84</v>
      </c>
      <c r="G1163" t="s">
        <v>46</v>
      </c>
      <c r="H1163" t="s">
        <v>63</v>
      </c>
      <c r="I1163" t="s">
        <v>22</v>
      </c>
      <c r="J1163">
        <v>1.2</v>
      </c>
      <c r="K1163">
        <v>19</v>
      </c>
      <c r="L1163">
        <v>2</v>
      </c>
      <c r="M1163">
        <v>1128149</v>
      </c>
      <c r="N1163">
        <v>2256298</v>
      </c>
      <c r="O1163">
        <v>1826967</v>
      </c>
      <c r="P1163">
        <v>429331</v>
      </c>
    </row>
    <row r="1164" spans="1:16" x14ac:dyDescent="0.3">
      <c r="A1164">
        <v>2163</v>
      </c>
      <c r="B1164" t="s">
        <v>383</v>
      </c>
      <c r="C1164">
        <v>2023</v>
      </c>
      <c r="D1164" t="s">
        <v>76</v>
      </c>
      <c r="E1164" t="s">
        <v>40</v>
      </c>
      <c r="F1164" t="s">
        <v>120</v>
      </c>
      <c r="G1164" t="s">
        <v>90</v>
      </c>
      <c r="H1164" t="s">
        <v>54</v>
      </c>
      <c r="I1164" t="s">
        <v>48</v>
      </c>
      <c r="J1164">
        <v>1.2</v>
      </c>
      <c r="K1164">
        <v>16</v>
      </c>
      <c r="L1164">
        <v>3</v>
      </c>
      <c r="M1164">
        <v>876742</v>
      </c>
      <c r="N1164">
        <v>2630226</v>
      </c>
      <c r="O1164">
        <v>2005863</v>
      </c>
      <c r="P1164">
        <v>624363</v>
      </c>
    </row>
    <row r="1165" spans="1:16" x14ac:dyDescent="0.3">
      <c r="A1165">
        <v>2164</v>
      </c>
      <c r="B1165" t="s">
        <v>518</v>
      </c>
      <c r="C1165">
        <v>2024</v>
      </c>
      <c r="D1165" t="s">
        <v>74</v>
      </c>
      <c r="E1165" t="s">
        <v>44</v>
      </c>
      <c r="F1165" t="s">
        <v>92</v>
      </c>
      <c r="G1165" t="s">
        <v>90</v>
      </c>
      <c r="H1165" t="s">
        <v>47</v>
      </c>
      <c r="I1165" t="s">
        <v>48</v>
      </c>
      <c r="J1165">
        <v>2</v>
      </c>
      <c r="K1165">
        <v>16</v>
      </c>
      <c r="L1165">
        <v>3</v>
      </c>
      <c r="M1165">
        <v>716813</v>
      </c>
      <c r="N1165">
        <v>2150439</v>
      </c>
      <c r="O1165">
        <v>1864635</v>
      </c>
      <c r="P1165">
        <v>285804</v>
      </c>
    </row>
    <row r="1166" spans="1:16" x14ac:dyDescent="0.3">
      <c r="A1166">
        <v>2165</v>
      </c>
      <c r="B1166" t="s">
        <v>183</v>
      </c>
      <c r="C1166">
        <v>2024</v>
      </c>
      <c r="D1166" t="s">
        <v>67</v>
      </c>
      <c r="E1166" t="s">
        <v>18</v>
      </c>
      <c r="F1166" t="s">
        <v>72</v>
      </c>
      <c r="G1166" t="s">
        <v>30</v>
      </c>
      <c r="H1166" t="s">
        <v>31</v>
      </c>
      <c r="I1166" t="s">
        <v>32</v>
      </c>
      <c r="J1166">
        <v>1</v>
      </c>
      <c r="K1166">
        <v>19</v>
      </c>
      <c r="L1166">
        <v>2</v>
      </c>
      <c r="M1166">
        <v>1390753</v>
      </c>
      <c r="N1166">
        <v>2781506</v>
      </c>
      <c r="O1166">
        <v>2493982</v>
      </c>
      <c r="P1166">
        <v>287524</v>
      </c>
    </row>
    <row r="1167" spans="1:16" x14ac:dyDescent="0.3">
      <c r="A1167">
        <v>2166</v>
      </c>
      <c r="B1167" t="s">
        <v>94</v>
      </c>
      <c r="C1167">
        <v>2024</v>
      </c>
      <c r="D1167" t="s">
        <v>43</v>
      </c>
      <c r="E1167" t="s">
        <v>18</v>
      </c>
      <c r="F1167" t="s">
        <v>19</v>
      </c>
      <c r="G1167" t="s">
        <v>46</v>
      </c>
      <c r="H1167" t="s">
        <v>63</v>
      </c>
      <c r="I1167" t="s">
        <v>22</v>
      </c>
      <c r="J1167">
        <v>2</v>
      </c>
      <c r="K1167">
        <v>22</v>
      </c>
      <c r="L1167">
        <v>5</v>
      </c>
      <c r="M1167">
        <v>1283724</v>
      </c>
      <c r="N1167">
        <v>6418620</v>
      </c>
      <c r="O1167">
        <v>4871504</v>
      </c>
      <c r="P1167">
        <v>1547116</v>
      </c>
    </row>
    <row r="1168" spans="1:16" x14ac:dyDescent="0.3">
      <c r="A1168">
        <v>2167</v>
      </c>
      <c r="B1168" t="s">
        <v>649</v>
      </c>
      <c r="C1168">
        <v>2024</v>
      </c>
      <c r="D1168" t="s">
        <v>43</v>
      </c>
      <c r="E1168" t="s">
        <v>44</v>
      </c>
      <c r="F1168" t="s">
        <v>62</v>
      </c>
      <c r="G1168" t="s">
        <v>27</v>
      </c>
      <c r="H1168" t="s">
        <v>100</v>
      </c>
      <c r="I1168" t="s">
        <v>22</v>
      </c>
      <c r="J1168">
        <v>1.5</v>
      </c>
      <c r="K1168">
        <v>19</v>
      </c>
      <c r="L1168">
        <v>1</v>
      </c>
      <c r="M1168">
        <v>749097</v>
      </c>
      <c r="N1168">
        <v>749097</v>
      </c>
      <c r="O1168">
        <v>637663</v>
      </c>
      <c r="P1168">
        <v>111434</v>
      </c>
    </row>
    <row r="1169" spans="1:16" x14ac:dyDescent="0.3">
      <c r="A1169">
        <v>2168</v>
      </c>
      <c r="B1169" t="s">
        <v>667</v>
      </c>
      <c r="C1169">
        <v>2024</v>
      </c>
      <c r="D1169" t="s">
        <v>61</v>
      </c>
      <c r="E1169" t="s">
        <v>40</v>
      </c>
      <c r="F1169" t="s">
        <v>68</v>
      </c>
      <c r="G1169" t="s">
        <v>36</v>
      </c>
      <c r="H1169" t="s">
        <v>56</v>
      </c>
      <c r="I1169" t="s">
        <v>48</v>
      </c>
      <c r="J1169">
        <v>2</v>
      </c>
      <c r="K1169">
        <v>18</v>
      </c>
      <c r="L1169">
        <v>4</v>
      </c>
      <c r="M1169">
        <v>857688</v>
      </c>
      <c r="N1169">
        <v>3430752</v>
      </c>
      <c r="O1169">
        <v>3007487</v>
      </c>
      <c r="P1169">
        <v>423265</v>
      </c>
    </row>
    <row r="1170" spans="1:16" x14ac:dyDescent="0.3">
      <c r="A1170">
        <v>2169</v>
      </c>
      <c r="B1170" t="s">
        <v>332</v>
      </c>
      <c r="C1170">
        <v>2024</v>
      </c>
      <c r="D1170" t="s">
        <v>74</v>
      </c>
      <c r="E1170" t="s">
        <v>44</v>
      </c>
      <c r="F1170" t="s">
        <v>62</v>
      </c>
      <c r="G1170" t="s">
        <v>27</v>
      </c>
      <c r="H1170" t="s">
        <v>21</v>
      </c>
      <c r="I1170" t="s">
        <v>22</v>
      </c>
      <c r="J1170">
        <v>2</v>
      </c>
      <c r="K1170">
        <v>18</v>
      </c>
      <c r="L1170">
        <v>4</v>
      </c>
      <c r="M1170">
        <v>830451</v>
      </c>
      <c r="N1170">
        <v>3321804</v>
      </c>
      <c r="O1170">
        <v>2510505</v>
      </c>
      <c r="P1170">
        <v>811299</v>
      </c>
    </row>
    <row r="1171" spans="1:16" x14ac:dyDescent="0.3">
      <c r="A1171">
        <v>2170</v>
      </c>
      <c r="B1171" t="s">
        <v>226</v>
      </c>
      <c r="C1171">
        <v>2024</v>
      </c>
      <c r="D1171" t="s">
        <v>17</v>
      </c>
      <c r="E1171" t="s">
        <v>25</v>
      </c>
      <c r="F1171" t="s">
        <v>77</v>
      </c>
      <c r="G1171" t="s">
        <v>90</v>
      </c>
      <c r="H1171" t="s">
        <v>21</v>
      </c>
      <c r="I1171" t="s">
        <v>22</v>
      </c>
      <c r="J1171">
        <v>1.5</v>
      </c>
      <c r="K1171">
        <v>22</v>
      </c>
      <c r="L1171">
        <v>6</v>
      </c>
      <c r="M1171">
        <v>1201920</v>
      </c>
      <c r="N1171">
        <v>7211520</v>
      </c>
      <c r="O1171">
        <v>5639099</v>
      </c>
      <c r="P1171">
        <v>1572421</v>
      </c>
    </row>
    <row r="1172" spans="1:16" x14ac:dyDescent="0.3">
      <c r="A1172">
        <v>2171</v>
      </c>
      <c r="B1172" t="s">
        <v>668</v>
      </c>
      <c r="C1172">
        <v>2024</v>
      </c>
      <c r="D1172" t="s">
        <v>76</v>
      </c>
      <c r="E1172" t="s">
        <v>40</v>
      </c>
      <c r="F1172" t="s">
        <v>104</v>
      </c>
      <c r="G1172" t="s">
        <v>30</v>
      </c>
      <c r="H1172" t="s">
        <v>100</v>
      </c>
      <c r="I1172" t="s">
        <v>22</v>
      </c>
      <c r="J1172">
        <v>1.5</v>
      </c>
      <c r="K1172">
        <v>16</v>
      </c>
      <c r="L1172">
        <v>5</v>
      </c>
      <c r="M1172">
        <v>1190587</v>
      </c>
      <c r="N1172">
        <v>5952935</v>
      </c>
      <c r="O1172">
        <v>5026468</v>
      </c>
      <c r="P1172">
        <v>926467</v>
      </c>
    </row>
    <row r="1173" spans="1:16" x14ac:dyDescent="0.3">
      <c r="A1173">
        <v>2172</v>
      </c>
      <c r="B1173" t="s">
        <v>477</v>
      </c>
      <c r="C1173">
        <v>2024</v>
      </c>
      <c r="D1173" t="s">
        <v>76</v>
      </c>
      <c r="E1173" t="s">
        <v>18</v>
      </c>
      <c r="F1173" t="s">
        <v>107</v>
      </c>
      <c r="G1173" t="s">
        <v>27</v>
      </c>
      <c r="H1173" t="s">
        <v>31</v>
      </c>
      <c r="I1173" t="s">
        <v>32</v>
      </c>
      <c r="J1173">
        <v>1</v>
      </c>
      <c r="K1173">
        <v>23</v>
      </c>
      <c r="L1173">
        <v>2</v>
      </c>
      <c r="M1173">
        <v>751928</v>
      </c>
      <c r="N1173">
        <v>1503856</v>
      </c>
      <c r="O1173">
        <v>1166888</v>
      </c>
      <c r="P1173">
        <v>336968</v>
      </c>
    </row>
    <row r="1174" spans="1:16" x14ac:dyDescent="0.3">
      <c r="A1174">
        <v>2173</v>
      </c>
      <c r="B1174" t="s">
        <v>354</v>
      </c>
      <c r="C1174">
        <v>2023</v>
      </c>
      <c r="D1174" t="s">
        <v>34</v>
      </c>
      <c r="E1174" t="s">
        <v>25</v>
      </c>
      <c r="F1174" t="s">
        <v>84</v>
      </c>
      <c r="G1174" t="s">
        <v>20</v>
      </c>
      <c r="H1174" t="s">
        <v>63</v>
      </c>
      <c r="I1174" t="s">
        <v>22</v>
      </c>
      <c r="J1174">
        <v>1.5</v>
      </c>
      <c r="K1174">
        <v>18</v>
      </c>
      <c r="L1174">
        <v>3</v>
      </c>
      <c r="M1174">
        <v>1355310</v>
      </c>
      <c r="N1174">
        <v>4065930</v>
      </c>
      <c r="O1174">
        <v>3268288</v>
      </c>
      <c r="P1174">
        <v>797642</v>
      </c>
    </row>
    <row r="1175" spans="1:16" x14ac:dyDescent="0.3">
      <c r="A1175">
        <v>2174</v>
      </c>
      <c r="B1175" t="s">
        <v>630</v>
      </c>
      <c r="C1175">
        <v>2023</v>
      </c>
      <c r="D1175" t="s">
        <v>97</v>
      </c>
      <c r="E1175" t="s">
        <v>18</v>
      </c>
      <c r="F1175" t="s">
        <v>107</v>
      </c>
      <c r="G1175" t="s">
        <v>90</v>
      </c>
      <c r="H1175" t="s">
        <v>56</v>
      </c>
      <c r="I1175" t="s">
        <v>48</v>
      </c>
      <c r="J1175">
        <v>1.5</v>
      </c>
      <c r="K1175">
        <v>16</v>
      </c>
      <c r="L1175">
        <v>5</v>
      </c>
      <c r="M1175">
        <v>1042988</v>
      </c>
      <c r="N1175">
        <v>5214940</v>
      </c>
      <c r="O1175">
        <v>4013106</v>
      </c>
      <c r="P1175">
        <v>1201834</v>
      </c>
    </row>
    <row r="1176" spans="1:16" x14ac:dyDescent="0.3">
      <c r="A1176">
        <v>2175</v>
      </c>
      <c r="B1176" t="s">
        <v>447</v>
      </c>
      <c r="C1176">
        <v>2023</v>
      </c>
      <c r="D1176" t="s">
        <v>17</v>
      </c>
      <c r="E1176" t="s">
        <v>18</v>
      </c>
      <c r="F1176" t="s">
        <v>72</v>
      </c>
      <c r="G1176" t="s">
        <v>20</v>
      </c>
      <c r="H1176" t="s">
        <v>56</v>
      </c>
      <c r="I1176" t="s">
        <v>48</v>
      </c>
      <c r="J1176">
        <v>1.5</v>
      </c>
      <c r="K1176">
        <v>22</v>
      </c>
      <c r="L1176">
        <v>7</v>
      </c>
      <c r="M1176">
        <v>1055338</v>
      </c>
      <c r="N1176">
        <v>7387366</v>
      </c>
      <c r="O1176">
        <v>6420009</v>
      </c>
      <c r="P1176">
        <v>967357</v>
      </c>
    </row>
    <row r="1177" spans="1:16" x14ac:dyDescent="0.3">
      <c r="A1177">
        <v>2176</v>
      </c>
      <c r="B1177" t="s">
        <v>427</v>
      </c>
      <c r="C1177">
        <v>2024</v>
      </c>
      <c r="D1177" t="s">
        <v>50</v>
      </c>
      <c r="E1177" t="s">
        <v>44</v>
      </c>
      <c r="F1177" t="s">
        <v>70</v>
      </c>
      <c r="G1177" t="s">
        <v>20</v>
      </c>
      <c r="H1177" t="s">
        <v>54</v>
      </c>
      <c r="I1177" t="s">
        <v>48</v>
      </c>
      <c r="J1177">
        <v>1.2</v>
      </c>
      <c r="K1177">
        <v>23</v>
      </c>
      <c r="L1177">
        <v>2</v>
      </c>
      <c r="M1177">
        <v>1479683</v>
      </c>
      <c r="N1177">
        <v>2959366</v>
      </c>
      <c r="O1177">
        <v>2626469</v>
      </c>
      <c r="P1177">
        <v>332897</v>
      </c>
    </row>
    <row r="1178" spans="1:16" x14ac:dyDescent="0.3">
      <c r="A1178">
        <v>2177</v>
      </c>
      <c r="B1178" t="s">
        <v>567</v>
      </c>
      <c r="C1178">
        <v>2024</v>
      </c>
      <c r="D1178" t="s">
        <v>34</v>
      </c>
      <c r="E1178" t="s">
        <v>44</v>
      </c>
      <c r="F1178" t="s">
        <v>45</v>
      </c>
      <c r="G1178" t="s">
        <v>27</v>
      </c>
      <c r="H1178" t="s">
        <v>79</v>
      </c>
      <c r="I1178" t="s">
        <v>48</v>
      </c>
      <c r="J1178">
        <v>1.5</v>
      </c>
      <c r="K1178">
        <v>19</v>
      </c>
      <c r="L1178">
        <v>1</v>
      </c>
      <c r="M1178">
        <v>1026509</v>
      </c>
      <c r="N1178">
        <v>1026509</v>
      </c>
      <c r="O1178">
        <v>887014</v>
      </c>
      <c r="P1178">
        <v>139495</v>
      </c>
    </row>
    <row r="1179" spans="1:16" x14ac:dyDescent="0.3">
      <c r="A1179">
        <v>2178</v>
      </c>
      <c r="B1179" t="s">
        <v>154</v>
      </c>
      <c r="C1179">
        <v>2024</v>
      </c>
      <c r="D1179" t="s">
        <v>50</v>
      </c>
      <c r="E1179" t="s">
        <v>25</v>
      </c>
      <c r="F1179" t="s">
        <v>77</v>
      </c>
      <c r="G1179" t="s">
        <v>20</v>
      </c>
      <c r="H1179" t="s">
        <v>100</v>
      </c>
      <c r="I1179" t="s">
        <v>22</v>
      </c>
      <c r="J1179">
        <v>1.5</v>
      </c>
      <c r="K1179">
        <v>21</v>
      </c>
      <c r="L1179">
        <v>1</v>
      </c>
      <c r="M1179">
        <v>1041527</v>
      </c>
      <c r="N1179">
        <v>1041527</v>
      </c>
      <c r="O1179">
        <v>848875</v>
      </c>
      <c r="P1179">
        <v>192652</v>
      </c>
    </row>
    <row r="1180" spans="1:16" x14ac:dyDescent="0.3">
      <c r="A1180">
        <v>2179</v>
      </c>
      <c r="B1180" t="s">
        <v>257</v>
      </c>
      <c r="C1180">
        <v>2024</v>
      </c>
      <c r="D1180" t="s">
        <v>76</v>
      </c>
      <c r="E1180" t="s">
        <v>18</v>
      </c>
      <c r="F1180" t="s">
        <v>19</v>
      </c>
      <c r="G1180" t="s">
        <v>36</v>
      </c>
      <c r="H1180" t="s">
        <v>56</v>
      </c>
      <c r="I1180" t="s">
        <v>48</v>
      </c>
      <c r="J1180">
        <v>1</v>
      </c>
      <c r="K1180">
        <v>16</v>
      </c>
      <c r="L1180">
        <v>8</v>
      </c>
      <c r="M1180">
        <v>1076541</v>
      </c>
      <c r="N1180">
        <v>8612328</v>
      </c>
      <c r="O1180">
        <v>7466960</v>
      </c>
      <c r="P1180">
        <v>1145368</v>
      </c>
    </row>
    <row r="1181" spans="1:16" x14ac:dyDescent="0.3">
      <c r="A1181">
        <v>2180</v>
      </c>
      <c r="B1181" t="s">
        <v>445</v>
      </c>
      <c r="C1181">
        <v>2023</v>
      </c>
      <c r="D1181" t="s">
        <v>50</v>
      </c>
      <c r="E1181" t="s">
        <v>18</v>
      </c>
      <c r="F1181" t="s">
        <v>35</v>
      </c>
      <c r="G1181" t="s">
        <v>36</v>
      </c>
      <c r="H1181" t="s">
        <v>47</v>
      </c>
      <c r="I1181" t="s">
        <v>48</v>
      </c>
      <c r="J1181">
        <v>1</v>
      </c>
      <c r="K1181">
        <v>20</v>
      </c>
      <c r="L1181">
        <v>7</v>
      </c>
      <c r="M1181">
        <v>1005204</v>
      </c>
      <c r="N1181">
        <v>7036428</v>
      </c>
      <c r="O1181">
        <v>5882004</v>
      </c>
      <c r="P1181">
        <v>1154424</v>
      </c>
    </row>
    <row r="1182" spans="1:16" x14ac:dyDescent="0.3">
      <c r="A1182">
        <v>2181</v>
      </c>
      <c r="B1182" t="s">
        <v>669</v>
      </c>
      <c r="C1182">
        <v>2024</v>
      </c>
      <c r="D1182" t="s">
        <v>39</v>
      </c>
      <c r="E1182" t="s">
        <v>44</v>
      </c>
      <c r="F1182" t="s">
        <v>70</v>
      </c>
      <c r="G1182" t="s">
        <v>30</v>
      </c>
      <c r="H1182" t="s">
        <v>37</v>
      </c>
      <c r="I1182" t="s">
        <v>32</v>
      </c>
      <c r="J1182">
        <v>2</v>
      </c>
      <c r="K1182">
        <v>20</v>
      </c>
      <c r="L1182">
        <v>7</v>
      </c>
      <c r="M1182">
        <v>936040</v>
      </c>
      <c r="N1182">
        <v>6552280</v>
      </c>
      <c r="O1182">
        <v>5836636</v>
      </c>
      <c r="P1182">
        <v>715644</v>
      </c>
    </row>
    <row r="1183" spans="1:16" x14ac:dyDescent="0.3">
      <c r="A1183">
        <v>2182</v>
      </c>
      <c r="B1183" t="s">
        <v>524</v>
      </c>
      <c r="C1183">
        <v>2024</v>
      </c>
      <c r="D1183" t="s">
        <v>67</v>
      </c>
      <c r="E1183" t="s">
        <v>40</v>
      </c>
      <c r="F1183" t="s">
        <v>41</v>
      </c>
      <c r="G1183" t="s">
        <v>30</v>
      </c>
      <c r="H1183" t="s">
        <v>56</v>
      </c>
      <c r="I1183" t="s">
        <v>48</v>
      </c>
      <c r="J1183">
        <v>1.5</v>
      </c>
      <c r="K1183">
        <v>21</v>
      </c>
      <c r="L1183">
        <v>8</v>
      </c>
      <c r="M1183">
        <v>698653</v>
      </c>
      <c r="N1183">
        <v>5589224</v>
      </c>
      <c r="O1183">
        <v>4498045</v>
      </c>
      <c r="P1183">
        <v>1091179</v>
      </c>
    </row>
    <row r="1184" spans="1:16" x14ac:dyDescent="0.3">
      <c r="A1184">
        <v>2183</v>
      </c>
      <c r="B1184" t="s">
        <v>670</v>
      </c>
      <c r="C1184">
        <v>2023</v>
      </c>
      <c r="D1184" t="s">
        <v>74</v>
      </c>
      <c r="E1184" t="s">
        <v>18</v>
      </c>
      <c r="F1184" t="s">
        <v>107</v>
      </c>
      <c r="G1184" t="s">
        <v>30</v>
      </c>
      <c r="H1184" t="s">
        <v>63</v>
      </c>
      <c r="I1184" t="s">
        <v>22</v>
      </c>
      <c r="J1184">
        <v>1</v>
      </c>
      <c r="K1184">
        <v>23</v>
      </c>
      <c r="L1184">
        <v>4</v>
      </c>
      <c r="M1184">
        <v>1241919</v>
      </c>
      <c r="N1184">
        <v>4967676</v>
      </c>
      <c r="O1184">
        <v>3733511</v>
      </c>
      <c r="P1184">
        <v>1234165</v>
      </c>
    </row>
    <row r="1185" spans="1:16" x14ac:dyDescent="0.3">
      <c r="A1185">
        <v>2184</v>
      </c>
      <c r="B1185" t="s">
        <v>671</v>
      </c>
      <c r="C1185">
        <v>2023</v>
      </c>
      <c r="D1185" t="s">
        <v>34</v>
      </c>
      <c r="E1185" t="s">
        <v>40</v>
      </c>
      <c r="F1185" t="s">
        <v>120</v>
      </c>
      <c r="G1185" t="s">
        <v>90</v>
      </c>
      <c r="H1185" t="s">
        <v>37</v>
      </c>
      <c r="I1185" t="s">
        <v>32</v>
      </c>
      <c r="J1185">
        <v>1</v>
      </c>
      <c r="K1185">
        <v>22</v>
      </c>
      <c r="L1185">
        <v>5</v>
      </c>
      <c r="M1185">
        <v>883663</v>
      </c>
      <c r="N1185">
        <v>4418315</v>
      </c>
      <c r="O1185">
        <v>3595611</v>
      </c>
      <c r="P1185">
        <v>822704</v>
      </c>
    </row>
    <row r="1186" spans="1:16" x14ac:dyDescent="0.3">
      <c r="A1186">
        <v>2185</v>
      </c>
      <c r="B1186" t="s">
        <v>233</v>
      </c>
      <c r="C1186">
        <v>2023</v>
      </c>
      <c r="D1186" t="s">
        <v>43</v>
      </c>
      <c r="E1186" t="s">
        <v>44</v>
      </c>
      <c r="F1186" t="s">
        <v>45</v>
      </c>
      <c r="G1186" t="s">
        <v>30</v>
      </c>
      <c r="H1186" t="s">
        <v>21</v>
      </c>
      <c r="I1186" t="s">
        <v>22</v>
      </c>
      <c r="J1186">
        <v>1.5</v>
      </c>
      <c r="K1186">
        <v>21</v>
      </c>
      <c r="L1186">
        <v>2</v>
      </c>
      <c r="M1186">
        <v>1065306</v>
      </c>
      <c r="N1186">
        <v>2130612</v>
      </c>
      <c r="O1186">
        <v>1680778</v>
      </c>
      <c r="P1186">
        <v>449834</v>
      </c>
    </row>
    <row r="1187" spans="1:16" x14ac:dyDescent="0.3">
      <c r="A1187">
        <v>2186</v>
      </c>
      <c r="B1187" t="s">
        <v>185</v>
      </c>
      <c r="C1187">
        <v>2023</v>
      </c>
      <c r="D1187" t="s">
        <v>74</v>
      </c>
      <c r="E1187" t="s">
        <v>25</v>
      </c>
      <c r="F1187" t="s">
        <v>58</v>
      </c>
      <c r="G1187" t="s">
        <v>36</v>
      </c>
      <c r="H1187" t="s">
        <v>56</v>
      </c>
      <c r="I1187" t="s">
        <v>48</v>
      </c>
      <c r="J1187">
        <v>1</v>
      </c>
      <c r="K1187">
        <v>18</v>
      </c>
      <c r="L1187">
        <v>6</v>
      </c>
      <c r="M1187">
        <v>602265</v>
      </c>
      <c r="N1187">
        <v>3613590</v>
      </c>
      <c r="O1187">
        <v>2826881</v>
      </c>
      <c r="P1187">
        <v>786709</v>
      </c>
    </row>
    <row r="1188" spans="1:16" x14ac:dyDescent="0.3">
      <c r="A1188">
        <v>2187</v>
      </c>
      <c r="B1188" t="s">
        <v>119</v>
      </c>
      <c r="C1188">
        <v>2024</v>
      </c>
      <c r="D1188" t="s">
        <v>43</v>
      </c>
      <c r="E1188" t="s">
        <v>44</v>
      </c>
      <c r="F1188" t="s">
        <v>62</v>
      </c>
      <c r="G1188" t="s">
        <v>20</v>
      </c>
      <c r="H1188" t="s">
        <v>21</v>
      </c>
      <c r="I1188" t="s">
        <v>22</v>
      </c>
      <c r="J1188">
        <v>1</v>
      </c>
      <c r="K1188">
        <v>23</v>
      </c>
      <c r="L1188">
        <v>4</v>
      </c>
      <c r="M1188">
        <v>1420238</v>
      </c>
      <c r="N1188">
        <v>5680952</v>
      </c>
      <c r="O1188">
        <v>4773310</v>
      </c>
      <c r="P1188">
        <v>907642</v>
      </c>
    </row>
    <row r="1189" spans="1:16" x14ac:dyDescent="0.3">
      <c r="A1189">
        <v>2188</v>
      </c>
      <c r="B1189" t="s">
        <v>545</v>
      </c>
      <c r="C1189">
        <v>2023</v>
      </c>
      <c r="D1189" t="s">
        <v>17</v>
      </c>
      <c r="E1189" t="s">
        <v>40</v>
      </c>
      <c r="F1189" t="s">
        <v>41</v>
      </c>
      <c r="G1189" t="s">
        <v>51</v>
      </c>
      <c r="H1189" t="s">
        <v>31</v>
      </c>
      <c r="I1189" t="s">
        <v>32</v>
      </c>
      <c r="J1189">
        <v>1.2</v>
      </c>
      <c r="K1189">
        <v>20</v>
      </c>
      <c r="L1189">
        <v>2</v>
      </c>
      <c r="M1189">
        <v>1425598</v>
      </c>
      <c r="N1189">
        <v>2851196</v>
      </c>
      <c r="O1189">
        <v>2516417</v>
      </c>
      <c r="P1189">
        <v>334779</v>
      </c>
    </row>
    <row r="1190" spans="1:16" x14ac:dyDescent="0.3">
      <c r="A1190">
        <v>2189</v>
      </c>
      <c r="B1190" t="s">
        <v>302</v>
      </c>
      <c r="C1190">
        <v>2023</v>
      </c>
      <c r="D1190" t="s">
        <v>50</v>
      </c>
      <c r="E1190" t="s">
        <v>18</v>
      </c>
      <c r="F1190" t="s">
        <v>72</v>
      </c>
      <c r="G1190" t="s">
        <v>36</v>
      </c>
      <c r="H1190" t="s">
        <v>47</v>
      </c>
      <c r="I1190" t="s">
        <v>48</v>
      </c>
      <c r="J1190">
        <v>1.5</v>
      </c>
      <c r="K1190">
        <v>22</v>
      </c>
      <c r="L1190">
        <v>8</v>
      </c>
      <c r="M1190">
        <v>1294076</v>
      </c>
      <c r="N1190">
        <v>10352608</v>
      </c>
      <c r="O1190">
        <v>8051991</v>
      </c>
      <c r="P1190">
        <v>2300617</v>
      </c>
    </row>
    <row r="1191" spans="1:16" x14ac:dyDescent="0.3">
      <c r="A1191">
        <v>2190</v>
      </c>
      <c r="B1191" t="s">
        <v>672</v>
      </c>
      <c r="C1191">
        <v>2023</v>
      </c>
      <c r="D1191" t="s">
        <v>97</v>
      </c>
      <c r="E1191" t="s">
        <v>44</v>
      </c>
      <c r="F1191" t="s">
        <v>62</v>
      </c>
      <c r="G1191" t="s">
        <v>51</v>
      </c>
      <c r="H1191" t="s">
        <v>52</v>
      </c>
      <c r="I1191" t="s">
        <v>22</v>
      </c>
      <c r="J1191">
        <v>1.5</v>
      </c>
      <c r="K1191">
        <v>22</v>
      </c>
      <c r="L1191">
        <v>5</v>
      </c>
      <c r="M1191">
        <v>887870</v>
      </c>
      <c r="N1191">
        <v>4439350</v>
      </c>
      <c r="O1191">
        <v>3728068</v>
      </c>
      <c r="P1191">
        <v>711282</v>
      </c>
    </row>
    <row r="1192" spans="1:16" x14ac:dyDescent="0.3">
      <c r="A1192">
        <v>2191</v>
      </c>
      <c r="B1192" t="s">
        <v>673</v>
      </c>
      <c r="C1192">
        <v>2024</v>
      </c>
      <c r="D1192" t="s">
        <v>50</v>
      </c>
      <c r="E1192" t="s">
        <v>18</v>
      </c>
      <c r="F1192" t="s">
        <v>19</v>
      </c>
      <c r="G1192" t="s">
        <v>59</v>
      </c>
      <c r="H1192" t="s">
        <v>52</v>
      </c>
      <c r="I1192" t="s">
        <v>22</v>
      </c>
      <c r="J1192">
        <v>1</v>
      </c>
      <c r="K1192">
        <v>16</v>
      </c>
      <c r="L1192">
        <v>2</v>
      </c>
      <c r="M1192">
        <v>1385448</v>
      </c>
      <c r="N1192">
        <v>2770896</v>
      </c>
      <c r="O1192">
        <v>2110008</v>
      </c>
      <c r="P1192">
        <v>660888</v>
      </c>
    </row>
    <row r="1193" spans="1:16" x14ac:dyDescent="0.3">
      <c r="A1193">
        <v>2192</v>
      </c>
      <c r="B1193" t="s">
        <v>451</v>
      </c>
      <c r="C1193">
        <v>2023</v>
      </c>
      <c r="D1193" t="s">
        <v>39</v>
      </c>
      <c r="E1193" t="s">
        <v>25</v>
      </c>
      <c r="F1193" t="s">
        <v>26</v>
      </c>
      <c r="G1193" t="s">
        <v>46</v>
      </c>
      <c r="H1193" t="s">
        <v>79</v>
      </c>
      <c r="I1193" t="s">
        <v>48</v>
      </c>
      <c r="J1193">
        <v>1</v>
      </c>
      <c r="K1193">
        <v>18</v>
      </c>
      <c r="L1193">
        <v>5</v>
      </c>
      <c r="M1193">
        <v>805088</v>
      </c>
      <c r="N1193">
        <v>4025440</v>
      </c>
      <c r="O1193">
        <v>3051551</v>
      </c>
      <c r="P1193">
        <v>973889</v>
      </c>
    </row>
    <row r="1194" spans="1:16" x14ac:dyDescent="0.3">
      <c r="A1194">
        <v>2193</v>
      </c>
      <c r="B1194" t="s">
        <v>674</v>
      </c>
      <c r="C1194">
        <v>2024</v>
      </c>
      <c r="D1194" t="s">
        <v>74</v>
      </c>
      <c r="E1194" t="s">
        <v>44</v>
      </c>
      <c r="F1194" t="s">
        <v>62</v>
      </c>
      <c r="G1194" t="s">
        <v>20</v>
      </c>
      <c r="H1194" t="s">
        <v>63</v>
      </c>
      <c r="I1194" t="s">
        <v>22</v>
      </c>
      <c r="J1194">
        <v>1.2</v>
      </c>
      <c r="K1194">
        <v>18</v>
      </c>
      <c r="L1194">
        <v>1</v>
      </c>
      <c r="M1194">
        <v>1235619</v>
      </c>
      <c r="N1194">
        <v>1235619</v>
      </c>
      <c r="O1194">
        <v>1014493</v>
      </c>
      <c r="P1194">
        <v>221126</v>
      </c>
    </row>
    <row r="1195" spans="1:16" x14ac:dyDescent="0.3">
      <c r="A1195">
        <v>2194</v>
      </c>
      <c r="B1195" t="s">
        <v>302</v>
      </c>
      <c r="C1195">
        <v>2023</v>
      </c>
      <c r="D1195" t="s">
        <v>50</v>
      </c>
      <c r="E1195" t="s">
        <v>25</v>
      </c>
      <c r="F1195" t="s">
        <v>77</v>
      </c>
      <c r="G1195" t="s">
        <v>36</v>
      </c>
      <c r="H1195" t="s">
        <v>31</v>
      </c>
      <c r="I1195" t="s">
        <v>32</v>
      </c>
      <c r="J1195">
        <v>1.5</v>
      </c>
      <c r="K1195">
        <v>23</v>
      </c>
      <c r="L1195">
        <v>1</v>
      </c>
      <c r="M1195">
        <v>704053</v>
      </c>
      <c r="N1195">
        <v>704053</v>
      </c>
      <c r="O1195">
        <v>538529</v>
      </c>
      <c r="P1195">
        <v>165524</v>
      </c>
    </row>
    <row r="1196" spans="1:16" x14ac:dyDescent="0.3">
      <c r="A1196">
        <v>2195</v>
      </c>
      <c r="B1196" t="s">
        <v>675</v>
      </c>
      <c r="C1196">
        <v>2023</v>
      </c>
      <c r="D1196" t="s">
        <v>34</v>
      </c>
      <c r="E1196" t="s">
        <v>44</v>
      </c>
      <c r="F1196" t="s">
        <v>62</v>
      </c>
      <c r="G1196" t="s">
        <v>51</v>
      </c>
      <c r="H1196" t="s">
        <v>56</v>
      </c>
      <c r="I1196" t="s">
        <v>48</v>
      </c>
      <c r="J1196">
        <v>2</v>
      </c>
      <c r="K1196">
        <v>22</v>
      </c>
      <c r="L1196">
        <v>7</v>
      </c>
      <c r="M1196">
        <v>889941</v>
      </c>
      <c r="N1196">
        <v>6229587</v>
      </c>
      <c r="O1196">
        <v>5070411</v>
      </c>
      <c r="P1196">
        <v>1159176</v>
      </c>
    </row>
    <row r="1197" spans="1:16" x14ac:dyDescent="0.3">
      <c r="A1197">
        <v>2196</v>
      </c>
      <c r="B1197" t="s">
        <v>267</v>
      </c>
      <c r="C1197">
        <v>2023</v>
      </c>
      <c r="D1197" t="s">
        <v>50</v>
      </c>
      <c r="E1197" t="s">
        <v>44</v>
      </c>
      <c r="F1197" t="s">
        <v>45</v>
      </c>
      <c r="G1197" t="s">
        <v>36</v>
      </c>
      <c r="H1197" t="s">
        <v>37</v>
      </c>
      <c r="I1197" t="s">
        <v>32</v>
      </c>
      <c r="J1197">
        <v>1.5</v>
      </c>
      <c r="K1197">
        <v>20</v>
      </c>
      <c r="L1197">
        <v>7</v>
      </c>
      <c r="M1197">
        <v>1190960</v>
      </c>
      <c r="N1197">
        <v>8336720</v>
      </c>
      <c r="O1197">
        <v>7493575</v>
      </c>
      <c r="P1197">
        <v>843145</v>
      </c>
    </row>
    <row r="1198" spans="1:16" x14ac:dyDescent="0.3">
      <c r="A1198">
        <v>2197</v>
      </c>
      <c r="B1198" t="s">
        <v>379</v>
      </c>
      <c r="C1198">
        <v>2024</v>
      </c>
      <c r="D1198" t="s">
        <v>39</v>
      </c>
      <c r="E1198" t="s">
        <v>40</v>
      </c>
      <c r="F1198" t="s">
        <v>41</v>
      </c>
      <c r="G1198" t="s">
        <v>46</v>
      </c>
      <c r="H1198" t="s">
        <v>54</v>
      </c>
      <c r="I1198" t="s">
        <v>48</v>
      </c>
      <c r="J1198">
        <v>2</v>
      </c>
      <c r="K1198">
        <v>22</v>
      </c>
      <c r="L1198">
        <v>3</v>
      </c>
      <c r="M1198">
        <v>1115969</v>
      </c>
      <c r="N1198">
        <v>3347907</v>
      </c>
      <c r="O1198">
        <v>2842738</v>
      </c>
      <c r="P1198">
        <v>505169</v>
      </c>
    </row>
    <row r="1199" spans="1:16" x14ac:dyDescent="0.3">
      <c r="A1199">
        <v>2198</v>
      </c>
      <c r="B1199" t="s">
        <v>351</v>
      </c>
      <c r="C1199">
        <v>2024</v>
      </c>
      <c r="D1199" t="s">
        <v>97</v>
      </c>
      <c r="E1199" t="s">
        <v>25</v>
      </c>
      <c r="F1199" t="s">
        <v>58</v>
      </c>
      <c r="G1199" t="s">
        <v>59</v>
      </c>
      <c r="H1199" t="s">
        <v>31</v>
      </c>
      <c r="I1199" t="s">
        <v>32</v>
      </c>
      <c r="J1199">
        <v>1</v>
      </c>
      <c r="K1199">
        <v>18</v>
      </c>
      <c r="L1199">
        <v>5</v>
      </c>
      <c r="M1199">
        <v>1169146</v>
      </c>
      <c r="N1199">
        <v>5845730</v>
      </c>
      <c r="O1199">
        <v>4923748</v>
      </c>
      <c r="P1199">
        <v>921982</v>
      </c>
    </row>
    <row r="1200" spans="1:16" x14ac:dyDescent="0.3">
      <c r="A1200">
        <v>2199</v>
      </c>
      <c r="B1200" t="s">
        <v>676</v>
      </c>
      <c r="C1200">
        <v>2023</v>
      </c>
      <c r="D1200" t="s">
        <v>43</v>
      </c>
      <c r="E1200" t="s">
        <v>40</v>
      </c>
      <c r="F1200" t="s">
        <v>120</v>
      </c>
      <c r="G1200" t="s">
        <v>27</v>
      </c>
      <c r="H1200" t="s">
        <v>56</v>
      </c>
      <c r="I1200" t="s">
        <v>48</v>
      </c>
      <c r="J1200">
        <v>1.5</v>
      </c>
      <c r="K1200">
        <v>23</v>
      </c>
      <c r="L1200">
        <v>5</v>
      </c>
      <c r="M1200">
        <v>1103564</v>
      </c>
      <c r="N1200">
        <v>5517820</v>
      </c>
      <c r="O1200">
        <v>4956518</v>
      </c>
      <c r="P1200">
        <v>561302</v>
      </c>
    </row>
    <row r="1201" spans="1:16" x14ac:dyDescent="0.3">
      <c r="A1201">
        <v>2200</v>
      </c>
      <c r="B1201" t="s">
        <v>132</v>
      </c>
      <c r="C1201">
        <v>2023</v>
      </c>
      <c r="D1201" t="s">
        <v>24</v>
      </c>
      <c r="E1201" t="s">
        <v>18</v>
      </c>
      <c r="F1201" t="s">
        <v>107</v>
      </c>
      <c r="G1201" t="s">
        <v>20</v>
      </c>
      <c r="H1201" t="s">
        <v>31</v>
      </c>
      <c r="I1201" t="s">
        <v>32</v>
      </c>
      <c r="J1201">
        <v>2</v>
      </c>
      <c r="K1201">
        <v>16</v>
      </c>
      <c r="L1201">
        <v>6</v>
      </c>
      <c r="M1201">
        <v>826943</v>
      </c>
      <c r="N1201">
        <v>4961658</v>
      </c>
      <c r="O1201">
        <v>4109739</v>
      </c>
      <c r="P1201">
        <v>851919</v>
      </c>
    </row>
    <row r="1202" spans="1:16" x14ac:dyDescent="0.3">
      <c r="A1202">
        <v>2201</v>
      </c>
      <c r="B1202" t="s">
        <v>64</v>
      </c>
      <c r="C1202">
        <v>2023</v>
      </c>
      <c r="D1202" t="s">
        <v>61</v>
      </c>
      <c r="E1202" t="s">
        <v>40</v>
      </c>
      <c r="F1202" t="s">
        <v>41</v>
      </c>
      <c r="G1202" t="s">
        <v>36</v>
      </c>
      <c r="H1202" t="s">
        <v>31</v>
      </c>
      <c r="I1202" t="s">
        <v>32</v>
      </c>
      <c r="J1202">
        <v>1</v>
      </c>
      <c r="K1202">
        <v>20</v>
      </c>
      <c r="L1202">
        <v>2</v>
      </c>
      <c r="M1202">
        <v>628620</v>
      </c>
      <c r="N1202">
        <v>1257240</v>
      </c>
      <c r="O1202">
        <v>1042832</v>
      </c>
      <c r="P1202">
        <v>214408</v>
      </c>
    </row>
    <row r="1203" spans="1:16" x14ac:dyDescent="0.3">
      <c r="A1203">
        <v>2202</v>
      </c>
      <c r="B1203" t="s">
        <v>369</v>
      </c>
      <c r="C1203">
        <v>2023</v>
      </c>
      <c r="D1203" t="s">
        <v>43</v>
      </c>
      <c r="E1203" t="s">
        <v>25</v>
      </c>
      <c r="F1203" t="s">
        <v>58</v>
      </c>
      <c r="G1203" t="s">
        <v>51</v>
      </c>
      <c r="H1203" t="s">
        <v>37</v>
      </c>
      <c r="I1203" t="s">
        <v>32</v>
      </c>
      <c r="J1203">
        <v>1.2</v>
      </c>
      <c r="K1203">
        <v>23</v>
      </c>
      <c r="L1203">
        <v>4</v>
      </c>
      <c r="M1203">
        <v>875224</v>
      </c>
      <c r="N1203">
        <v>3500896</v>
      </c>
      <c r="O1203">
        <v>2921020</v>
      </c>
      <c r="P1203">
        <v>579876</v>
      </c>
    </row>
    <row r="1204" spans="1:16" x14ac:dyDescent="0.3">
      <c r="A1204">
        <v>2203</v>
      </c>
      <c r="B1204" t="s">
        <v>474</v>
      </c>
      <c r="C1204">
        <v>2023</v>
      </c>
      <c r="D1204" t="s">
        <v>17</v>
      </c>
      <c r="E1204" t="s">
        <v>25</v>
      </c>
      <c r="F1204" t="s">
        <v>58</v>
      </c>
      <c r="G1204" t="s">
        <v>27</v>
      </c>
      <c r="H1204" t="s">
        <v>31</v>
      </c>
      <c r="I1204" t="s">
        <v>32</v>
      </c>
      <c r="J1204">
        <v>1</v>
      </c>
      <c r="K1204">
        <v>22</v>
      </c>
      <c r="L1204">
        <v>1</v>
      </c>
      <c r="M1204">
        <v>1196251</v>
      </c>
      <c r="N1204">
        <v>1196251</v>
      </c>
      <c r="O1204">
        <v>1067081</v>
      </c>
      <c r="P1204">
        <v>129170</v>
      </c>
    </row>
    <row r="1205" spans="1:16" x14ac:dyDescent="0.3">
      <c r="A1205">
        <v>2204</v>
      </c>
      <c r="B1205" t="s">
        <v>657</v>
      </c>
      <c r="C1205">
        <v>2024</v>
      </c>
      <c r="D1205" t="s">
        <v>50</v>
      </c>
      <c r="E1205" t="s">
        <v>40</v>
      </c>
      <c r="F1205" t="s">
        <v>104</v>
      </c>
      <c r="G1205" t="s">
        <v>59</v>
      </c>
      <c r="H1205" t="s">
        <v>79</v>
      </c>
      <c r="I1205" t="s">
        <v>48</v>
      </c>
      <c r="J1205">
        <v>1.2</v>
      </c>
      <c r="K1205">
        <v>22</v>
      </c>
      <c r="L1205">
        <v>6</v>
      </c>
      <c r="M1205">
        <v>1195326</v>
      </c>
      <c r="N1205">
        <v>7171956</v>
      </c>
      <c r="O1205">
        <v>5950131</v>
      </c>
      <c r="P1205">
        <v>1221825</v>
      </c>
    </row>
    <row r="1206" spans="1:16" x14ac:dyDescent="0.3">
      <c r="A1206">
        <v>2205</v>
      </c>
      <c r="B1206" t="s">
        <v>214</v>
      </c>
      <c r="C1206">
        <v>2024</v>
      </c>
      <c r="D1206" t="s">
        <v>76</v>
      </c>
      <c r="E1206" t="s">
        <v>18</v>
      </c>
      <c r="F1206" t="s">
        <v>107</v>
      </c>
      <c r="G1206" t="s">
        <v>90</v>
      </c>
      <c r="H1206" t="s">
        <v>63</v>
      </c>
      <c r="I1206" t="s">
        <v>22</v>
      </c>
      <c r="J1206">
        <v>1.2</v>
      </c>
      <c r="K1206">
        <v>22</v>
      </c>
      <c r="L1206">
        <v>4</v>
      </c>
      <c r="M1206">
        <v>994836</v>
      </c>
      <c r="N1206">
        <v>3979344</v>
      </c>
      <c r="O1206">
        <v>3381845</v>
      </c>
      <c r="P1206">
        <v>597499</v>
      </c>
    </row>
    <row r="1207" spans="1:16" x14ac:dyDescent="0.3">
      <c r="A1207">
        <v>2206</v>
      </c>
      <c r="B1207" t="s">
        <v>338</v>
      </c>
      <c r="C1207">
        <v>2024</v>
      </c>
      <c r="D1207" t="s">
        <v>50</v>
      </c>
      <c r="E1207" t="s">
        <v>18</v>
      </c>
      <c r="F1207" t="s">
        <v>107</v>
      </c>
      <c r="G1207" t="s">
        <v>90</v>
      </c>
      <c r="H1207" t="s">
        <v>63</v>
      </c>
      <c r="I1207" t="s">
        <v>22</v>
      </c>
      <c r="J1207">
        <v>1.5</v>
      </c>
      <c r="K1207">
        <v>23</v>
      </c>
      <c r="L1207">
        <v>1</v>
      </c>
      <c r="M1207">
        <v>1057249</v>
      </c>
      <c r="N1207">
        <v>1057249</v>
      </c>
      <c r="O1207">
        <v>950968</v>
      </c>
      <c r="P1207">
        <v>106281</v>
      </c>
    </row>
    <row r="1208" spans="1:16" x14ac:dyDescent="0.3">
      <c r="A1208">
        <v>2207</v>
      </c>
      <c r="B1208" t="s">
        <v>243</v>
      </c>
      <c r="C1208">
        <v>2023</v>
      </c>
      <c r="D1208" t="s">
        <v>50</v>
      </c>
      <c r="E1208" t="s">
        <v>44</v>
      </c>
      <c r="F1208" t="s">
        <v>70</v>
      </c>
      <c r="G1208" t="s">
        <v>20</v>
      </c>
      <c r="H1208" t="s">
        <v>100</v>
      </c>
      <c r="I1208" t="s">
        <v>22</v>
      </c>
      <c r="J1208">
        <v>2</v>
      </c>
      <c r="K1208">
        <v>22</v>
      </c>
      <c r="L1208">
        <v>1</v>
      </c>
      <c r="M1208">
        <v>859216</v>
      </c>
      <c r="N1208">
        <v>859216</v>
      </c>
      <c r="O1208">
        <v>648907</v>
      </c>
      <c r="P1208">
        <v>210309</v>
      </c>
    </row>
    <row r="1209" spans="1:16" x14ac:dyDescent="0.3">
      <c r="A1209">
        <v>2208</v>
      </c>
      <c r="B1209" t="s">
        <v>247</v>
      </c>
      <c r="C1209">
        <v>2024</v>
      </c>
      <c r="D1209" t="s">
        <v>76</v>
      </c>
      <c r="E1209" t="s">
        <v>18</v>
      </c>
      <c r="F1209" t="s">
        <v>107</v>
      </c>
      <c r="G1209" t="s">
        <v>30</v>
      </c>
      <c r="H1209" t="s">
        <v>52</v>
      </c>
      <c r="I1209" t="s">
        <v>22</v>
      </c>
      <c r="J1209">
        <v>1</v>
      </c>
      <c r="K1209">
        <v>20</v>
      </c>
      <c r="L1209">
        <v>1</v>
      </c>
      <c r="M1209">
        <v>902748</v>
      </c>
      <c r="N1209">
        <v>902748</v>
      </c>
      <c r="O1209">
        <v>733107</v>
      </c>
      <c r="P1209">
        <v>169641</v>
      </c>
    </row>
    <row r="1210" spans="1:16" x14ac:dyDescent="0.3">
      <c r="A1210">
        <v>2209</v>
      </c>
      <c r="B1210" t="s">
        <v>602</v>
      </c>
      <c r="C1210">
        <v>2023</v>
      </c>
      <c r="D1210" t="s">
        <v>61</v>
      </c>
      <c r="E1210" t="s">
        <v>44</v>
      </c>
      <c r="F1210" t="s">
        <v>45</v>
      </c>
      <c r="G1210" t="s">
        <v>27</v>
      </c>
      <c r="H1210" t="s">
        <v>21</v>
      </c>
      <c r="I1210" t="s">
        <v>22</v>
      </c>
      <c r="J1210">
        <v>1.2</v>
      </c>
      <c r="K1210">
        <v>19</v>
      </c>
      <c r="L1210">
        <v>7</v>
      </c>
      <c r="M1210">
        <v>1357973</v>
      </c>
      <c r="N1210">
        <v>9505811</v>
      </c>
      <c r="O1210">
        <v>8324037</v>
      </c>
      <c r="P1210">
        <v>1181774</v>
      </c>
    </row>
    <row r="1211" spans="1:16" x14ac:dyDescent="0.3">
      <c r="A1211">
        <v>2210</v>
      </c>
      <c r="B1211" t="s">
        <v>243</v>
      </c>
      <c r="C1211">
        <v>2023</v>
      </c>
      <c r="D1211" t="s">
        <v>50</v>
      </c>
      <c r="E1211" t="s">
        <v>40</v>
      </c>
      <c r="F1211" t="s">
        <v>104</v>
      </c>
      <c r="G1211" t="s">
        <v>51</v>
      </c>
      <c r="H1211" t="s">
        <v>31</v>
      </c>
      <c r="I1211" t="s">
        <v>32</v>
      </c>
      <c r="J1211">
        <v>1.2</v>
      </c>
      <c r="K1211">
        <v>16</v>
      </c>
      <c r="L1211">
        <v>7</v>
      </c>
      <c r="M1211">
        <v>1243762</v>
      </c>
      <c r="N1211">
        <v>8706334</v>
      </c>
      <c r="O1211">
        <v>7763651</v>
      </c>
      <c r="P1211">
        <v>942683</v>
      </c>
    </row>
    <row r="1212" spans="1:16" x14ac:dyDescent="0.3">
      <c r="A1212">
        <v>2211</v>
      </c>
      <c r="B1212" t="s">
        <v>596</v>
      </c>
      <c r="C1212">
        <v>2023</v>
      </c>
      <c r="D1212" t="s">
        <v>74</v>
      </c>
      <c r="E1212" t="s">
        <v>18</v>
      </c>
      <c r="F1212" t="s">
        <v>107</v>
      </c>
      <c r="G1212" t="s">
        <v>51</v>
      </c>
      <c r="H1212" t="s">
        <v>63</v>
      </c>
      <c r="I1212" t="s">
        <v>22</v>
      </c>
      <c r="J1212">
        <v>2</v>
      </c>
      <c r="K1212">
        <v>20</v>
      </c>
      <c r="L1212">
        <v>8</v>
      </c>
      <c r="M1212">
        <v>1206620</v>
      </c>
      <c r="N1212">
        <v>9652960</v>
      </c>
      <c r="O1212">
        <v>7275726</v>
      </c>
      <c r="P1212">
        <v>2377234</v>
      </c>
    </row>
    <row r="1213" spans="1:16" x14ac:dyDescent="0.3">
      <c r="A1213">
        <v>2212</v>
      </c>
      <c r="B1213" t="s">
        <v>570</v>
      </c>
      <c r="C1213">
        <v>2023</v>
      </c>
      <c r="D1213" t="s">
        <v>76</v>
      </c>
      <c r="E1213" t="s">
        <v>40</v>
      </c>
      <c r="F1213" t="s">
        <v>41</v>
      </c>
      <c r="G1213" t="s">
        <v>46</v>
      </c>
      <c r="H1213" t="s">
        <v>52</v>
      </c>
      <c r="I1213" t="s">
        <v>22</v>
      </c>
      <c r="J1213">
        <v>1.2</v>
      </c>
      <c r="K1213">
        <v>23</v>
      </c>
      <c r="L1213">
        <v>5</v>
      </c>
      <c r="M1213">
        <v>1118761</v>
      </c>
      <c r="N1213">
        <v>5593805</v>
      </c>
      <c r="O1213">
        <v>4619807</v>
      </c>
      <c r="P1213">
        <v>973998</v>
      </c>
    </row>
    <row r="1214" spans="1:16" x14ac:dyDescent="0.3">
      <c r="A1214">
        <v>2213</v>
      </c>
      <c r="B1214" t="s">
        <v>395</v>
      </c>
      <c r="C1214">
        <v>2023</v>
      </c>
      <c r="D1214" t="s">
        <v>43</v>
      </c>
      <c r="E1214" t="s">
        <v>18</v>
      </c>
      <c r="F1214" t="s">
        <v>35</v>
      </c>
      <c r="G1214" t="s">
        <v>51</v>
      </c>
      <c r="H1214" t="s">
        <v>56</v>
      </c>
      <c r="I1214" t="s">
        <v>48</v>
      </c>
      <c r="J1214">
        <v>1</v>
      </c>
      <c r="K1214">
        <v>21</v>
      </c>
      <c r="L1214">
        <v>3</v>
      </c>
      <c r="M1214">
        <v>1136913</v>
      </c>
      <c r="N1214">
        <v>3410739</v>
      </c>
      <c r="O1214">
        <v>2902939</v>
      </c>
      <c r="P1214">
        <v>507800</v>
      </c>
    </row>
    <row r="1215" spans="1:16" x14ac:dyDescent="0.3">
      <c r="A1215">
        <v>2214</v>
      </c>
      <c r="B1215" t="s">
        <v>265</v>
      </c>
      <c r="C1215">
        <v>2023</v>
      </c>
      <c r="D1215" t="s">
        <v>24</v>
      </c>
      <c r="E1215" t="s">
        <v>40</v>
      </c>
      <c r="F1215" t="s">
        <v>104</v>
      </c>
      <c r="G1215" t="s">
        <v>20</v>
      </c>
      <c r="H1215" t="s">
        <v>21</v>
      </c>
      <c r="I1215" t="s">
        <v>22</v>
      </c>
      <c r="J1215">
        <v>1</v>
      </c>
      <c r="K1215">
        <v>23</v>
      </c>
      <c r="L1215">
        <v>5</v>
      </c>
      <c r="M1215">
        <v>1137171</v>
      </c>
      <c r="N1215">
        <v>5685855</v>
      </c>
      <c r="O1215">
        <v>4656208</v>
      </c>
      <c r="P1215">
        <v>1029647</v>
      </c>
    </row>
    <row r="1216" spans="1:16" x14ac:dyDescent="0.3">
      <c r="A1216">
        <v>2215</v>
      </c>
      <c r="B1216" t="s">
        <v>386</v>
      </c>
      <c r="C1216">
        <v>2023</v>
      </c>
      <c r="D1216" t="s">
        <v>61</v>
      </c>
      <c r="E1216" t="s">
        <v>18</v>
      </c>
      <c r="F1216" t="s">
        <v>35</v>
      </c>
      <c r="G1216" t="s">
        <v>46</v>
      </c>
      <c r="H1216" t="s">
        <v>79</v>
      </c>
      <c r="I1216" t="s">
        <v>48</v>
      </c>
      <c r="J1216">
        <v>2</v>
      </c>
      <c r="K1216">
        <v>19</v>
      </c>
      <c r="L1216">
        <v>8</v>
      </c>
      <c r="M1216">
        <v>606373</v>
      </c>
      <c r="N1216">
        <v>4850984</v>
      </c>
      <c r="O1216">
        <v>4065446</v>
      </c>
      <c r="P1216">
        <v>785538</v>
      </c>
    </row>
    <row r="1217" spans="1:16" x14ac:dyDescent="0.3">
      <c r="A1217">
        <v>2216</v>
      </c>
      <c r="B1217" t="s">
        <v>422</v>
      </c>
      <c r="C1217">
        <v>2023</v>
      </c>
      <c r="D1217" t="s">
        <v>67</v>
      </c>
      <c r="E1217" t="s">
        <v>25</v>
      </c>
      <c r="F1217" t="s">
        <v>26</v>
      </c>
      <c r="G1217" t="s">
        <v>20</v>
      </c>
      <c r="H1217" t="s">
        <v>100</v>
      </c>
      <c r="I1217" t="s">
        <v>22</v>
      </c>
      <c r="J1217">
        <v>2</v>
      </c>
      <c r="K1217">
        <v>18</v>
      </c>
      <c r="L1217">
        <v>4</v>
      </c>
      <c r="M1217">
        <v>1440182</v>
      </c>
      <c r="N1217">
        <v>5760728</v>
      </c>
      <c r="O1217">
        <v>4617211</v>
      </c>
      <c r="P1217">
        <v>1143517</v>
      </c>
    </row>
    <row r="1218" spans="1:16" x14ac:dyDescent="0.3">
      <c r="A1218">
        <v>2217</v>
      </c>
      <c r="B1218" t="s">
        <v>506</v>
      </c>
      <c r="C1218">
        <v>2023</v>
      </c>
      <c r="D1218" t="s">
        <v>29</v>
      </c>
      <c r="E1218" t="s">
        <v>44</v>
      </c>
      <c r="F1218" t="s">
        <v>45</v>
      </c>
      <c r="G1218" t="s">
        <v>30</v>
      </c>
      <c r="H1218" t="s">
        <v>31</v>
      </c>
      <c r="I1218" t="s">
        <v>32</v>
      </c>
      <c r="J1218">
        <v>1.2</v>
      </c>
      <c r="K1218">
        <v>19</v>
      </c>
      <c r="L1218">
        <v>7</v>
      </c>
      <c r="M1218">
        <v>958104</v>
      </c>
      <c r="N1218">
        <v>6706728</v>
      </c>
      <c r="O1218">
        <v>5951211</v>
      </c>
      <c r="P1218">
        <v>755517</v>
      </c>
    </row>
    <row r="1219" spans="1:16" x14ac:dyDescent="0.3">
      <c r="A1219">
        <v>2218</v>
      </c>
      <c r="B1219" t="s">
        <v>637</v>
      </c>
      <c r="C1219">
        <v>2023</v>
      </c>
      <c r="D1219" t="s">
        <v>67</v>
      </c>
      <c r="E1219" t="s">
        <v>44</v>
      </c>
      <c r="F1219" t="s">
        <v>62</v>
      </c>
      <c r="G1219" t="s">
        <v>36</v>
      </c>
      <c r="H1219" t="s">
        <v>100</v>
      </c>
      <c r="I1219" t="s">
        <v>22</v>
      </c>
      <c r="J1219">
        <v>1.2</v>
      </c>
      <c r="K1219">
        <v>23</v>
      </c>
      <c r="L1219">
        <v>1</v>
      </c>
      <c r="M1219">
        <v>835564</v>
      </c>
      <c r="N1219">
        <v>835564</v>
      </c>
      <c r="O1219">
        <v>645781</v>
      </c>
      <c r="P1219">
        <v>189783</v>
      </c>
    </row>
    <row r="1220" spans="1:16" x14ac:dyDescent="0.3">
      <c r="A1220">
        <v>2219</v>
      </c>
      <c r="B1220" t="s">
        <v>677</v>
      </c>
      <c r="C1220">
        <v>2024</v>
      </c>
      <c r="D1220" t="s">
        <v>29</v>
      </c>
      <c r="E1220" t="s">
        <v>18</v>
      </c>
      <c r="F1220" t="s">
        <v>35</v>
      </c>
      <c r="G1220" t="s">
        <v>90</v>
      </c>
      <c r="H1220" t="s">
        <v>52</v>
      </c>
      <c r="I1220" t="s">
        <v>22</v>
      </c>
      <c r="J1220">
        <v>1.5</v>
      </c>
      <c r="K1220">
        <v>16</v>
      </c>
      <c r="L1220">
        <v>7</v>
      </c>
      <c r="M1220">
        <v>1400424</v>
      </c>
      <c r="N1220">
        <v>9802968</v>
      </c>
      <c r="O1220">
        <v>8143276</v>
      </c>
      <c r="P1220">
        <v>1659692</v>
      </c>
    </row>
    <row r="1221" spans="1:16" x14ac:dyDescent="0.3">
      <c r="A1221">
        <v>2220</v>
      </c>
      <c r="B1221" t="s">
        <v>556</v>
      </c>
      <c r="C1221">
        <v>2023</v>
      </c>
      <c r="D1221" t="s">
        <v>50</v>
      </c>
      <c r="E1221" t="s">
        <v>44</v>
      </c>
      <c r="F1221" t="s">
        <v>92</v>
      </c>
      <c r="G1221" t="s">
        <v>90</v>
      </c>
      <c r="H1221" t="s">
        <v>54</v>
      </c>
      <c r="I1221" t="s">
        <v>48</v>
      </c>
      <c r="J1221">
        <v>1.2</v>
      </c>
      <c r="K1221">
        <v>22</v>
      </c>
      <c r="L1221">
        <v>3</v>
      </c>
      <c r="M1221">
        <v>760759</v>
      </c>
      <c r="N1221">
        <v>2282277</v>
      </c>
      <c r="O1221">
        <v>1743912</v>
      </c>
      <c r="P1221">
        <v>538365</v>
      </c>
    </row>
    <row r="1222" spans="1:16" x14ac:dyDescent="0.3">
      <c r="A1222">
        <v>2221</v>
      </c>
      <c r="B1222" t="s">
        <v>65</v>
      </c>
      <c r="C1222">
        <v>2023</v>
      </c>
      <c r="D1222" t="s">
        <v>17</v>
      </c>
      <c r="E1222" t="s">
        <v>40</v>
      </c>
      <c r="F1222" t="s">
        <v>68</v>
      </c>
      <c r="G1222" t="s">
        <v>20</v>
      </c>
      <c r="H1222" t="s">
        <v>31</v>
      </c>
      <c r="I1222" t="s">
        <v>32</v>
      </c>
      <c r="J1222">
        <v>1.5</v>
      </c>
      <c r="K1222">
        <v>23</v>
      </c>
      <c r="L1222">
        <v>2</v>
      </c>
      <c r="M1222">
        <v>686703</v>
      </c>
      <c r="N1222">
        <v>1373406</v>
      </c>
      <c r="O1222">
        <v>1203556</v>
      </c>
      <c r="P1222">
        <v>169850</v>
      </c>
    </row>
    <row r="1223" spans="1:16" x14ac:dyDescent="0.3">
      <c r="A1223">
        <v>2222</v>
      </c>
      <c r="B1223" t="s">
        <v>408</v>
      </c>
      <c r="C1223">
        <v>2024</v>
      </c>
      <c r="D1223" t="s">
        <v>50</v>
      </c>
      <c r="E1223" t="s">
        <v>18</v>
      </c>
      <c r="F1223" t="s">
        <v>107</v>
      </c>
      <c r="G1223" t="s">
        <v>36</v>
      </c>
      <c r="H1223" t="s">
        <v>52</v>
      </c>
      <c r="I1223" t="s">
        <v>22</v>
      </c>
      <c r="J1223">
        <v>1</v>
      </c>
      <c r="K1223">
        <v>16</v>
      </c>
      <c r="L1223">
        <v>1</v>
      </c>
      <c r="M1223">
        <v>1108330</v>
      </c>
      <c r="N1223">
        <v>1108330</v>
      </c>
      <c r="O1223">
        <v>913075</v>
      </c>
      <c r="P1223">
        <v>195255</v>
      </c>
    </row>
    <row r="1224" spans="1:16" x14ac:dyDescent="0.3">
      <c r="A1224">
        <v>2223</v>
      </c>
      <c r="B1224" t="s">
        <v>484</v>
      </c>
      <c r="C1224">
        <v>2023</v>
      </c>
      <c r="D1224" t="s">
        <v>43</v>
      </c>
      <c r="E1224" t="s">
        <v>18</v>
      </c>
      <c r="F1224" t="s">
        <v>107</v>
      </c>
      <c r="G1224" t="s">
        <v>46</v>
      </c>
      <c r="H1224" t="s">
        <v>52</v>
      </c>
      <c r="I1224" t="s">
        <v>22</v>
      </c>
      <c r="J1224">
        <v>2</v>
      </c>
      <c r="K1224">
        <v>18</v>
      </c>
      <c r="L1224">
        <v>3</v>
      </c>
      <c r="M1224">
        <v>690295</v>
      </c>
      <c r="N1224">
        <v>2070885</v>
      </c>
      <c r="O1224">
        <v>1836292</v>
      </c>
      <c r="P1224">
        <v>234593</v>
      </c>
    </row>
    <row r="1225" spans="1:16" x14ac:dyDescent="0.3">
      <c r="A1225">
        <v>2224</v>
      </c>
      <c r="B1225" t="s">
        <v>257</v>
      </c>
      <c r="C1225">
        <v>2024</v>
      </c>
      <c r="D1225" t="s">
        <v>76</v>
      </c>
      <c r="E1225" t="s">
        <v>40</v>
      </c>
      <c r="F1225" t="s">
        <v>104</v>
      </c>
      <c r="G1225" t="s">
        <v>59</v>
      </c>
      <c r="H1225" t="s">
        <v>37</v>
      </c>
      <c r="I1225" t="s">
        <v>32</v>
      </c>
      <c r="J1225">
        <v>2</v>
      </c>
      <c r="K1225">
        <v>19</v>
      </c>
      <c r="L1225">
        <v>2</v>
      </c>
      <c r="M1225">
        <v>795334</v>
      </c>
      <c r="N1225">
        <v>1590668</v>
      </c>
      <c r="O1225">
        <v>1276677</v>
      </c>
      <c r="P1225">
        <v>313991</v>
      </c>
    </row>
    <row r="1226" spans="1:16" x14ac:dyDescent="0.3">
      <c r="A1226">
        <v>2225</v>
      </c>
      <c r="B1226" t="s">
        <v>499</v>
      </c>
      <c r="C1226">
        <v>2024</v>
      </c>
      <c r="D1226" t="s">
        <v>76</v>
      </c>
      <c r="E1226" t="s">
        <v>18</v>
      </c>
      <c r="F1226" t="s">
        <v>19</v>
      </c>
      <c r="G1226" t="s">
        <v>30</v>
      </c>
      <c r="H1226" t="s">
        <v>37</v>
      </c>
      <c r="I1226" t="s">
        <v>32</v>
      </c>
      <c r="J1226">
        <v>2</v>
      </c>
      <c r="K1226">
        <v>20</v>
      </c>
      <c r="L1226">
        <v>8</v>
      </c>
      <c r="M1226">
        <v>862517</v>
      </c>
      <c r="N1226">
        <v>6900136</v>
      </c>
      <c r="O1226">
        <v>6187712</v>
      </c>
      <c r="P1226">
        <v>712424</v>
      </c>
    </row>
    <row r="1227" spans="1:16" x14ac:dyDescent="0.3">
      <c r="A1227">
        <v>2226</v>
      </c>
      <c r="B1227" t="s">
        <v>678</v>
      </c>
      <c r="C1227">
        <v>2023</v>
      </c>
      <c r="D1227" t="s">
        <v>17</v>
      </c>
      <c r="E1227" t="s">
        <v>40</v>
      </c>
      <c r="F1227" t="s">
        <v>41</v>
      </c>
      <c r="G1227" t="s">
        <v>90</v>
      </c>
      <c r="H1227" t="s">
        <v>37</v>
      </c>
      <c r="I1227" t="s">
        <v>32</v>
      </c>
      <c r="J1227">
        <v>1.5</v>
      </c>
      <c r="K1227">
        <v>22</v>
      </c>
      <c r="L1227">
        <v>7</v>
      </c>
      <c r="M1227">
        <v>1342739</v>
      </c>
      <c r="N1227">
        <v>9399173</v>
      </c>
      <c r="O1227">
        <v>7647877</v>
      </c>
      <c r="P1227">
        <v>1751296</v>
      </c>
    </row>
    <row r="1228" spans="1:16" x14ac:dyDescent="0.3">
      <c r="A1228">
        <v>2227</v>
      </c>
      <c r="B1228" t="s">
        <v>679</v>
      </c>
      <c r="C1228">
        <v>2023</v>
      </c>
      <c r="D1228" t="s">
        <v>29</v>
      </c>
      <c r="E1228" t="s">
        <v>44</v>
      </c>
      <c r="F1228" t="s">
        <v>45</v>
      </c>
      <c r="G1228" t="s">
        <v>30</v>
      </c>
      <c r="H1228" t="s">
        <v>79</v>
      </c>
      <c r="I1228" t="s">
        <v>48</v>
      </c>
      <c r="J1228">
        <v>1</v>
      </c>
      <c r="K1228">
        <v>19</v>
      </c>
      <c r="L1228">
        <v>7</v>
      </c>
      <c r="M1228">
        <v>823169</v>
      </c>
      <c r="N1228">
        <v>5762183</v>
      </c>
      <c r="O1228">
        <v>4864418</v>
      </c>
      <c r="P1228">
        <v>897765</v>
      </c>
    </row>
    <row r="1229" spans="1:16" x14ac:dyDescent="0.3">
      <c r="A1229">
        <v>2228</v>
      </c>
      <c r="B1229" t="s">
        <v>647</v>
      </c>
      <c r="C1229">
        <v>2023</v>
      </c>
      <c r="D1229" t="s">
        <v>50</v>
      </c>
      <c r="E1229" t="s">
        <v>25</v>
      </c>
      <c r="F1229" t="s">
        <v>26</v>
      </c>
      <c r="G1229" t="s">
        <v>36</v>
      </c>
      <c r="H1229" t="s">
        <v>47</v>
      </c>
      <c r="I1229" t="s">
        <v>48</v>
      </c>
      <c r="J1229">
        <v>1</v>
      </c>
      <c r="K1229">
        <v>22</v>
      </c>
      <c r="L1229">
        <v>5</v>
      </c>
      <c r="M1229">
        <v>1469091</v>
      </c>
      <c r="N1229">
        <v>7345455</v>
      </c>
      <c r="O1229">
        <v>6188039</v>
      </c>
      <c r="P1229">
        <v>1157416</v>
      </c>
    </row>
    <row r="1230" spans="1:16" x14ac:dyDescent="0.3">
      <c r="A1230">
        <v>2229</v>
      </c>
      <c r="B1230" t="s">
        <v>680</v>
      </c>
      <c r="C1230">
        <v>2024</v>
      </c>
      <c r="D1230" t="s">
        <v>50</v>
      </c>
      <c r="E1230" t="s">
        <v>25</v>
      </c>
      <c r="F1230" t="s">
        <v>26</v>
      </c>
      <c r="G1230" t="s">
        <v>36</v>
      </c>
      <c r="H1230" t="s">
        <v>31</v>
      </c>
      <c r="I1230" t="s">
        <v>32</v>
      </c>
      <c r="J1230">
        <v>2</v>
      </c>
      <c r="K1230">
        <v>19</v>
      </c>
      <c r="L1230">
        <v>8</v>
      </c>
      <c r="M1230">
        <v>1097642</v>
      </c>
      <c r="N1230">
        <v>8781136</v>
      </c>
      <c r="O1230">
        <v>7891319</v>
      </c>
      <c r="P1230">
        <v>889817</v>
      </c>
    </row>
    <row r="1231" spans="1:16" x14ac:dyDescent="0.3">
      <c r="A1231">
        <v>2230</v>
      </c>
      <c r="B1231" t="s">
        <v>681</v>
      </c>
      <c r="C1231">
        <v>2024</v>
      </c>
      <c r="D1231" t="s">
        <v>43</v>
      </c>
      <c r="E1231" t="s">
        <v>18</v>
      </c>
      <c r="F1231" t="s">
        <v>19</v>
      </c>
      <c r="G1231" t="s">
        <v>46</v>
      </c>
      <c r="H1231" t="s">
        <v>47</v>
      </c>
      <c r="I1231" t="s">
        <v>48</v>
      </c>
      <c r="J1231">
        <v>1</v>
      </c>
      <c r="K1231">
        <v>19</v>
      </c>
      <c r="L1231">
        <v>3</v>
      </c>
      <c r="M1231">
        <v>1450022</v>
      </c>
      <c r="N1231">
        <v>4350066</v>
      </c>
      <c r="O1231">
        <v>3807160</v>
      </c>
      <c r="P1231">
        <v>542906</v>
      </c>
    </row>
    <row r="1232" spans="1:16" x14ac:dyDescent="0.3">
      <c r="A1232">
        <v>2231</v>
      </c>
      <c r="B1232" t="s">
        <v>682</v>
      </c>
      <c r="C1232">
        <v>2024</v>
      </c>
      <c r="D1232" t="s">
        <v>34</v>
      </c>
      <c r="E1232" t="s">
        <v>40</v>
      </c>
      <c r="F1232" t="s">
        <v>68</v>
      </c>
      <c r="G1232" t="s">
        <v>90</v>
      </c>
      <c r="H1232" t="s">
        <v>52</v>
      </c>
      <c r="I1232" t="s">
        <v>22</v>
      </c>
      <c r="J1232">
        <v>1.5</v>
      </c>
      <c r="K1232">
        <v>16</v>
      </c>
      <c r="L1232">
        <v>1</v>
      </c>
      <c r="M1232">
        <v>996972</v>
      </c>
      <c r="N1232">
        <v>996972</v>
      </c>
      <c r="O1232">
        <v>881574</v>
      </c>
      <c r="P1232">
        <v>115398</v>
      </c>
    </row>
    <row r="1233" spans="1:16" x14ac:dyDescent="0.3">
      <c r="A1233">
        <v>2232</v>
      </c>
      <c r="B1233" t="s">
        <v>617</v>
      </c>
      <c r="C1233">
        <v>2023</v>
      </c>
      <c r="D1233" t="s">
        <v>29</v>
      </c>
      <c r="E1233" t="s">
        <v>25</v>
      </c>
      <c r="F1233" t="s">
        <v>58</v>
      </c>
      <c r="G1233" t="s">
        <v>90</v>
      </c>
      <c r="H1233" t="s">
        <v>52</v>
      </c>
      <c r="I1233" t="s">
        <v>22</v>
      </c>
      <c r="J1233">
        <v>2</v>
      </c>
      <c r="K1233">
        <v>20</v>
      </c>
      <c r="L1233">
        <v>4</v>
      </c>
      <c r="M1233">
        <v>1014839</v>
      </c>
      <c r="N1233">
        <v>4059356</v>
      </c>
      <c r="O1233">
        <v>3195330</v>
      </c>
      <c r="P1233">
        <v>864026</v>
      </c>
    </row>
    <row r="1234" spans="1:16" x14ac:dyDescent="0.3">
      <c r="A1234">
        <v>2233</v>
      </c>
      <c r="B1234" t="s">
        <v>112</v>
      </c>
      <c r="C1234">
        <v>2024</v>
      </c>
      <c r="D1234" t="s">
        <v>67</v>
      </c>
      <c r="E1234" t="s">
        <v>44</v>
      </c>
      <c r="F1234" t="s">
        <v>62</v>
      </c>
      <c r="G1234" t="s">
        <v>90</v>
      </c>
      <c r="H1234" t="s">
        <v>31</v>
      </c>
      <c r="I1234" t="s">
        <v>32</v>
      </c>
      <c r="J1234">
        <v>2</v>
      </c>
      <c r="K1234">
        <v>18</v>
      </c>
      <c r="L1234">
        <v>5</v>
      </c>
      <c r="M1234">
        <v>1228856</v>
      </c>
      <c r="N1234">
        <v>6144280</v>
      </c>
      <c r="O1234">
        <v>4627282</v>
      </c>
      <c r="P1234">
        <v>1516998</v>
      </c>
    </row>
    <row r="1235" spans="1:16" x14ac:dyDescent="0.3">
      <c r="A1235">
        <v>2234</v>
      </c>
      <c r="B1235" t="s">
        <v>485</v>
      </c>
      <c r="C1235">
        <v>2024</v>
      </c>
      <c r="D1235" t="s">
        <v>74</v>
      </c>
      <c r="E1235" t="s">
        <v>44</v>
      </c>
      <c r="F1235" t="s">
        <v>70</v>
      </c>
      <c r="G1235" t="s">
        <v>51</v>
      </c>
      <c r="H1235" t="s">
        <v>52</v>
      </c>
      <c r="I1235" t="s">
        <v>22</v>
      </c>
      <c r="J1235">
        <v>1.2</v>
      </c>
      <c r="K1235">
        <v>16</v>
      </c>
      <c r="L1235">
        <v>4</v>
      </c>
      <c r="M1235">
        <v>1328514</v>
      </c>
      <c r="N1235">
        <v>5314056</v>
      </c>
      <c r="O1235">
        <v>4729067</v>
      </c>
      <c r="P1235">
        <v>584989</v>
      </c>
    </row>
    <row r="1236" spans="1:16" x14ac:dyDescent="0.3">
      <c r="A1236">
        <v>2235</v>
      </c>
      <c r="B1236" t="s">
        <v>633</v>
      </c>
      <c r="C1236">
        <v>2024</v>
      </c>
      <c r="D1236" t="s">
        <v>34</v>
      </c>
      <c r="E1236" t="s">
        <v>44</v>
      </c>
      <c r="F1236" t="s">
        <v>45</v>
      </c>
      <c r="G1236" t="s">
        <v>30</v>
      </c>
      <c r="H1236" t="s">
        <v>54</v>
      </c>
      <c r="I1236" t="s">
        <v>48</v>
      </c>
      <c r="J1236">
        <v>1.5</v>
      </c>
      <c r="K1236">
        <v>19</v>
      </c>
      <c r="L1236">
        <v>4</v>
      </c>
      <c r="M1236">
        <v>1230064</v>
      </c>
      <c r="N1236">
        <v>4920256</v>
      </c>
      <c r="O1236">
        <v>4202364</v>
      </c>
      <c r="P1236">
        <v>717892</v>
      </c>
    </row>
    <row r="1237" spans="1:16" x14ac:dyDescent="0.3">
      <c r="A1237">
        <v>2236</v>
      </c>
      <c r="B1237" t="s">
        <v>683</v>
      </c>
      <c r="C1237">
        <v>2023</v>
      </c>
      <c r="D1237" t="s">
        <v>76</v>
      </c>
      <c r="E1237" t="s">
        <v>25</v>
      </c>
      <c r="F1237" t="s">
        <v>58</v>
      </c>
      <c r="G1237" t="s">
        <v>20</v>
      </c>
      <c r="H1237" t="s">
        <v>100</v>
      </c>
      <c r="I1237" t="s">
        <v>22</v>
      </c>
      <c r="J1237">
        <v>1.2</v>
      </c>
      <c r="K1237">
        <v>23</v>
      </c>
      <c r="L1237">
        <v>2</v>
      </c>
      <c r="M1237">
        <v>926782</v>
      </c>
      <c r="N1237">
        <v>1853564</v>
      </c>
      <c r="O1237">
        <v>1550393</v>
      </c>
      <c r="P1237">
        <v>303171</v>
      </c>
    </row>
    <row r="1238" spans="1:16" x14ac:dyDescent="0.3">
      <c r="A1238">
        <v>2237</v>
      </c>
      <c r="B1238" t="s">
        <v>154</v>
      </c>
      <c r="C1238">
        <v>2024</v>
      </c>
      <c r="D1238" t="s">
        <v>50</v>
      </c>
      <c r="E1238" t="s">
        <v>40</v>
      </c>
      <c r="F1238" t="s">
        <v>104</v>
      </c>
      <c r="G1238" t="s">
        <v>20</v>
      </c>
      <c r="H1238" t="s">
        <v>37</v>
      </c>
      <c r="I1238" t="s">
        <v>32</v>
      </c>
      <c r="J1238">
        <v>2</v>
      </c>
      <c r="K1238">
        <v>22</v>
      </c>
      <c r="L1238">
        <v>5</v>
      </c>
      <c r="M1238">
        <v>1437911</v>
      </c>
      <c r="N1238">
        <v>7189555</v>
      </c>
      <c r="O1238">
        <v>5447876</v>
      </c>
      <c r="P1238">
        <v>1741679</v>
      </c>
    </row>
    <row r="1239" spans="1:16" x14ac:dyDescent="0.3">
      <c r="A1239">
        <v>2238</v>
      </c>
      <c r="B1239" t="s">
        <v>189</v>
      </c>
      <c r="C1239">
        <v>2024</v>
      </c>
      <c r="D1239" t="s">
        <v>97</v>
      </c>
      <c r="E1239" t="s">
        <v>40</v>
      </c>
      <c r="F1239" t="s">
        <v>104</v>
      </c>
      <c r="G1239" t="s">
        <v>59</v>
      </c>
      <c r="H1239" t="s">
        <v>31</v>
      </c>
      <c r="I1239" t="s">
        <v>32</v>
      </c>
      <c r="J1239">
        <v>1.5</v>
      </c>
      <c r="K1239">
        <v>20</v>
      </c>
      <c r="L1239">
        <v>4</v>
      </c>
      <c r="M1239">
        <v>742103</v>
      </c>
      <c r="N1239">
        <v>2968412</v>
      </c>
      <c r="O1239">
        <v>2309941</v>
      </c>
      <c r="P1239">
        <v>658471</v>
      </c>
    </row>
    <row r="1240" spans="1:16" x14ac:dyDescent="0.3">
      <c r="A1240">
        <v>2239</v>
      </c>
      <c r="B1240" t="s">
        <v>287</v>
      </c>
      <c r="C1240">
        <v>2023</v>
      </c>
      <c r="D1240" t="s">
        <v>76</v>
      </c>
      <c r="E1240" t="s">
        <v>25</v>
      </c>
      <c r="F1240" t="s">
        <v>84</v>
      </c>
      <c r="G1240" t="s">
        <v>30</v>
      </c>
      <c r="H1240" t="s">
        <v>100</v>
      </c>
      <c r="I1240" t="s">
        <v>22</v>
      </c>
      <c r="J1240">
        <v>1.2</v>
      </c>
      <c r="K1240">
        <v>19</v>
      </c>
      <c r="L1240">
        <v>8</v>
      </c>
      <c r="M1240">
        <v>956055</v>
      </c>
      <c r="N1240">
        <v>7648440</v>
      </c>
      <c r="O1240">
        <v>6008917</v>
      </c>
      <c r="P1240">
        <v>1639523</v>
      </c>
    </row>
    <row r="1241" spans="1:16" x14ac:dyDescent="0.3">
      <c r="A1241">
        <v>2240</v>
      </c>
      <c r="B1241" t="s">
        <v>263</v>
      </c>
      <c r="C1241">
        <v>2024</v>
      </c>
      <c r="D1241" t="s">
        <v>34</v>
      </c>
      <c r="E1241" t="s">
        <v>18</v>
      </c>
      <c r="F1241" t="s">
        <v>72</v>
      </c>
      <c r="G1241" t="s">
        <v>27</v>
      </c>
      <c r="H1241" t="s">
        <v>79</v>
      </c>
      <c r="I1241" t="s">
        <v>48</v>
      </c>
      <c r="J1241">
        <v>1.2</v>
      </c>
      <c r="K1241">
        <v>21</v>
      </c>
      <c r="L1241">
        <v>1</v>
      </c>
      <c r="M1241">
        <v>943868</v>
      </c>
      <c r="N1241">
        <v>943868</v>
      </c>
      <c r="O1241">
        <v>763201</v>
      </c>
      <c r="P1241">
        <v>180667</v>
      </c>
    </row>
    <row r="1242" spans="1:16" x14ac:dyDescent="0.3">
      <c r="A1242">
        <v>2241</v>
      </c>
      <c r="B1242" t="s">
        <v>183</v>
      </c>
      <c r="C1242">
        <v>2024</v>
      </c>
      <c r="D1242" t="s">
        <v>67</v>
      </c>
      <c r="E1242" t="s">
        <v>44</v>
      </c>
      <c r="F1242" t="s">
        <v>45</v>
      </c>
      <c r="G1242" t="s">
        <v>90</v>
      </c>
      <c r="H1242" t="s">
        <v>47</v>
      </c>
      <c r="I1242" t="s">
        <v>48</v>
      </c>
      <c r="J1242">
        <v>1.2</v>
      </c>
      <c r="K1242">
        <v>21</v>
      </c>
      <c r="L1242">
        <v>3</v>
      </c>
      <c r="M1242">
        <v>941605</v>
      </c>
      <c r="N1242">
        <v>2824815</v>
      </c>
      <c r="O1242">
        <v>2438693</v>
      </c>
      <c r="P1242">
        <v>386122</v>
      </c>
    </row>
    <row r="1243" spans="1:16" x14ac:dyDescent="0.3">
      <c r="A1243">
        <v>2242</v>
      </c>
      <c r="B1243" t="s">
        <v>407</v>
      </c>
      <c r="C1243">
        <v>2024</v>
      </c>
      <c r="D1243" t="s">
        <v>67</v>
      </c>
      <c r="E1243" t="s">
        <v>44</v>
      </c>
      <c r="F1243" t="s">
        <v>45</v>
      </c>
      <c r="G1243" t="s">
        <v>59</v>
      </c>
      <c r="H1243" t="s">
        <v>31</v>
      </c>
      <c r="I1243" t="s">
        <v>32</v>
      </c>
      <c r="J1243">
        <v>1.5</v>
      </c>
      <c r="K1243">
        <v>21</v>
      </c>
      <c r="L1243">
        <v>8</v>
      </c>
      <c r="M1243">
        <v>756930</v>
      </c>
      <c r="N1243">
        <v>6055440</v>
      </c>
      <c r="O1243">
        <v>5376613</v>
      </c>
      <c r="P1243">
        <v>678827</v>
      </c>
    </row>
    <row r="1244" spans="1:16" x14ac:dyDescent="0.3">
      <c r="A1244">
        <v>2243</v>
      </c>
      <c r="B1244" t="s">
        <v>537</v>
      </c>
      <c r="C1244">
        <v>2024</v>
      </c>
      <c r="D1244" t="s">
        <v>61</v>
      </c>
      <c r="E1244" t="s">
        <v>44</v>
      </c>
      <c r="F1244" t="s">
        <v>62</v>
      </c>
      <c r="G1244" t="s">
        <v>90</v>
      </c>
      <c r="H1244" t="s">
        <v>56</v>
      </c>
      <c r="I1244" t="s">
        <v>48</v>
      </c>
      <c r="J1244">
        <v>1.5</v>
      </c>
      <c r="K1244">
        <v>22</v>
      </c>
      <c r="L1244">
        <v>3</v>
      </c>
      <c r="M1244">
        <v>903786</v>
      </c>
      <c r="N1244">
        <v>2711358</v>
      </c>
      <c r="O1244">
        <v>2184647</v>
      </c>
      <c r="P1244">
        <v>526711</v>
      </c>
    </row>
    <row r="1245" spans="1:16" x14ac:dyDescent="0.3">
      <c r="A1245">
        <v>2244</v>
      </c>
      <c r="B1245" t="s">
        <v>181</v>
      </c>
      <c r="C1245">
        <v>2023</v>
      </c>
      <c r="D1245" t="s">
        <v>76</v>
      </c>
      <c r="E1245" t="s">
        <v>44</v>
      </c>
      <c r="F1245" t="s">
        <v>70</v>
      </c>
      <c r="G1245" t="s">
        <v>51</v>
      </c>
      <c r="H1245" t="s">
        <v>31</v>
      </c>
      <c r="I1245" t="s">
        <v>32</v>
      </c>
      <c r="J1245">
        <v>1</v>
      </c>
      <c r="K1245">
        <v>22</v>
      </c>
      <c r="L1245">
        <v>7</v>
      </c>
      <c r="M1245">
        <v>1491071</v>
      </c>
      <c r="N1245">
        <v>10437497</v>
      </c>
      <c r="O1245">
        <v>8767270</v>
      </c>
      <c r="P1245">
        <v>1670227</v>
      </c>
    </row>
    <row r="1246" spans="1:16" x14ac:dyDescent="0.3">
      <c r="A1246">
        <v>2245</v>
      </c>
      <c r="B1246" t="s">
        <v>545</v>
      </c>
      <c r="C1246">
        <v>2023</v>
      </c>
      <c r="D1246" t="s">
        <v>17</v>
      </c>
      <c r="E1246" t="s">
        <v>40</v>
      </c>
      <c r="F1246" t="s">
        <v>68</v>
      </c>
      <c r="G1246" t="s">
        <v>20</v>
      </c>
      <c r="H1246" t="s">
        <v>21</v>
      </c>
      <c r="I1246" t="s">
        <v>22</v>
      </c>
      <c r="J1246">
        <v>2</v>
      </c>
      <c r="K1246">
        <v>16</v>
      </c>
      <c r="L1246">
        <v>3</v>
      </c>
      <c r="M1246">
        <v>764655</v>
      </c>
      <c r="N1246">
        <v>2293965</v>
      </c>
      <c r="O1246">
        <v>1772569</v>
      </c>
      <c r="P1246">
        <v>521396</v>
      </c>
    </row>
    <row r="1247" spans="1:16" x14ac:dyDescent="0.3">
      <c r="A1247">
        <v>2246</v>
      </c>
      <c r="B1247" t="s">
        <v>83</v>
      </c>
      <c r="C1247">
        <v>2024</v>
      </c>
      <c r="D1247" t="s">
        <v>39</v>
      </c>
      <c r="E1247" t="s">
        <v>18</v>
      </c>
      <c r="F1247" t="s">
        <v>107</v>
      </c>
      <c r="G1247" t="s">
        <v>27</v>
      </c>
      <c r="H1247" t="s">
        <v>52</v>
      </c>
      <c r="I1247" t="s">
        <v>22</v>
      </c>
      <c r="J1247">
        <v>1.2</v>
      </c>
      <c r="K1247">
        <v>21</v>
      </c>
      <c r="L1247">
        <v>2</v>
      </c>
      <c r="M1247">
        <v>948839</v>
      </c>
      <c r="N1247">
        <v>1897678</v>
      </c>
      <c r="O1247">
        <v>1607519</v>
      </c>
      <c r="P1247">
        <v>290159</v>
      </c>
    </row>
    <row r="1248" spans="1:16" x14ac:dyDescent="0.3">
      <c r="A1248">
        <v>2247</v>
      </c>
      <c r="B1248" t="s">
        <v>71</v>
      </c>
      <c r="C1248">
        <v>2023</v>
      </c>
      <c r="D1248" t="s">
        <v>24</v>
      </c>
      <c r="E1248" t="s">
        <v>25</v>
      </c>
      <c r="F1248" t="s">
        <v>58</v>
      </c>
      <c r="G1248" t="s">
        <v>27</v>
      </c>
      <c r="H1248" t="s">
        <v>37</v>
      </c>
      <c r="I1248" t="s">
        <v>32</v>
      </c>
      <c r="J1248">
        <v>1</v>
      </c>
      <c r="K1248">
        <v>23</v>
      </c>
      <c r="L1248">
        <v>4</v>
      </c>
      <c r="M1248">
        <v>1440238</v>
      </c>
      <c r="N1248">
        <v>5760952</v>
      </c>
      <c r="O1248">
        <v>4755520</v>
      </c>
      <c r="P1248">
        <v>1005432</v>
      </c>
    </row>
    <row r="1249" spans="1:16" x14ac:dyDescent="0.3">
      <c r="A1249">
        <v>2248</v>
      </c>
      <c r="B1249" t="s">
        <v>684</v>
      </c>
      <c r="C1249">
        <v>2023</v>
      </c>
      <c r="D1249" t="s">
        <v>43</v>
      </c>
      <c r="E1249" t="s">
        <v>25</v>
      </c>
      <c r="F1249" t="s">
        <v>77</v>
      </c>
      <c r="G1249" t="s">
        <v>59</v>
      </c>
      <c r="H1249" t="s">
        <v>100</v>
      </c>
      <c r="I1249" t="s">
        <v>22</v>
      </c>
      <c r="J1249">
        <v>2</v>
      </c>
      <c r="K1249">
        <v>22</v>
      </c>
      <c r="L1249">
        <v>7</v>
      </c>
      <c r="M1249">
        <v>1496833</v>
      </c>
      <c r="N1249">
        <v>10477831</v>
      </c>
      <c r="O1249">
        <v>9095764</v>
      </c>
      <c r="P1249">
        <v>1382067</v>
      </c>
    </row>
    <row r="1250" spans="1:16" x14ac:dyDescent="0.3">
      <c r="A1250">
        <v>2249</v>
      </c>
      <c r="B1250" t="s">
        <v>558</v>
      </c>
      <c r="C1250">
        <v>2023</v>
      </c>
      <c r="D1250" t="s">
        <v>50</v>
      </c>
      <c r="E1250" t="s">
        <v>40</v>
      </c>
      <c r="F1250" t="s">
        <v>41</v>
      </c>
      <c r="G1250" t="s">
        <v>90</v>
      </c>
      <c r="H1250" t="s">
        <v>37</v>
      </c>
      <c r="I1250" t="s">
        <v>32</v>
      </c>
      <c r="J1250">
        <v>1</v>
      </c>
      <c r="K1250">
        <v>21</v>
      </c>
      <c r="L1250">
        <v>8</v>
      </c>
      <c r="M1250">
        <v>1378162</v>
      </c>
      <c r="N1250">
        <v>11025296</v>
      </c>
      <c r="O1250">
        <v>8767569</v>
      </c>
      <c r="P1250">
        <v>2257727</v>
      </c>
    </row>
    <row r="1251" spans="1:16" x14ac:dyDescent="0.3">
      <c r="A1251">
        <v>2250</v>
      </c>
      <c r="B1251" t="s">
        <v>344</v>
      </c>
      <c r="C1251">
        <v>2023</v>
      </c>
      <c r="D1251" t="s">
        <v>74</v>
      </c>
      <c r="E1251" t="s">
        <v>18</v>
      </c>
      <c r="F1251" t="s">
        <v>72</v>
      </c>
      <c r="G1251" t="s">
        <v>30</v>
      </c>
      <c r="H1251" t="s">
        <v>54</v>
      </c>
      <c r="I1251" t="s">
        <v>48</v>
      </c>
      <c r="J1251">
        <v>1.5</v>
      </c>
      <c r="K1251">
        <v>21</v>
      </c>
      <c r="L1251">
        <v>3</v>
      </c>
      <c r="M1251">
        <v>1077344</v>
      </c>
      <c r="N1251">
        <v>3232032</v>
      </c>
      <c r="O1251">
        <v>2602896</v>
      </c>
      <c r="P1251">
        <v>629136</v>
      </c>
    </row>
    <row r="1252" spans="1:16" x14ac:dyDescent="0.3">
      <c r="A1252">
        <v>2251</v>
      </c>
      <c r="B1252" t="s">
        <v>146</v>
      </c>
      <c r="C1252">
        <v>2023</v>
      </c>
      <c r="D1252" t="s">
        <v>29</v>
      </c>
      <c r="E1252" t="s">
        <v>18</v>
      </c>
      <c r="F1252" t="s">
        <v>19</v>
      </c>
      <c r="G1252" t="s">
        <v>51</v>
      </c>
      <c r="H1252" t="s">
        <v>63</v>
      </c>
      <c r="I1252" t="s">
        <v>22</v>
      </c>
      <c r="J1252">
        <v>2</v>
      </c>
      <c r="K1252">
        <v>23</v>
      </c>
      <c r="L1252">
        <v>6</v>
      </c>
      <c r="M1252">
        <v>1246034</v>
      </c>
      <c r="N1252">
        <v>7476204</v>
      </c>
      <c r="O1252">
        <v>5685820</v>
      </c>
      <c r="P1252">
        <v>1790384</v>
      </c>
    </row>
    <row r="1253" spans="1:16" x14ac:dyDescent="0.3">
      <c r="A1253">
        <v>2252</v>
      </c>
      <c r="B1253" t="s">
        <v>303</v>
      </c>
      <c r="C1253">
        <v>2023</v>
      </c>
      <c r="D1253" t="s">
        <v>74</v>
      </c>
      <c r="E1253" t="s">
        <v>44</v>
      </c>
      <c r="F1253" t="s">
        <v>62</v>
      </c>
      <c r="G1253" t="s">
        <v>46</v>
      </c>
      <c r="H1253" t="s">
        <v>21</v>
      </c>
      <c r="I1253" t="s">
        <v>22</v>
      </c>
      <c r="J1253">
        <v>1.5</v>
      </c>
      <c r="K1253">
        <v>18</v>
      </c>
      <c r="L1253">
        <v>3</v>
      </c>
      <c r="M1253">
        <v>1071642</v>
      </c>
      <c r="N1253">
        <v>3214926</v>
      </c>
      <c r="O1253">
        <v>2775206</v>
      </c>
      <c r="P1253">
        <v>439720</v>
      </c>
    </row>
    <row r="1254" spans="1:16" x14ac:dyDescent="0.3">
      <c r="A1254">
        <v>2253</v>
      </c>
      <c r="B1254" t="s">
        <v>365</v>
      </c>
      <c r="C1254">
        <v>2024</v>
      </c>
      <c r="D1254" t="s">
        <v>61</v>
      </c>
      <c r="E1254" t="s">
        <v>40</v>
      </c>
      <c r="F1254" t="s">
        <v>104</v>
      </c>
      <c r="G1254" t="s">
        <v>51</v>
      </c>
      <c r="H1254" t="s">
        <v>100</v>
      </c>
      <c r="I1254" t="s">
        <v>22</v>
      </c>
      <c r="J1254">
        <v>2</v>
      </c>
      <c r="K1254">
        <v>18</v>
      </c>
      <c r="L1254">
        <v>8</v>
      </c>
      <c r="M1254">
        <v>735407</v>
      </c>
      <c r="N1254">
        <v>5883256</v>
      </c>
      <c r="O1254">
        <v>4630969</v>
      </c>
      <c r="P1254">
        <v>1252287</v>
      </c>
    </row>
    <row r="1255" spans="1:16" x14ac:dyDescent="0.3">
      <c r="A1255">
        <v>2254</v>
      </c>
      <c r="B1255" t="s">
        <v>427</v>
      </c>
      <c r="C1255">
        <v>2024</v>
      </c>
      <c r="D1255" t="s">
        <v>50</v>
      </c>
      <c r="E1255" t="s">
        <v>44</v>
      </c>
      <c r="F1255" t="s">
        <v>45</v>
      </c>
      <c r="G1255" t="s">
        <v>90</v>
      </c>
      <c r="H1255" t="s">
        <v>21</v>
      </c>
      <c r="I1255" t="s">
        <v>22</v>
      </c>
      <c r="J1255">
        <v>1.2</v>
      </c>
      <c r="K1255">
        <v>16</v>
      </c>
      <c r="L1255">
        <v>1</v>
      </c>
      <c r="M1255">
        <v>800797</v>
      </c>
      <c r="N1255">
        <v>800797</v>
      </c>
      <c r="O1255">
        <v>720103</v>
      </c>
      <c r="P1255">
        <v>80694</v>
      </c>
    </row>
    <row r="1256" spans="1:16" x14ac:dyDescent="0.3">
      <c r="A1256">
        <v>2255</v>
      </c>
      <c r="B1256" t="s">
        <v>239</v>
      </c>
      <c r="C1256">
        <v>2023</v>
      </c>
      <c r="D1256" t="s">
        <v>34</v>
      </c>
      <c r="E1256" t="s">
        <v>40</v>
      </c>
      <c r="F1256" t="s">
        <v>104</v>
      </c>
      <c r="G1256" t="s">
        <v>46</v>
      </c>
      <c r="H1256" t="s">
        <v>79</v>
      </c>
      <c r="I1256" t="s">
        <v>48</v>
      </c>
      <c r="J1256">
        <v>1</v>
      </c>
      <c r="K1256">
        <v>22</v>
      </c>
      <c r="L1256">
        <v>1</v>
      </c>
      <c r="M1256">
        <v>896531</v>
      </c>
      <c r="N1256">
        <v>896531</v>
      </c>
      <c r="O1256">
        <v>739731</v>
      </c>
      <c r="P1256">
        <v>156800</v>
      </c>
    </row>
    <row r="1257" spans="1:16" x14ac:dyDescent="0.3">
      <c r="A1257">
        <v>2256</v>
      </c>
      <c r="B1257" t="s">
        <v>665</v>
      </c>
      <c r="C1257">
        <v>2023</v>
      </c>
      <c r="D1257" t="s">
        <v>76</v>
      </c>
      <c r="E1257" t="s">
        <v>18</v>
      </c>
      <c r="F1257" t="s">
        <v>72</v>
      </c>
      <c r="G1257" t="s">
        <v>46</v>
      </c>
      <c r="H1257" t="s">
        <v>56</v>
      </c>
      <c r="I1257" t="s">
        <v>48</v>
      </c>
      <c r="J1257">
        <v>1</v>
      </c>
      <c r="K1257">
        <v>23</v>
      </c>
      <c r="L1257">
        <v>6</v>
      </c>
      <c r="M1257">
        <v>749162</v>
      </c>
      <c r="N1257">
        <v>4494972</v>
      </c>
      <c r="O1257">
        <v>3554821</v>
      </c>
      <c r="P1257">
        <v>940151</v>
      </c>
    </row>
    <row r="1258" spans="1:16" x14ac:dyDescent="0.3">
      <c r="A1258">
        <v>2257</v>
      </c>
      <c r="B1258" t="s">
        <v>685</v>
      </c>
      <c r="C1258">
        <v>2023</v>
      </c>
      <c r="D1258" t="s">
        <v>50</v>
      </c>
      <c r="E1258" t="s">
        <v>40</v>
      </c>
      <c r="F1258" t="s">
        <v>68</v>
      </c>
      <c r="G1258" t="s">
        <v>46</v>
      </c>
      <c r="H1258" t="s">
        <v>37</v>
      </c>
      <c r="I1258" t="s">
        <v>32</v>
      </c>
      <c r="J1258">
        <v>1.2</v>
      </c>
      <c r="K1258">
        <v>21</v>
      </c>
      <c r="L1258">
        <v>1</v>
      </c>
      <c r="M1258">
        <v>1460582</v>
      </c>
      <c r="N1258">
        <v>1460582</v>
      </c>
      <c r="O1258">
        <v>1185460</v>
      </c>
      <c r="P1258">
        <v>275122</v>
      </c>
    </row>
    <row r="1259" spans="1:16" x14ac:dyDescent="0.3">
      <c r="A1259">
        <v>2258</v>
      </c>
      <c r="B1259" t="s">
        <v>226</v>
      </c>
      <c r="C1259">
        <v>2024</v>
      </c>
      <c r="D1259" t="s">
        <v>17</v>
      </c>
      <c r="E1259" t="s">
        <v>25</v>
      </c>
      <c r="F1259" t="s">
        <v>58</v>
      </c>
      <c r="G1259" t="s">
        <v>51</v>
      </c>
      <c r="H1259" t="s">
        <v>100</v>
      </c>
      <c r="I1259" t="s">
        <v>22</v>
      </c>
      <c r="J1259">
        <v>1</v>
      </c>
      <c r="K1259">
        <v>22</v>
      </c>
      <c r="L1259">
        <v>7</v>
      </c>
      <c r="M1259">
        <v>604949</v>
      </c>
      <c r="N1259">
        <v>4234643</v>
      </c>
      <c r="O1259">
        <v>3450334</v>
      </c>
      <c r="P1259">
        <v>784309</v>
      </c>
    </row>
    <row r="1260" spans="1:16" x14ac:dyDescent="0.3">
      <c r="A1260">
        <v>2259</v>
      </c>
      <c r="B1260" t="s">
        <v>23</v>
      </c>
      <c r="C1260">
        <v>2023</v>
      </c>
      <c r="D1260" t="s">
        <v>24</v>
      </c>
      <c r="E1260" t="s">
        <v>44</v>
      </c>
      <c r="F1260" t="s">
        <v>70</v>
      </c>
      <c r="G1260" t="s">
        <v>59</v>
      </c>
      <c r="H1260" t="s">
        <v>100</v>
      </c>
      <c r="I1260" t="s">
        <v>22</v>
      </c>
      <c r="J1260">
        <v>2</v>
      </c>
      <c r="K1260">
        <v>21</v>
      </c>
      <c r="L1260">
        <v>3</v>
      </c>
      <c r="M1260">
        <v>1349534</v>
      </c>
      <c r="N1260">
        <v>4048602</v>
      </c>
      <c r="O1260">
        <v>3440922</v>
      </c>
      <c r="P1260">
        <v>607680</v>
      </c>
    </row>
    <row r="1261" spans="1:16" x14ac:dyDescent="0.3">
      <c r="A1261">
        <v>2260</v>
      </c>
      <c r="B1261" t="s">
        <v>134</v>
      </c>
      <c r="C1261">
        <v>2024</v>
      </c>
      <c r="D1261" t="s">
        <v>39</v>
      </c>
      <c r="E1261" t="s">
        <v>25</v>
      </c>
      <c r="F1261" t="s">
        <v>26</v>
      </c>
      <c r="G1261" t="s">
        <v>20</v>
      </c>
      <c r="H1261" t="s">
        <v>52</v>
      </c>
      <c r="I1261" t="s">
        <v>22</v>
      </c>
      <c r="J1261">
        <v>1.5</v>
      </c>
      <c r="K1261">
        <v>20</v>
      </c>
      <c r="L1261">
        <v>1</v>
      </c>
      <c r="M1261">
        <v>866313</v>
      </c>
      <c r="N1261">
        <v>866313</v>
      </c>
      <c r="O1261">
        <v>774042</v>
      </c>
      <c r="P1261">
        <v>92271</v>
      </c>
    </row>
    <row r="1262" spans="1:16" x14ac:dyDescent="0.3">
      <c r="A1262">
        <v>2261</v>
      </c>
      <c r="B1262" t="s">
        <v>686</v>
      </c>
      <c r="C1262">
        <v>2023</v>
      </c>
      <c r="D1262" t="s">
        <v>34</v>
      </c>
      <c r="E1262" t="s">
        <v>25</v>
      </c>
      <c r="F1262" t="s">
        <v>77</v>
      </c>
      <c r="G1262" t="s">
        <v>30</v>
      </c>
      <c r="H1262" t="s">
        <v>56</v>
      </c>
      <c r="I1262" t="s">
        <v>48</v>
      </c>
      <c r="J1262">
        <v>1</v>
      </c>
      <c r="K1262">
        <v>23</v>
      </c>
      <c r="L1262">
        <v>4</v>
      </c>
      <c r="M1262">
        <v>810532</v>
      </c>
      <c r="N1262">
        <v>3242128</v>
      </c>
      <c r="O1262">
        <v>2771933</v>
      </c>
      <c r="P1262">
        <v>470195</v>
      </c>
    </row>
    <row r="1263" spans="1:16" x14ac:dyDescent="0.3">
      <c r="A1263">
        <v>2262</v>
      </c>
      <c r="B1263" t="s">
        <v>687</v>
      </c>
      <c r="C1263">
        <v>2024</v>
      </c>
      <c r="D1263" t="s">
        <v>61</v>
      </c>
      <c r="E1263" t="s">
        <v>44</v>
      </c>
      <c r="F1263" t="s">
        <v>62</v>
      </c>
      <c r="G1263" t="s">
        <v>59</v>
      </c>
      <c r="H1263" t="s">
        <v>52</v>
      </c>
      <c r="I1263" t="s">
        <v>22</v>
      </c>
      <c r="J1263">
        <v>1</v>
      </c>
      <c r="K1263">
        <v>21</v>
      </c>
      <c r="L1263">
        <v>6</v>
      </c>
      <c r="M1263">
        <v>1022771</v>
      </c>
      <c r="N1263">
        <v>6136626</v>
      </c>
      <c r="O1263">
        <v>4850926</v>
      </c>
      <c r="P1263">
        <v>1285700</v>
      </c>
    </row>
    <row r="1264" spans="1:16" x14ac:dyDescent="0.3">
      <c r="A1264">
        <v>2263</v>
      </c>
      <c r="B1264" t="s">
        <v>422</v>
      </c>
      <c r="C1264">
        <v>2023</v>
      </c>
      <c r="D1264" t="s">
        <v>67</v>
      </c>
      <c r="E1264" t="s">
        <v>18</v>
      </c>
      <c r="F1264" t="s">
        <v>19</v>
      </c>
      <c r="G1264" t="s">
        <v>20</v>
      </c>
      <c r="H1264" t="s">
        <v>47</v>
      </c>
      <c r="I1264" t="s">
        <v>48</v>
      </c>
      <c r="J1264">
        <v>1.5</v>
      </c>
      <c r="K1264">
        <v>19</v>
      </c>
      <c r="L1264">
        <v>6</v>
      </c>
      <c r="M1264">
        <v>827193</v>
      </c>
      <c r="N1264">
        <v>4963158</v>
      </c>
      <c r="O1264">
        <v>4066324</v>
      </c>
      <c r="P1264">
        <v>896834</v>
      </c>
    </row>
    <row r="1265" spans="1:16" x14ac:dyDescent="0.3">
      <c r="A1265">
        <v>2264</v>
      </c>
      <c r="B1265" t="s">
        <v>387</v>
      </c>
      <c r="C1265">
        <v>2024</v>
      </c>
      <c r="D1265" t="s">
        <v>97</v>
      </c>
      <c r="E1265" t="s">
        <v>44</v>
      </c>
      <c r="F1265" t="s">
        <v>70</v>
      </c>
      <c r="G1265" t="s">
        <v>59</v>
      </c>
      <c r="H1265" t="s">
        <v>31</v>
      </c>
      <c r="I1265" t="s">
        <v>32</v>
      </c>
      <c r="J1265">
        <v>1.2</v>
      </c>
      <c r="K1265">
        <v>18</v>
      </c>
      <c r="L1265">
        <v>7</v>
      </c>
      <c r="M1265">
        <v>1140197</v>
      </c>
      <c r="N1265">
        <v>7981379</v>
      </c>
      <c r="O1265">
        <v>6820334</v>
      </c>
      <c r="P1265">
        <v>1161045</v>
      </c>
    </row>
    <row r="1266" spans="1:16" x14ac:dyDescent="0.3">
      <c r="A1266">
        <v>2265</v>
      </c>
      <c r="B1266" t="s">
        <v>268</v>
      </c>
      <c r="C1266">
        <v>2023</v>
      </c>
      <c r="D1266" t="s">
        <v>74</v>
      </c>
      <c r="E1266" t="s">
        <v>40</v>
      </c>
      <c r="F1266" t="s">
        <v>120</v>
      </c>
      <c r="G1266" t="s">
        <v>27</v>
      </c>
      <c r="H1266" t="s">
        <v>37</v>
      </c>
      <c r="I1266" t="s">
        <v>32</v>
      </c>
      <c r="J1266">
        <v>2</v>
      </c>
      <c r="K1266">
        <v>21</v>
      </c>
      <c r="L1266">
        <v>5</v>
      </c>
      <c r="M1266">
        <v>842593</v>
      </c>
      <c r="N1266">
        <v>4212965</v>
      </c>
      <c r="O1266">
        <v>3600472</v>
      </c>
      <c r="P1266">
        <v>612493</v>
      </c>
    </row>
    <row r="1267" spans="1:16" x14ac:dyDescent="0.3">
      <c r="A1267">
        <v>2266</v>
      </c>
      <c r="B1267" t="s">
        <v>688</v>
      </c>
      <c r="C1267">
        <v>2024</v>
      </c>
      <c r="D1267" t="s">
        <v>76</v>
      </c>
      <c r="E1267" t="s">
        <v>40</v>
      </c>
      <c r="F1267" t="s">
        <v>41</v>
      </c>
      <c r="G1267" t="s">
        <v>90</v>
      </c>
      <c r="H1267" t="s">
        <v>47</v>
      </c>
      <c r="I1267" t="s">
        <v>48</v>
      </c>
      <c r="J1267">
        <v>1.5</v>
      </c>
      <c r="K1267">
        <v>20</v>
      </c>
      <c r="L1267">
        <v>1</v>
      </c>
      <c r="M1267">
        <v>1190074</v>
      </c>
      <c r="N1267">
        <v>1190074</v>
      </c>
      <c r="O1267">
        <v>1062853</v>
      </c>
      <c r="P1267">
        <v>127221</v>
      </c>
    </row>
    <row r="1268" spans="1:16" x14ac:dyDescent="0.3">
      <c r="A1268">
        <v>2267</v>
      </c>
      <c r="B1268" t="s">
        <v>384</v>
      </c>
      <c r="C1268">
        <v>2023</v>
      </c>
      <c r="D1268" t="s">
        <v>39</v>
      </c>
      <c r="E1268" t="s">
        <v>40</v>
      </c>
      <c r="F1268" t="s">
        <v>104</v>
      </c>
      <c r="G1268" t="s">
        <v>46</v>
      </c>
      <c r="H1268" t="s">
        <v>56</v>
      </c>
      <c r="I1268" t="s">
        <v>48</v>
      </c>
      <c r="J1268">
        <v>1.5</v>
      </c>
      <c r="K1268">
        <v>18</v>
      </c>
      <c r="L1268">
        <v>3</v>
      </c>
      <c r="M1268">
        <v>1377529</v>
      </c>
      <c r="N1268">
        <v>4132587</v>
      </c>
      <c r="O1268">
        <v>3356681</v>
      </c>
      <c r="P1268">
        <v>775906</v>
      </c>
    </row>
    <row r="1269" spans="1:16" x14ac:dyDescent="0.3">
      <c r="A1269">
        <v>2268</v>
      </c>
      <c r="B1269" t="s">
        <v>316</v>
      </c>
      <c r="C1269">
        <v>2023</v>
      </c>
      <c r="D1269" t="s">
        <v>43</v>
      </c>
      <c r="E1269" t="s">
        <v>44</v>
      </c>
      <c r="F1269" t="s">
        <v>45</v>
      </c>
      <c r="G1269" t="s">
        <v>51</v>
      </c>
      <c r="H1269" t="s">
        <v>79</v>
      </c>
      <c r="I1269" t="s">
        <v>48</v>
      </c>
      <c r="J1269">
        <v>2</v>
      </c>
      <c r="K1269">
        <v>19</v>
      </c>
      <c r="L1269">
        <v>5</v>
      </c>
      <c r="M1269">
        <v>1064307</v>
      </c>
      <c r="N1269">
        <v>5321535</v>
      </c>
      <c r="O1269">
        <v>4422828</v>
      </c>
      <c r="P1269">
        <v>898707</v>
      </c>
    </row>
    <row r="1270" spans="1:16" x14ac:dyDescent="0.3">
      <c r="A1270">
        <v>2269</v>
      </c>
      <c r="B1270" t="s">
        <v>408</v>
      </c>
      <c r="C1270">
        <v>2024</v>
      </c>
      <c r="D1270" t="s">
        <v>50</v>
      </c>
      <c r="E1270" t="s">
        <v>25</v>
      </c>
      <c r="F1270" t="s">
        <v>26</v>
      </c>
      <c r="G1270" t="s">
        <v>90</v>
      </c>
      <c r="H1270" t="s">
        <v>52</v>
      </c>
      <c r="I1270" t="s">
        <v>22</v>
      </c>
      <c r="J1270">
        <v>1.2</v>
      </c>
      <c r="K1270">
        <v>20</v>
      </c>
      <c r="L1270">
        <v>2</v>
      </c>
      <c r="M1270">
        <v>1190949</v>
      </c>
      <c r="N1270">
        <v>2381898</v>
      </c>
      <c r="O1270">
        <v>1943962</v>
      </c>
      <c r="P1270">
        <v>437936</v>
      </c>
    </row>
    <row r="1271" spans="1:16" x14ac:dyDescent="0.3">
      <c r="A1271">
        <v>2270</v>
      </c>
      <c r="B1271" t="s">
        <v>677</v>
      </c>
      <c r="C1271">
        <v>2024</v>
      </c>
      <c r="D1271" t="s">
        <v>29</v>
      </c>
      <c r="E1271" t="s">
        <v>44</v>
      </c>
      <c r="F1271" t="s">
        <v>62</v>
      </c>
      <c r="G1271" t="s">
        <v>51</v>
      </c>
      <c r="H1271" t="s">
        <v>79</v>
      </c>
      <c r="I1271" t="s">
        <v>48</v>
      </c>
      <c r="J1271">
        <v>1.5</v>
      </c>
      <c r="K1271">
        <v>20</v>
      </c>
      <c r="L1271">
        <v>5</v>
      </c>
      <c r="M1271">
        <v>1144636</v>
      </c>
      <c r="N1271">
        <v>5723180</v>
      </c>
      <c r="O1271">
        <v>4937737</v>
      </c>
      <c r="P1271">
        <v>785443</v>
      </c>
    </row>
    <row r="1272" spans="1:16" x14ac:dyDescent="0.3">
      <c r="A1272">
        <v>2271</v>
      </c>
      <c r="B1272" t="s">
        <v>335</v>
      </c>
      <c r="C1272">
        <v>2023</v>
      </c>
      <c r="D1272" t="s">
        <v>61</v>
      </c>
      <c r="E1272" t="s">
        <v>18</v>
      </c>
      <c r="F1272" t="s">
        <v>72</v>
      </c>
      <c r="G1272" t="s">
        <v>27</v>
      </c>
      <c r="H1272" t="s">
        <v>54</v>
      </c>
      <c r="I1272" t="s">
        <v>48</v>
      </c>
      <c r="J1272">
        <v>1</v>
      </c>
      <c r="K1272">
        <v>20</v>
      </c>
      <c r="L1272">
        <v>3</v>
      </c>
      <c r="M1272">
        <v>661404</v>
      </c>
      <c r="N1272">
        <v>1984212</v>
      </c>
      <c r="O1272">
        <v>1684398</v>
      </c>
      <c r="P1272">
        <v>299814</v>
      </c>
    </row>
    <row r="1273" spans="1:16" x14ac:dyDescent="0.3">
      <c r="A1273">
        <v>2272</v>
      </c>
      <c r="B1273" t="s">
        <v>440</v>
      </c>
      <c r="C1273">
        <v>2023</v>
      </c>
      <c r="D1273" t="s">
        <v>34</v>
      </c>
      <c r="E1273" t="s">
        <v>44</v>
      </c>
      <c r="F1273" t="s">
        <v>70</v>
      </c>
      <c r="G1273" t="s">
        <v>90</v>
      </c>
      <c r="H1273" t="s">
        <v>21</v>
      </c>
      <c r="I1273" t="s">
        <v>22</v>
      </c>
      <c r="J1273">
        <v>1</v>
      </c>
      <c r="K1273">
        <v>19</v>
      </c>
      <c r="L1273">
        <v>7</v>
      </c>
      <c r="M1273">
        <v>1466866</v>
      </c>
      <c r="N1273">
        <v>10268062</v>
      </c>
      <c r="O1273">
        <v>8744633</v>
      </c>
      <c r="P1273">
        <v>1523429</v>
      </c>
    </row>
    <row r="1274" spans="1:16" x14ac:dyDescent="0.3">
      <c r="A1274">
        <v>2273</v>
      </c>
      <c r="B1274" t="s">
        <v>578</v>
      </c>
      <c r="C1274">
        <v>2024</v>
      </c>
      <c r="D1274" t="s">
        <v>74</v>
      </c>
      <c r="E1274" t="s">
        <v>25</v>
      </c>
      <c r="F1274" t="s">
        <v>26</v>
      </c>
      <c r="G1274" t="s">
        <v>27</v>
      </c>
      <c r="H1274" t="s">
        <v>79</v>
      </c>
      <c r="I1274" t="s">
        <v>48</v>
      </c>
      <c r="J1274">
        <v>2</v>
      </c>
      <c r="K1274">
        <v>19</v>
      </c>
      <c r="L1274">
        <v>8</v>
      </c>
      <c r="M1274">
        <v>760593</v>
      </c>
      <c r="N1274">
        <v>6084744</v>
      </c>
      <c r="O1274">
        <v>4870492</v>
      </c>
      <c r="P1274">
        <v>1214252</v>
      </c>
    </row>
    <row r="1275" spans="1:16" x14ac:dyDescent="0.3">
      <c r="A1275">
        <v>2274</v>
      </c>
      <c r="B1275" t="s">
        <v>670</v>
      </c>
      <c r="C1275">
        <v>2023</v>
      </c>
      <c r="D1275" t="s">
        <v>74</v>
      </c>
      <c r="E1275" t="s">
        <v>18</v>
      </c>
      <c r="F1275" t="s">
        <v>35</v>
      </c>
      <c r="G1275" t="s">
        <v>46</v>
      </c>
      <c r="H1275" t="s">
        <v>56</v>
      </c>
      <c r="I1275" t="s">
        <v>48</v>
      </c>
      <c r="J1275">
        <v>1</v>
      </c>
      <c r="K1275">
        <v>22</v>
      </c>
      <c r="L1275">
        <v>6</v>
      </c>
      <c r="M1275">
        <v>754941</v>
      </c>
      <c r="N1275">
        <v>4529646</v>
      </c>
      <c r="O1275">
        <v>4065128</v>
      </c>
      <c r="P1275">
        <v>464518</v>
      </c>
    </row>
    <row r="1276" spans="1:16" x14ac:dyDescent="0.3">
      <c r="A1276">
        <v>2275</v>
      </c>
      <c r="B1276" t="s">
        <v>662</v>
      </c>
      <c r="C1276">
        <v>2024</v>
      </c>
      <c r="D1276" t="s">
        <v>17</v>
      </c>
      <c r="E1276" t="s">
        <v>40</v>
      </c>
      <c r="F1276" t="s">
        <v>120</v>
      </c>
      <c r="G1276" t="s">
        <v>59</v>
      </c>
      <c r="H1276" t="s">
        <v>31</v>
      </c>
      <c r="I1276" t="s">
        <v>32</v>
      </c>
      <c r="J1276">
        <v>1.2</v>
      </c>
      <c r="K1276">
        <v>23</v>
      </c>
      <c r="L1276">
        <v>6</v>
      </c>
      <c r="M1276">
        <v>1240993</v>
      </c>
      <c r="N1276">
        <v>7445958</v>
      </c>
      <c r="O1276">
        <v>5972118</v>
      </c>
      <c r="P1276">
        <v>1473840</v>
      </c>
    </row>
    <row r="1277" spans="1:16" x14ac:dyDescent="0.3">
      <c r="A1277">
        <v>2276</v>
      </c>
      <c r="B1277" t="s">
        <v>333</v>
      </c>
      <c r="C1277">
        <v>2023</v>
      </c>
      <c r="D1277" t="s">
        <v>67</v>
      </c>
      <c r="E1277" t="s">
        <v>40</v>
      </c>
      <c r="F1277" t="s">
        <v>41</v>
      </c>
      <c r="G1277" t="s">
        <v>36</v>
      </c>
      <c r="H1277" t="s">
        <v>79</v>
      </c>
      <c r="I1277" t="s">
        <v>48</v>
      </c>
      <c r="J1277">
        <v>2</v>
      </c>
      <c r="K1277">
        <v>19</v>
      </c>
      <c r="L1277">
        <v>3</v>
      </c>
      <c r="M1277">
        <v>707955</v>
      </c>
      <c r="N1277">
        <v>2123865</v>
      </c>
      <c r="O1277">
        <v>1777300</v>
      </c>
      <c r="P1277">
        <v>346565</v>
      </c>
    </row>
    <row r="1278" spans="1:16" x14ac:dyDescent="0.3">
      <c r="A1278">
        <v>2277</v>
      </c>
      <c r="B1278" t="s">
        <v>334</v>
      </c>
      <c r="C1278">
        <v>2024</v>
      </c>
      <c r="D1278" t="s">
        <v>76</v>
      </c>
      <c r="E1278" t="s">
        <v>40</v>
      </c>
      <c r="F1278" t="s">
        <v>120</v>
      </c>
      <c r="G1278" t="s">
        <v>46</v>
      </c>
      <c r="H1278" t="s">
        <v>56</v>
      </c>
      <c r="I1278" t="s">
        <v>48</v>
      </c>
      <c r="J1278">
        <v>1.5</v>
      </c>
      <c r="K1278">
        <v>18</v>
      </c>
      <c r="L1278">
        <v>2</v>
      </c>
      <c r="M1278">
        <v>940503</v>
      </c>
      <c r="N1278">
        <v>1881006</v>
      </c>
      <c r="O1278">
        <v>1562471</v>
      </c>
      <c r="P1278">
        <v>318535</v>
      </c>
    </row>
    <row r="1279" spans="1:16" x14ac:dyDescent="0.3">
      <c r="A1279">
        <v>2278</v>
      </c>
      <c r="B1279" t="s">
        <v>589</v>
      </c>
      <c r="C1279">
        <v>2024</v>
      </c>
      <c r="D1279" t="s">
        <v>61</v>
      </c>
      <c r="E1279" t="s">
        <v>18</v>
      </c>
      <c r="F1279" t="s">
        <v>35</v>
      </c>
      <c r="G1279" t="s">
        <v>36</v>
      </c>
      <c r="H1279" t="s">
        <v>79</v>
      </c>
      <c r="I1279" t="s">
        <v>48</v>
      </c>
      <c r="J1279">
        <v>1.2</v>
      </c>
      <c r="K1279">
        <v>19</v>
      </c>
      <c r="L1279">
        <v>5</v>
      </c>
      <c r="M1279">
        <v>712858</v>
      </c>
      <c r="N1279">
        <v>3564290</v>
      </c>
      <c r="O1279">
        <v>2841885</v>
      </c>
      <c r="P1279">
        <v>722405</v>
      </c>
    </row>
    <row r="1280" spans="1:16" x14ac:dyDescent="0.3">
      <c r="A1280">
        <v>2279</v>
      </c>
      <c r="B1280" t="s">
        <v>365</v>
      </c>
      <c r="C1280">
        <v>2024</v>
      </c>
      <c r="D1280" t="s">
        <v>61</v>
      </c>
      <c r="E1280" t="s">
        <v>18</v>
      </c>
      <c r="F1280" t="s">
        <v>35</v>
      </c>
      <c r="G1280" t="s">
        <v>51</v>
      </c>
      <c r="H1280" t="s">
        <v>100</v>
      </c>
      <c r="I1280" t="s">
        <v>22</v>
      </c>
      <c r="J1280">
        <v>1.5</v>
      </c>
      <c r="K1280">
        <v>20</v>
      </c>
      <c r="L1280">
        <v>5</v>
      </c>
      <c r="M1280">
        <v>948664</v>
      </c>
      <c r="N1280">
        <v>4743320</v>
      </c>
      <c r="O1280">
        <v>3956426</v>
      </c>
      <c r="P1280">
        <v>786894</v>
      </c>
    </row>
    <row r="1281" spans="1:16" x14ac:dyDescent="0.3">
      <c r="A1281">
        <v>2280</v>
      </c>
      <c r="B1281" t="s">
        <v>689</v>
      </c>
      <c r="C1281">
        <v>2023</v>
      </c>
      <c r="D1281" t="s">
        <v>17</v>
      </c>
      <c r="E1281" t="s">
        <v>25</v>
      </c>
      <c r="F1281" t="s">
        <v>58</v>
      </c>
      <c r="G1281" t="s">
        <v>46</v>
      </c>
      <c r="H1281" t="s">
        <v>54</v>
      </c>
      <c r="I1281" t="s">
        <v>48</v>
      </c>
      <c r="J1281">
        <v>2</v>
      </c>
      <c r="K1281">
        <v>23</v>
      </c>
      <c r="L1281">
        <v>3</v>
      </c>
      <c r="M1281">
        <v>1095084</v>
      </c>
      <c r="N1281">
        <v>3285252</v>
      </c>
      <c r="O1281">
        <v>2544909</v>
      </c>
      <c r="P1281">
        <v>740343</v>
      </c>
    </row>
    <row r="1282" spans="1:16" x14ac:dyDescent="0.3">
      <c r="A1282">
        <v>2281</v>
      </c>
      <c r="B1282" t="s">
        <v>504</v>
      </c>
      <c r="C1282">
        <v>2023</v>
      </c>
      <c r="D1282" t="s">
        <v>97</v>
      </c>
      <c r="E1282" t="s">
        <v>25</v>
      </c>
      <c r="F1282" t="s">
        <v>84</v>
      </c>
      <c r="G1282" t="s">
        <v>30</v>
      </c>
      <c r="H1282" t="s">
        <v>54</v>
      </c>
      <c r="I1282" t="s">
        <v>48</v>
      </c>
      <c r="J1282">
        <v>2</v>
      </c>
      <c r="K1282">
        <v>22</v>
      </c>
      <c r="L1282">
        <v>2</v>
      </c>
      <c r="M1282">
        <v>1340946</v>
      </c>
      <c r="N1282">
        <v>2681892</v>
      </c>
      <c r="O1282">
        <v>2258735</v>
      </c>
      <c r="P1282">
        <v>423157</v>
      </c>
    </row>
    <row r="1283" spans="1:16" x14ac:dyDescent="0.3">
      <c r="A1283">
        <v>2282</v>
      </c>
      <c r="B1283" t="s">
        <v>690</v>
      </c>
      <c r="C1283">
        <v>2024</v>
      </c>
      <c r="D1283" t="s">
        <v>74</v>
      </c>
      <c r="E1283" t="s">
        <v>18</v>
      </c>
      <c r="F1283" t="s">
        <v>35</v>
      </c>
      <c r="G1283" t="s">
        <v>46</v>
      </c>
      <c r="H1283" t="s">
        <v>52</v>
      </c>
      <c r="I1283" t="s">
        <v>22</v>
      </c>
      <c r="J1283">
        <v>1.2</v>
      </c>
      <c r="K1283">
        <v>19</v>
      </c>
      <c r="L1283">
        <v>1</v>
      </c>
      <c r="M1283">
        <v>926284</v>
      </c>
      <c r="N1283">
        <v>926284</v>
      </c>
      <c r="O1283">
        <v>832786</v>
      </c>
      <c r="P1283">
        <v>93498</v>
      </c>
    </row>
    <row r="1284" spans="1:16" x14ac:dyDescent="0.3">
      <c r="A1284">
        <v>2283</v>
      </c>
      <c r="B1284" t="s">
        <v>691</v>
      </c>
      <c r="C1284">
        <v>2024</v>
      </c>
      <c r="D1284" t="s">
        <v>34</v>
      </c>
      <c r="E1284" t="s">
        <v>18</v>
      </c>
      <c r="F1284" t="s">
        <v>35</v>
      </c>
      <c r="G1284" t="s">
        <v>90</v>
      </c>
      <c r="H1284" t="s">
        <v>63</v>
      </c>
      <c r="I1284" t="s">
        <v>22</v>
      </c>
      <c r="J1284">
        <v>1</v>
      </c>
      <c r="K1284">
        <v>23</v>
      </c>
      <c r="L1284">
        <v>1</v>
      </c>
      <c r="M1284">
        <v>1039271</v>
      </c>
      <c r="N1284">
        <v>1039271</v>
      </c>
      <c r="O1284">
        <v>833937</v>
      </c>
      <c r="P1284">
        <v>205334</v>
      </c>
    </row>
    <row r="1285" spans="1:16" x14ac:dyDescent="0.3">
      <c r="A1285">
        <v>2284</v>
      </c>
      <c r="B1285" t="s">
        <v>692</v>
      </c>
      <c r="C1285">
        <v>2023</v>
      </c>
      <c r="D1285" t="s">
        <v>97</v>
      </c>
      <c r="E1285" t="s">
        <v>40</v>
      </c>
      <c r="F1285" t="s">
        <v>104</v>
      </c>
      <c r="G1285" t="s">
        <v>20</v>
      </c>
      <c r="H1285" t="s">
        <v>79</v>
      </c>
      <c r="I1285" t="s">
        <v>48</v>
      </c>
      <c r="J1285">
        <v>2</v>
      </c>
      <c r="K1285">
        <v>18</v>
      </c>
      <c r="L1285">
        <v>3</v>
      </c>
      <c r="M1285">
        <v>999965</v>
      </c>
      <c r="N1285">
        <v>2999895</v>
      </c>
      <c r="O1285">
        <v>2699084</v>
      </c>
      <c r="P1285">
        <v>300811</v>
      </c>
    </row>
    <row r="1286" spans="1:16" x14ac:dyDescent="0.3">
      <c r="A1286">
        <v>2285</v>
      </c>
      <c r="B1286" t="s">
        <v>590</v>
      </c>
      <c r="C1286">
        <v>2023</v>
      </c>
      <c r="D1286" t="s">
        <v>97</v>
      </c>
      <c r="E1286" t="s">
        <v>44</v>
      </c>
      <c r="F1286" t="s">
        <v>70</v>
      </c>
      <c r="G1286" t="s">
        <v>30</v>
      </c>
      <c r="H1286" t="s">
        <v>79</v>
      </c>
      <c r="I1286" t="s">
        <v>48</v>
      </c>
      <c r="J1286">
        <v>1</v>
      </c>
      <c r="K1286">
        <v>21</v>
      </c>
      <c r="L1286">
        <v>4</v>
      </c>
      <c r="M1286">
        <v>1317973</v>
      </c>
      <c r="N1286">
        <v>5271892</v>
      </c>
      <c r="O1286">
        <v>4327431</v>
      </c>
      <c r="P1286">
        <v>944461</v>
      </c>
    </row>
    <row r="1287" spans="1:16" x14ac:dyDescent="0.3">
      <c r="A1287">
        <v>2286</v>
      </c>
      <c r="B1287" t="s">
        <v>554</v>
      </c>
      <c r="C1287">
        <v>2024</v>
      </c>
      <c r="D1287" t="s">
        <v>76</v>
      </c>
      <c r="E1287" t="s">
        <v>18</v>
      </c>
      <c r="F1287" t="s">
        <v>107</v>
      </c>
      <c r="G1287" t="s">
        <v>51</v>
      </c>
      <c r="H1287" t="s">
        <v>21</v>
      </c>
      <c r="I1287" t="s">
        <v>22</v>
      </c>
      <c r="J1287">
        <v>1.2</v>
      </c>
      <c r="K1287">
        <v>20</v>
      </c>
      <c r="L1287">
        <v>2</v>
      </c>
      <c r="M1287">
        <v>1378867</v>
      </c>
      <c r="N1287">
        <v>2757734</v>
      </c>
      <c r="O1287">
        <v>2453356</v>
      </c>
      <c r="P1287">
        <v>304378</v>
      </c>
    </row>
    <row r="1288" spans="1:16" x14ac:dyDescent="0.3">
      <c r="A1288">
        <v>2287</v>
      </c>
      <c r="B1288" t="s">
        <v>577</v>
      </c>
      <c r="C1288">
        <v>2023</v>
      </c>
      <c r="D1288" t="s">
        <v>76</v>
      </c>
      <c r="E1288" t="s">
        <v>18</v>
      </c>
      <c r="F1288" t="s">
        <v>35</v>
      </c>
      <c r="G1288" t="s">
        <v>46</v>
      </c>
      <c r="H1288" t="s">
        <v>37</v>
      </c>
      <c r="I1288" t="s">
        <v>32</v>
      </c>
      <c r="J1288">
        <v>1</v>
      </c>
      <c r="K1288">
        <v>16</v>
      </c>
      <c r="L1288">
        <v>5</v>
      </c>
      <c r="M1288">
        <v>1357657</v>
      </c>
      <c r="N1288">
        <v>6788285</v>
      </c>
      <c r="O1288">
        <v>5619118</v>
      </c>
      <c r="P1288">
        <v>1169167</v>
      </c>
    </row>
    <row r="1289" spans="1:16" x14ac:dyDescent="0.3">
      <c r="A1289">
        <v>2288</v>
      </c>
      <c r="B1289" t="s">
        <v>480</v>
      </c>
      <c r="C1289">
        <v>2023</v>
      </c>
      <c r="D1289" t="s">
        <v>17</v>
      </c>
      <c r="E1289" t="s">
        <v>25</v>
      </c>
      <c r="F1289" t="s">
        <v>26</v>
      </c>
      <c r="G1289" t="s">
        <v>59</v>
      </c>
      <c r="H1289" t="s">
        <v>56</v>
      </c>
      <c r="I1289" t="s">
        <v>48</v>
      </c>
      <c r="J1289">
        <v>1</v>
      </c>
      <c r="K1289">
        <v>21</v>
      </c>
      <c r="L1289">
        <v>5</v>
      </c>
      <c r="M1289">
        <v>1160932</v>
      </c>
      <c r="N1289">
        <v>5804660</v>
      </c>
      <c r="O1289">
        <v>5195671</v>
      </c>
      <c r="P1289">
        <v>608989</v>
      </c>
    </row>
    <row r="1290" spans="1:16" x14ac:dyDescent="0.3">
      <c r="A1290">
        <v>2289</v>
      </c>
      <c r="B1290" t="s">
        <v>159</v>
      </c>
      <c r="C1290">
        <v>2024</v>
      </c>
      <c r="D1290" t="s">
        <v>24</v>
      </c>
      <c r="E1290" t="s">
        <v>18</v>
      </c>
      <c r="F1290" t="s">
        <v>107</v>
      </c>
      <c r="G1290" t="s">
        <v>20</v>
      </c>
      <c r="H1290" t="s">
        <v>79</v>
      </c>
      <c r="I1290" t="s">
        <v>48</v>
      </c>
      <c r="J1290">
        <v>1.2</v>
      </c>
      <c r="K1290">
        <v>19</v>
      </c>
      <c r="L1290">
        <v>2</v>
      </c>
      <c r="M1290">
        <v>762157</v>
      </c>
      <c r="N1290">
        <v>1524314</v>
      </c>
      <c r="O1290">
        <v>1237987</v>
      </c>
      <c r="P1290">
        <v>286327</v>
      </c>
    </row>
    <row r="1291" spans="1:16" x14ac:dyDescent="0.3">
      <c r="A1291">
        <v>2290</v>
      </c>
      <c r="B1291" t="s">
        <v>638</v>
      </c>
      <c r="C1291">
        <v>2023</v>
      </c>
      <c r="D1291" t="s">
        <v>97</v>
      </c>
      <c r="E1291" t="s">
        <v>40</v>
      </c>
      <c r="F1291" t="s">
        <v>68</v>
      </c>
      <c r="G1291" t="s">
        <v>30</v>
      </c>
      <c r="H1291" t="s">
        <v>37</v>
      </c>
      <c r="I1291" t="s">
        <v>32</v>
      </c>
      <c r="J1291">
        <v>2</v>
      </c>
      <c r="K1291">
        <v>18</v>
      </c>
      <c r="L1291">
        <v>4</v>
      </c>
      <c r="M1291">
        <v>954711</v>
      </c>
      <c r="N1291">
        <v>3818844</v>
      </c>
      <c r="O1291">
        <v>3012973</v>
      </c>
      <c r="P1291">
        <v>805871</v>
      </c>
    </row>
    <row r="1292" spans="1:16" x14ac:dyDescent="0.3">
      <c r="A1292">
        <v>2291</v>
      </c>
      <c r="B1292" t="s">
        <v>455</v>
      </c>
      <c r="C1292">
        <v>2024</v>
      </c>
      <c r="D1292" t="s">
        <v>39</v>
      </c>
      <c r="E1292" t="s">
        <v>18</v>
      </c>
      <c r="F1292" t="s">
        <v>107</v>
      </c>
      <c r="G1292" t="s">
        <v>36</v>
      </c>
      <c r="H1292" t="s">
        <v>52</v>
      </c>
      <c r="I1292" t="s">
        <v>22</v>
      </c>
      <c r="J1292">
        <v>1</v>
      </c>
      <c r="K1292">
        <v>21</v>
      </c>
      <c r="L1292">
        <v>1</v>
      </c>
      <c r="M1292">
        <v>1171953</v>
      </c>
      <c r="N1292">
        <v>1171953</v>
      </c>
      <c r="O1292">
        <v>961120</v>
      </c>
      <c r="P1292">
        <v>210833</v>
      </c>
    </row>
    <row r="1293" spans="1:16" x14ac:dyDescent="0.3">
      <c r="A1293">
        <v>2292</v>
      </c>
      <c r="B1293" t="s">
        <v>693</v>
      </c>
      <c r="C1293">
        <v>2023</v>
      </c>
      <c r="D1293" t="s">
        <v>67</v>
      </c>
      <c r="E1293" t="s">
        <v>40</v>
      </c>
      <c r="F1293" t="s">
        <v>104</v>
      </c>
      <c r="G1293" t="s">
        <v>59</v>
      </c>
      <c r="H1293" t="s">
        <v>63</v>
      </c>
      <c r="I1293" t="s">
        <v>22</v>
      </c>
      <c r="J1293">
        <v>1.5</v>
      </c>
      <c r="K1293">
        <v>16</v>
      </c>
      <c r="L1293">
        <v>2</v>
      </c>
      <c r="M1293">
        <v>623776</v>
      </c>
      <c r="N1293">
        <v>1247552</v>
      </c>
      <c r="O1293">
        <v>966734</v>
      </c>
      <c r="P1293">
        <v>280818</v>
      </c>
    </row>
    <row r="1294" spans="1:16" x14ac:dyDescent="0.3">
      <c r="A1294">
        <v>2293</v>
      </c>
      <c r="B1294" t="s">
        <v>694</v>
      </c>
      <c r="C1294">
        <v>2023</v>
      </c>
      <c r="D1294" t="s">
        <v>61</v>
      </c>
      <c r="E1294" t="s">
        <v>40</v>
      </c>
      <c r="F1294" t="s">
        <v>68</v>
      </c>
      <c r="G1294" t="s">
        <v>36</v>
      </c>
      <c r="H1294" t="s">
        <v>47</v>
      </c>
      <c r="I1294" t="s">
        <v>48</v>
      </c>
      <c r="J1294">
        <v>1.5</v>
      </c>
      <c r="K1294">
        <v>23</v>
      </c>
      <c r="L1294">
        <v>5</v>
      </c>
      <c r="M1294">
        <v>776184</v>
      </c>
      <c r="N1294">
        <v>3880920</v>
      </c>
      <c r="O1294">
        <v>3053664</v>
      </c>
      <c r="P1294">
        <v>827256</v>
      </c>
    </row>
    <row r="1295" spans="1:16" x14ac:dyDescent="0.3">
      <c r="A1295">
        <v>2294</v>
      </c>
      <c r="B1295" t="s">
        <v>593</v>
      </c>
      <c r="C1295">
        <v>2023</v>
      </c>
      <c r="D1295" t="s">
        <v>29</v>
      </c>
      <c r="E1295" t="s">
        <v>44</v>
      </c>
      <c r="F1295" t="s">
        <v>62</v>
      </c>
      <c r="G1295" t="s">
        <v>90</v>
      </c>
      <c r="H1295" t="s">
        <v>31</v>
      </c>
      <c r="I1295" t="s">
        <v>32</v>
      </c>
      <c r="J1295">
        <v>1.2</v>
      </c>
      <c r="K1295">
        <v>16</v>
      </c>
      <c r="L1295">
        <v>1</v>
      </c>
      <c r="M1295">
        <v>808383</v>
      </c>
      <c r="N1295">
        <v>808383</v>
      </c>
      <c r="O1295">
        <v>664557</v>
      </c>
      <c r="P1295">
        <v>143826</v>
      </c>
    </row>
    <row r="1296" spans="1:16" x14ac:dyDescent="0.3">
      <c r="A1296">
        <v>2295</v>
      </c>
      <c r="B1296" t="s">
        <v>232</v>
      </c>
      <c r="C1296">
        <v>2023</v>
      </c>
      <c r="D1296" t="s">
        <v>67</v>
      </c>
      <c r="E1296" t="s">
        <v>44</v>
      </c>
      <c r="F1296" t="s">
        <v>70</v>
      </c>
      <c r="G1296" t="s">
        <v>36</v>
      </c>
      <c r="H1296" t="s">
        <v>21</v>
      </c>
      <c r="I1296" t="s">
        <v>22</v>
      </c>
      <c r="J1296">
        <v>1.2</v>
      </c>
      <c r="K1296">
        <v>19</v>
      </c>
      <c r="L1296">
        <v>5</v>
      </c>
      <c r="M1296">
        <v>1476422</v>
      </c>
      <c r="N1296">
        <v>7382110</v>
      </c>
      <c r="O1296">
        <v>6188357</v>
      </c>
      <c r="P1296">
        <v>1193753</v>
      </c>
    </row>
    <row r="1297" spans="1:16" x14ac:dyDescent="0.3">
      <c r="A1297">
        <v>2296</v>
      </c>
      <c r="B1297" t="s">
        <v>292</v>
      </c>
      <c r="C1297">
        <v>2023</v>
      </c>
      <c r="D1297" t="s">
        <v>97</v>
      </c>
      <c r="E1297" t="s">
        <v>18</v>
      </c>
      <c r="F1297" t="s">
        <v>35</v>
      </c>
      <c r="G1297" t="s">
        <v>46</v>
      </c>
      <c r="H1297" t="s">
        <v>79</v>
      </c>
      <c r="I1297" t="s">
        <v>48</v>
      </c>
      <c r="J1297">
        <v>1.5</v>
      </c>
      <c r="K1297">
        <v>21</v>
      </c>
      <c r="L1297">
        <v>2</v>
      </c>
      <c r="M1297">
        <v>1307789</v>
      </c>
      <c r="N1297">
        <v>2615578</v>
      </c>
      <c r="O1297">
        <v>2172188</v>
      </c>
      <c r="P1297">
        <v>443390</v>
      </c>
    </row>
    <row r="1298" spans="1:16" x14ac:dyDescent="0.3">
      <c r="A1298">
        <v>2297</v>
      </c>
      <c r="B1298" t="s">
        <v>620</v>
      </c>
      <c r="C1298">
        <v>2023</v>
      </c>
      <c r="D1298" t="s">
        <v>50</v>
      </c>
      <c r="E1298" t="s">
        <v>18</v>
      </c>
      <c r="F1298" t="s">
        <v>19</v>
      </c>
      <c r="G1298" t="s">
        <v>46</v>
      </c>
      <c r="H1298" t="s">
        <v>56</v>
      </c>
      <c r="I1298" t="s">
        <v>48</v>
      </c>
      <c r="J1298">
        <v>1.5</v>
      </c>
      <c r="K1298">
        <v>22</v>
      </c>
      <c r="L1298">
        <v>1</v>
      </c>
      <c r="M1298">
        <v>831161</v>
      </c>
      <c r="N1298">
        <v>831161</v>
      </c>
      <c r="O1298">
        <v>631307</v>
      </c>
      <c r="P1298">
        <v>199854</v>
      </c>
    </row>
    <row r="1299" spans="1:16" x14ac:dyDescent="0.3">
      <c r="A1299">
        <v>2298</v>
      </c>
      <c r="B1299" t="s">
        <v>695</v>
      </c>
      <c r="C1299">
        <v>2024</v>
      </c>
      <c r="D1299" t="s">
        <v>97</v>
      </c>
      <c r="E1299" t="s">
        <v>25</v>
      </c>
      <c r="F1299" t="s">
        <v>84</v>
      </c>
      <c r="G1299" t="s">
        <v>90</v>
      </c>
      <c r="H1299" t="s">
        <v>52</v>
      </c>
      <c r="I1299" t="s">
        <v>22</v>
      </c>
      <c r="J1299">
        <v>1.5</v>
      </c>
      <c r="K1299">
        <v>19</v>
      </c>
      <c r="L1299">
        <v>3</v>
      </c>
      <c r="M1299">
        <v>1481541</v>
      </c>
      <c r="N1299">
        <v>4444623</v>
      </c>
      <c r="O1299">
        <v>3698221</v>
      </c>
      <c r="P1299">
        <v>746402</v>
      </c>
    </row>
    <row r="1300" spans="1:16" x14ac:dyDescent="0.3">
      <c r="A1300">
        <v>2299</v>
      </c>
      <c r="B1300" t="s">
        <v>286</v>
      </c>
      <c r="C1300">
        <v>2024</v>
      </c>
      <c r="D1300" t="s">
        <v>76</v>
      </c>
      <c r="E1300" t="s">
        <v>44</v>
      </c>
      <c r="F1300" t="s">
        <v>70</v>
      </c>
      <c r="G1300" t="s">
        <v>59</v>
      </c>
      <c r="H1300" t="s">
        <v>56</v>
      </c>
      <c r="I1300" t="s">
        <v>48</v>
      </c>
      <c r="J1300">
        <v>2</v>
      </c>
      <c r="K1300">
        <v>22</v>
      </c>
      <c r="L1300">
        <v>6</v>
      </c>
      <c r="M1300">
        <v>945234</v>
      </c>
      <c r="N1300">
        <v>5671404</v>
      </c>
      <c r="O1300">
        <v>4906079</v>
      </c>
      <c r="P1300">
        <v>765325</v>
      </c>
    </row>
    <row r="1301" spans="1:16" x14ac:dyDescent="0.3">
      <c r="A1301">
        <v>2300</v>
      </c>
      <c r="B1301" t="s">
        <v>341</v>
      </c>
      <c r="C1301">
        <v>2024</v>
      </c>
      <c r="D1301" t="s">
        <v>39</v>
      </c>
      <c r="E1301" t="s">
        <v>25</v>
      </c>
      <c r="F1301" t="s">
        <v>77</v>
      </c>
      <c r="G1301" t="s">
        <v>20</v>
      </c>
      <c r="H1301" t="s">
        <v>52</v>
      </c>
      <c r="I1301" t="s">
        <v>22</v>
      </c>
      <c r="J1301">
        <v>1</v>
      </c>
      <c r="K1301">
        <v>18</v>
      </c>
      <c r="L1301">
        <v>4</v>
      </c>
      <c r="M1301">
        <v>757444</v>
      </c>
      <c r="N1301">
        <v>3029776</v>
      </c>
      <c r="O1301">
        <v>2381891</v>
      </c>
      <c r="P1301">
        <v>647885</v>
      </c>
    </row>
    <row r="1302" spans="1:16" x14ac:dyDescent="0.3">
      <c r="A1302">
        <v>2301</v>
      </c>
      <c r="B1302" t="s">
        <v>326</v>
      </c>
      <c r="C1302">
        <v>2024</v>
      </c>
      <c r="D1302" t="s">
        <v>76</v>
      </c>
      <c r="E1302" t="s">
        <v>44</v>
      </c>
      <c r="F1302" t="s">
        <v>45</v>
      </c>
      <c r="G1302" t="s">
        <v>90</v>
      </c>
      <c r="H1302" t="s">
        <v>37</v>
      </c>
      <c r="I1302" t="s">
        <v>32</v>
      </c>
      <c r="J1302">
        <v>2</v>
      </c>
      <c r="K1302">
        <v>16</v>
      </c>
      <c r="L1302">
        <v>7</v>
      </c>
      <c r="M1302">
        <v>1300535</v>
      </c>
      <c r="N1302">
        <v>9103745</v>
      </c>
      <c r="O1302">
        <v>7799607</v>
      </c>
      <c r="P1302">
        <v>1304138</v>
      </c>
    </row>
    <row r="1303" spans="1:16" x14ac:dyDescent="0.3">
      <c r="A1303">
        <v>2302</v>
      </c>
      <c r="B1303" t="s">
        <v>657</v>
      </c>
      <c r="C1303">
        <v>2024</v>
      </c>
      <c r="D1303" t="s">
        <v>50</v>
      </c>
      <c r="E1303" t="s">
        <v>25</v>
      </c>
      <c r="F1303" t="s">
        <v>58</v>
      </c>
      <c r="G1303" t="s">
        <v>36</v>
      </c>
      <c r="H1303" t="s">
        <v>47</v>
      </c>
      <c r="I1303" t="s">
        <v>48</v>
      </c>
      <c r="J1303">
        <v>1.2</v>
      </c>
      <c r="K1303">
        <v>18</v>
      </c>
      <c r="L1303">
        <v>4</v>
      </c>
      <c r="M1303">
        <v>953240</v>
      </c>
      <c r="N1303">
        <v>3812960</v>
      </c>
      <c r="O1303">
        <v>3353076</v>
      </c>
      <c r="P1303">
        <v>459884</v>
      </c>
    </row>
    <row r="1304" spans="1:16" x14ac:dyDescent="0.3">
      <c r="A1304">
        <v>2303</v>
      </c>
      <c r="B1304" t="s">
        <v>670</v>
      </c>
      <c r="C1304">
        <v>2023</v>
      </c>
      <c r="D1304" t="s">
        <v>74</v>
      </c>
      <c r="E1304" t="s">
        <v>44</v>
      </c>
      <c r="F1304" t="s">
        <v>62</v>
      </c>
      <c r="G1304" t="s">
        <v>36</v>
      </c>
      <c r="H1304" t="s">
        <v>31</v>
      </c>
      <c r="I1304" t="s">
        <v>32</v>
      </c>
      <c r="J1304">
        <v>2</v>
      </c>
      <c r="K1304">
        <v>16</v>
      </c>
      <c r="L1304">
        <v>6</v>
      </c>
      <c r="M1304">
        <v>979272</v>
      </c>
      <c r="N1304">
        <v>5875632</v>
      </c>
      <c r="O1304">
        <v>4577047</v>
      </c>
      <c r="P1304">
        <v>1298585</v>
      </c>
    </row>
    <row r="1305" spans="1:16" x14ac:dyDescent="0.3">
      <c r="A1305">
        <v>2304</v>
      </c>
      <c r="B1305" t="s">
        <v>414</v>
      </c>
      <c r="C1305">
        <v>2024</v>
      </c>
      <c r="D1305" t="s">
        <v>50</v>
      </c>
      <c r="E1305" t="s">
        <v>44</v>
      </c>
      <c r="F1305" t="s">
        <v>62</v>
      </c>
      <c r="G1305" t="s">
        <v>59</v>
      </c>
      <c r="H1305" t="s">
        <v>56</v>
      </c>
      <c r="I1305" t="s">
        <v>48</v>
      </c>
      <c r="J1305">
        <v>1</v>
      </c>
      <c r="K1305">
        <v>20</v>
      </c>
      <c r="L1305">
        <v>5</v>
      </c>
      <c r="M1305">
        <v>982681</v>
      </c>
      <c r="N1305">
        <v>4913405</v>
      </c>
      <c r="O1305">
        <v>4338690</v>
      </c>
      <c r="P1305">
        <v>574715</v>
      </c>
    </row>
    <row r="1306" spans="1:16" x14ac:dyDescent="0.3">
      <c r="A1306">
        <v>2305</v>
      </c>
      <c r="B1306" t="s">
        <v>696</v>
      </c>
      <c r="C1306">
        <v>2024</v>
      </c>
      <c r="D1306" t="s">
        <v>34</v>
      </c>
      <c r="E1306" t="s">
        <v>25</v>
      </c>
      <c r="F1306" t="s">
        <v>84</v>
      </c>
      <c r="G1306" t="s">
        <v>59</v>
      </c>
      <c r="H1306" t="s">
        <v>100</v>
      </c>
      <c r="I1306" t="s">
        <v>22</v>
      </c>
      <c r="J1306">
        <v>1.2</v>
      </c>
      <c r="K1306">
        <v>23</v>
      </c>
      <c r="L1306">
        <v>4</v>
      </c>
      <c r="M1306">
        <v>1202399</v>
      </c>
      <c r="N1306">
        <v>4809596</v>
      </c>
      <c r="O1306">
        <v>4144333</v>
      </c>
      <c r="P1306">
        <v>665263</v>
      </c>
    </row>
    <row r="1307" spans="1:16" x14ac:dyDescent="0.3">
      <c r="A1307">
        <v>2306</v>
      </c>
      <c r="B1307" t="s">
        <v>472</v>
      </c>
      <c r="C1307">
        <v>2023</v>
      </c>
      <c r="D1307" t="s">
        <v>24</v>
      </c>
      <c r="E1307" t="s">
        <v>25</v>
      </c>
      <c r="F1307" t="s">
        <v>84</v>
      </c>
      <c r="G1307" t="s">
        <v>51</v>
      </c>
      <c r="H1307" t="s">
        <v>100</v>
      </c>
      <c r="I1307" t="s">
        <v>22</v>
      </c>
      <c r="J1307">
        <v>1</v>
      </c>
      <c r="K1307">
        <v>22</v>
      </c>
      <c r="L1307">
        <v>1</v>
      </c>
      <c r="M1307">
        <v>771009</v>
      </c>
      <c r="N1307">
        <v>771009</v>
      </c>
      <c r="O1307">
        <v>583562</v>
      </c>
      <c r="P1307">
        <v>187447</v>
      </c>
    </row>
    <row r="1308" spans="1:16" x14ac:dyDescent="0.3">
      <c r="A1308">
        <v>2307</v>
      </c>
      <c r="B1308" t="s">
        <v>697</v>
      </c>
      <c r="C1308">
        <v>2023</v>
      </c>
      <c r="D1308" t="s">
        <v>24</v>
      </c>
      <c r="E1308" t="s">
        <v>18</v>
      </c>
      <c r="F1308" t="s">
        <v>35</v>
      </c>
      <c r="G1308" t="s">
        <v>27</v>
      </c>
      <c r="H1308" t="s">
        <v>47</v>
      </c>
      <c r="I1308" t="s">
        <v>48</v>
      </c>
      <c r="J1308">
        <v>1</v>
      </c>
      <c r="K1308">
        <v>22</v>
      </c>
      <c r="L1308">
        <v>5</v>
      </c>
      <c r="M1308">
        <v>923757</v>
      </c>
      <c r="N1308">
        <v>4618785</v>
      </c>
      <c r="O1308">
        <v>3591000</v>
      </c>
      <c r="P1308">
        <v>1027785</v>
      </c>
    </row>
    <row r="1309" spans="1:16" x14ac:dyDescent="0.3">
      <c r="A1309">
        <v>2308</v>
      </c>
      <c r="B1309" t="s">
        <v>493</v>
      </c>
      <c r="C1309">
        <v>2023</v>
      </c>
      <c r="D1309" t="s">
        <v>24</v>
      </c>
      <c r="E1309" t="s">
        <v>44</v>
      </c>
      <c r="F1309" t="s">
        <v>92</v>
      </c>
      <c r="G1309" t="s">
        <v>51</v>
      </c>
      <c r="H1309" t="s">
        <v>56</v>
      </c>
      <c r="I1309" t="s">
        <v>48</v>
      </c>
      <c r="J1309">
        <v>1.2</v>
      </c>
      <c r="K1309">
        <v>21</v>
      </c>
      <c r="L1309">
        <v>6</v>
      </c>
      <c r="M1309">
        <v>1066756</v>
      </c>
      <c r="N1309">
        <v>6400536</v>
      </c>
      <c r="O1309">
        <v>5686265</v>
      </c>
      <c r="P1309">
        <v>714271</v>
      </c>
    </row>
    <row r="1310" spans="1:16" x14ac:dyDescent="0.3">
      <c r="A1310">
        <v>2309</v>
      </c>
      <c r="B1310" t="s">
        <v>413</v>
      </c>
      <c r="C1310">
        <v>2023</v>
      </c>
      <c r="D1310" t="s">
        <v>76</v>
      </c>
      <c r="E1310" t="s">
        <v>40</v>
      </c>
      <c r="F1310" t="s">
        <v>41</v>
      </c>
      <c r="G1310" t="s">
        <v>90</v>
      </c>
      <c r="H1310" t="s">
        <v>21</v>
      </c>
      <c r="I1310" t="s">
        <v>22</v>
      </c>
      <c r="J1310">
        <v>1.5</v>
      </c>
      <c r="K1310">
        <v>16</v>
      </c>
      <c r="L1310">
        <v>1</v>
      </c>
      <c r="M1310">
        <v>617993</v>
      </c>
      <c r="N1310">
        <v>617993</v>
      </c>
      <c r="O1310">
        <v>514134</v>
      </c>
      <c r="P1310">
        <v>103859</v>
      </c>
    </row>
    <row r="1311" spans="1:16" x14ac:dyDescent="0.3">
      <c r="A1311">
        <v>2310</v>
      </c>
      <c r="B1311" t="s">
        <v>377</v>
      </c>
      <c r="C1311">
        <v>2023</v>
      </c>
      <c r="D1311" t="s">
        <v>74</v>
      </c>
      <c r="E1311" t="s">
        <v>44</v>
      </c>
      <c r="F1311" t="s">
        <v>70</v>
      </c>
      <c r="G1311" t="s">
        <v>59</v>
      </c>
      <c r="H1311" t="s">
        <v>47</v>
      </c>
      <c r="I1311" t="s">
        <v>48</v>
      </c>
      <c r="J1311">
        <v>2</v>
      </c>
      <c r="K1311">
        <v>21</v>
      </c>
      <c r="L1311">
        <v>4</v>
      </c>
      <c r="M1311">
        <v>1486187</v>
      </c>
      <c r="N1311">
        <v>5944748</v>
      </c>
      <c r="O1311">
        <v>5091969</v>
      </c>
      <c r="P1311">
        <v>852779</v>
      </c>
    </row>
    <row r="1312" spans="1:16" x14ac:dyDescent="0.3">
      <c r="A1312">
        <v>2311</v>
      </c>
      <c r="B1312" t="s">
        <v>599</v>
      </c>
      <c r="C1312">
        <v>2024</v>
      </c>
      <c r="D1312" t="s">
        <v>39</v>
      </c>
      <c r="E1312" t="s">
        <v>44</v>
      </c>
      <c r="F1312" t="s">
        <v>62</v>
      </c>
      <c r="G1312" t="s">
        <v>59</v>
      </c>
      <c r="H1312" t="s">
        <v>63</v>
      </c>
      <c r="I1312" t="s">
        <v>22</v>
      </c>
      <c r="J1312">
        <v>1.5</v>
      </c>
      <c r="K1312">
        <v>22</v>
      </c>
      <c r="L1312">
        <v>8</v>
      </c>
      <c r="M1312">
        <v>881165</v>
      </c>
      <c r="N1312">
        <v>7049320</v>
      </c>
      <c r="O1312">
        <v>6242219</v>
      </c>
      <c r="P1312">
        <v>807101</v>
      </c>
    </row>
    <row r="1313" spans="1:16" x14ac:dyDescent="0.3">
      <c r="A1313">
        <v>2312</v>
      </c>
      <c r="B1313" t="s">
        <v>472</v>
      </c>
      <c r="C1313">
        <v>2023</v>
      </c>
      <c r="D1313" t="s">
        <v>24</v>
      </c>
      <c r="E1313" t="s">
        <v>40</v>
      </c>
      <c r="F1313" t="s">
        <v>41</v>
      </c>
      <c r="G1313" t="s">
        <v>51</v>
      </c>
      <c r="H1313" t="s">
        <v>54</v>
      </c>
      <c r="I1313" t="s">
        <v>48</v>
      </c>
      <c r="J1313">
        <v>2</v>
      </c>
      <c r="K1313">
        <v>20</v>
      </c>
      <c r="L1313">
        <v>8</v>
      </c>
      <c r="M1313">
        <v>1296378</v>
      </c>
      <c r="N1313">
        <v>10371024</v>
      </c>
      <c r="O1313">
        <v>8087136</v>
      </c>
      <c r="P1313">
        <v>2283888</v>
      </c>
    </row>
    <row r="1314" spans="1:16" x14ac:dyDescent="0.3">
      <c r="A1314">
        <v>2313</v>
      </c>
      <c r="B1314" t="s">
        <v>202</v>
      </c>
      <c r="C1314">
        <v>2023</v>
      </c>
      <c r="D1314" t="s">
        <v>67</v>
      </c>
      <c r="E1314" t="s">
        <v>25</v>
      </c>
      <c r="F1314" t="s">
        <v>58</v>
      </c>
      <c r="G1314" t="s">
        <v>46</v>
      </c>
      <c r="H1314" t="s">
        <v>63</v>
      </c>
      <c r="I1314" t="s">
        <v>22</v>
      </c>
      <c r="J1314">
        <v>1.2</v>
      </c>
      <c r="K1314">
        <v>21</v>
      </c>
      <c r="L1314">
        <v>4</v>
      </c>
      <c r="M1314">
        <v>1039759</v>
      </c>
      <c r="N1314">
        <v>4159036</v>
      </c>
      <c r="O1314">
        <v>3242826</v>
      </c>
      <c r="P1314">
        <v>916210</v>
      </c>
    </row>
    <row r="1315" spans="1:16" x14ac:dyDescent="0.3">
      <c r="A1315">
        <v>2314</v>
      </c>
      <c r="B1315" t="s">
        <v>431</v>
      </c>
      <c r="C1315">
        <v>2024</v>
      </c>
      <c r="D1315" t="s">
        <v>61</v>
      </c>
      <c r="E1315" t="s">
        <v>25</v>
      </c>
      <c r="F1315" t="s">
        <v>77</v>
      </c>
      <c r="G1315" t="s">
        <v>51</v>
      </c>
      <c r="H1315" t="s">
        <v>47</v>
      </c>
      <c r="I1315" t="s">
        <v>48</v>
      </c>
      <c r="J1315">
        <v>2</v>
      </c>
      <c r="K1315">
        <v>19</v>
      </c>
      <c r="L1315">
        <v>3</v>
      </c>
      <c r="M1315">
        <v>1029702</v>
      </c>
      <c r="N1315">
        <v>3089106</v>
      </c>
      <c r="O1315">
        <v>2751829</v>
      </c>
      <c r="P1315">
        <v>337277</v>
      </c>
    </row>
    <row r="1316" spans="1:16" x14ac:dyDescent="0.3">
      <c r="A1316">
        <v>2315</v>
      </c>
      <c r="B1316" t="s">
        <v>698</v>
      </c>
      <c r="C1316">
        <v>2024</v>
      </c>
      <c r="D1316" t="s">
        <v>17</v>
      </c>
      <c r="E1316" t="s">
        <v>25</v>
      </c>
      <c r="F1316" t="s">
        <v>77</v>
      </c>
      <c r="G1316" t="s">
        <v>51</v>
      </c>
      <c r="H1316" t="s">
        <v>31</v>
      </c>
      <c r="I1316" t="s">
        <v>32</v>
      </c>
      <c r="J1316">
        <v>2</v>
      </c>
      <c r="K1316">
        <v>16</v>
      </c>
      <c r="L1316">
        <v>5</v>
      </c>
      <c r="M1316">
        <v>1123136</v>
      </c>
      <c r="N1316">
        <v>5615680</v>
      </c>
      <c r="O1316">
        <v>4402197</v>
      </c>
      <c r="P1316">
        <v>1213483</v>
      </c>
    </row>
    <row r="1317" spans="1:16" x14ac:dyDescent="0.3">
      <c r="A1317">
        <v>2316</v>
      </c>
      <c r="B1317" t="s">
        <v>242</v>
      </c>
      <c r="C1317">
        <v>2024</v>
      </c>
      <c r="D1317" t="s">
        <v>97</v>
      </c>
      <c r="E1317" t="s">
        <v>25</v>
      </c>
      <c r="F1317" t="s">
        <v>26</v>
      </c>
      <c r="G1317" t="s">
        <v>36</v>
      </c>
      <c r="H1317" t="s">
        <v>63</v>
      </c>
      <c r="I1317" t="s">
        <v>22</v>
      </c>
      <c r="J1317">
        <v>1</v>
      </c>
      <c r="K1317">
        <v>16</v>
      </c>
      <c r="L1317">
        <v>2</v>
      </c>
      <c r="M1317">
        <v>1185604</v>
      </c>
      <c r="N1317">
        <v>2371208</v>
      </c>
      <c r="O1317">
        <v>2048517</v>
      </c>
      <c r="P1317">
        <v>322691</v>
      </c>
    </row>
    <row r="1318" spans="1:16" x14ac:dyDescent="0.3">
      <c r="A1318">
        <v>2317</v>
      </c>
      <c r="B1318" t="s">
        <v>699</v>
      </c>
      <c r="C1318">
        <v>2023</v>
      </c>
      <c r="D1318" t="s">
        <v>61</v>
      </c>
      <c r="E1318" t="s">
        <v>44</v>
      </c>
      <c r="F1318" t="s">
        <v>62</v>
      </c>
      <c r="G1318" t="s">
        <v>20</v>
      </c>
      <c r="H1318" t="s">
        <v>31</v>
      </c>
      <c r="I1318" t="s">
        <v>32</v>
      </c>
      <c r="J1318">
        <v>2</v>
      </c>
      <c r="K1318">
        <v>23</v>
      </c>
      <c r="L1318">
        <v>8</v>
      </c>
      <c r="M1318">
        <v>1281419</v>
      </c>
      <c r="N1318">
        <v>10251352</v>
      </c>
      <c r="O1318">
        <v>7831709</v>
      </c>
      <c r="P1318">
        <v>2419643</v>
      </c>
    </row>
    <row r="1319" spans="1:16" x14ac:dyDescent="0.3">
      <c r="A1319">
        <v>2318</v>
      </c>
      <c r="B1319" t="s">
        <v>269</v>
      </c>
      <c r="C1319">
        <v>2023</v>
      </c>
      <c r="D1319" t="s">
        <v>24</v>
      </c>
      <c r="E1319" t="s">
        <v>18</v>
      </c>
      <c r="F1319" t="s">
        <v>107</v>
      </c>
      <c r="G1319" t="s">
        <v>36</v>
      </c>
      <c r="H1319" t="s">
        <v>31</v>
      </c>
      <c r="I1319" t="s">
        <v>32</v>
      </c>
      <c r="J1319">
        <v>1</v>
      </c>
      <c r="K1319">
        <v>21</v>
      </c>
      <c r="L1319">
        <v>3</v>
      </c>
      <c r="M1319">
        <v>808726</v>
      </c>
      <c r="N1319">
        <v>2426178</v>
      </c>
      <c r="O1319">
        <v>2014138</v>
      </c>
      <c r="P1319">
        <v>412040</v>
      </c>
    </row>
    <row r="1320" spans="1:16" x14ac:dyDescent="0.3">
      <c r="A1320">
        <v>2319</v>
      </c>
      <c r="B1320" t="s">
        <v>439</v>
      </c>
      <c r="C1320">
        <v>2024</v>
      </c>
      <c r="D1320" t="s">
        <v>67</v>
      </c>
      <c r="E1320" t="s">
        <v>18</v>
      </c>
      <c r="F1320" t="s">
        <v>72</v>
      </c>
      <c r="G1320" t="s">
        <v>90</v>
      </c>
      <c r="H1320" t="s">
        <v>47</v>
      </c>
      <c r="I1320" t="s">
        <v>48</v>
      </c>
      <c r="J1320">
        <v>1.5</v>
      </c>
      <c r="K1320">
        <v>20</v>
      </c>
      <c r="L1320">
        <v>8</v>
      </c>
      <c r="M1320">
        <v>1216010</v>
      </c>
      <c r="N1320">
        <v>9728080</v>
      </c>
      <c r="O1320">
        <v>8589509</v>
      </c>
      <c r="P1320">
        <v>1138571</v>
      </c>
    </row>
    <row r="1321" spans="1:16" x14ac:dyDescent="0.3">
      <c r="A1321">
        <v>2320</v>
      </c>
      <c r="B1321" t="s">
        <v>434</v>
      </c>
      <c r="C1321">
        <v>2023</v>
      </c>
      <c r="D1321" t="s">
        <v>17</v>
      </c>
      <c r="E1321" t="s">
        <v>40</v>
      </c>
      <c r="F1321" t="s">
        <v>68</v>
      </c>
      <c r="G1321" t="s">
        <v>59</v>
      </c>
      <c r="H1321" t="s">
        <v>54</v>
      </c>
      <c r="I1321" t="s">
        <v>48</v>
      </c>
      <c r="J1321">
        <v>1.5</v>
      </c>
      <c r="K1321">
        <v>22</v>
      </c>
      <c r="L1321">
        <v>7</v>
      </c>
      <c r="M1321">
        <v>606310</v>
      </c>
      <c r="N1321">
        <v>4244170</v>
      </c>
      <c r="O1321">
        <v>3338428</v>
      </c>
      <c r="P1321">
        <v>905742</v>
      </c>
    </row>
    <row r="1322" spans="1:16" x14ac:dyDescent="0.3">
      <c r="A1322">
        <v>2321</v>
      </c>
      <c r="B1322" t="s">
        <v>201</v>
      </c>
      <c r="C1322">
        <v>2023</v>
      </c>
      <c r="D1322" t="s">
        <v>50</v>
      </c>
      <c r="E1322" t="s">
        <v>25</v>
      </c>
      <c r="F1322" t="s">
        <v>84</v>
      </c>
      <c r="G1322" t="s">
        <v>20</v>
      </c>
      <c r="H1322" t="s">
        <v>100</v>
      </c>
      <c r="I1322" t="s">
        <v>22</v>
      </c>
      <c r="J1322">
        <v>1</v>
      </c>
      <c r="K1322">
        <v>21</v>
      </c>
      <c r="L1322">
        <v>7</v>
      </c>
      <c r="M1322">
        <v>929735</v>
      </c>
      <c r="N1322">
        <v>6508145</v>
      </c>
      <c r="O1322">
        <v>5370421</v>
      </c>
      <c r="P1322">
        <v>1137724</v>
      </c>
    </row>
    <row r="1323" spans="1:16" x14ac:dyDescent="0.3">
      <c r="A1323">
        <v>2322</v>
      </c>
      <c r="B1323" t="s">
        <v>130</v>
      </c>
      <c r="C1323">
        <v>2024</v>
      </c>
      <c r="D1323" t="s">
        <v>61</v>
      </c>
      <c r="E1323" t="s">
        <v>18</v>
      </c>
      <c r="F1323" t="s">
        <v>72</v>
      </c>
      <c r="G1323" t="s">
        <v>30</v>
      </c>
      <c r="H1323" t="s">
        <v>31</v>
      </c>
      <c r="I1323" t="s">
        <v>32</v>
      </c>
      <c r="J1323">
        <v>1.2</v>
      </c>
      <c r="K1323">
        <v>20</v>
      </c>
      <c r="L1323">
        <v>8</v>
      </c>
      <c r="M1323">
        <v>1173651</v>
      </c>
      <c r="N1323">
        <v>9389208</v>
      </c>
      <c r="O1323">
        <v>8247587</v>
      </c>
      <c r="P1323">
        <v>1141621</v>
      </c>
    </row>
    <row r="1324" spans="1:16" x14ac:dyDescent="0.3">
      <c r="A1324">
        <v>2323</v>
      </c>
      <c r="B1324" t="s">
        <v>228</v>
      </c>
      <c r="C1324">
        <v>2024</v>
      </c>
      <c r="D1324" t="s">
        <v>17</v>
      </c>
      <c r="E1324" t="s">
        <v>25</v>
      </c>
      <c r="F1324" t="s">
        <v>58</v>
      </c>
      <c r="G1324" t="s">
        <v>59</v>
      </c>
      <c r="H1324" t="s">
        <v>21</v>
      </c>
      <c r="I1324" t="s">
        <v>22</v>
      </c>
      <c r="J1324">
        <v>2</v>
      </c>
      <c r="K1324">
        <v>18</v>
      </c>
      <c r="L1324">
        <v>1</v>
      </c>
      <c r="M1324">
        <v>1068385</v>
      </c>
      <c r="N1324">
        <v>1068385</v>
      </c>
      <c r="O1324">
        <v>839622</v>
      </c>
      <c r="P1324">
        <v>228763</v>
      </c>
    </row>
    <row r="1325" spans="1:16" x14ac:dyDescent="0.3">
      <c r="A1325">
        <v>2324</v>
      </c>
      <c r="B1325" t="s">
        <v>615</v>
      </c>
      <c r="C1325">
        <v>2023</v>
      </c>
      <c r="D1325" t="s">
        <v>97</v>
      </c>
      <c r="E1325" t="s">
        <v>40</v>
      </c>
      <c r="F1325" t="s">
        <v>68</v>
      </c>
      <c r="G1325" t="s">
        <v>90</v>
      </c>
      <c r="H1325" t="s">
        <v>54</v>
      </c>
      <c r="I1325" t="s">
        <v>48</v>
      </c>
      <c r="J1325">
        <v>2</v>
      </c>
      <c r="K1325">
        <v>20</v>
      </c>
      <c r="L1325">
        <v>8</v>
      </c>
      <c r="M1325">
        <v>879373</v>
      </c>
      <c r="N1325">
        <v>7034984</v>
      </c>
      <c r="O1325">
        <v>6203683</v>
      </c>
      <c r="P1325">
        <v>831301</v>
      </c>
    </row>
    <row r="1326" spans="1:16" x14ac:dyDescent="0.3">
      <c r="A1326">
        <v>2325</v>
      </c>
      <c r="B1326" t="s">
        <v>589</v>
      </c>
      <c r="C1326">
        <v>2024</v>
      </c>
      <c r="D1326" t="s">
        <v>61</v>
      </c>
      <c r="E1326" t="s">
        <v>40</v>
      </c>
      <c r="F1326" t="s">
        <v>68</v>
      </c>
      <c r="G1326" t="s">
        <v>90</v>
      </c>
      <c r="H1326" t="s">
        <v>56</v>
      </c>
      <c r="I1326" t="s">
        <v>48</v>
      </c>
      <c r="J1326">
        <v>1.2</v>
      </c>
      <c r="K1326">
        <v>18</v>
      </c>
      <c r="L1326">
        <v>6</v>
      </c>
      <c r="M1326">
        <v>725526</v>
      </c>
      <c r="N1326">
        <v>4353156</v>
      </c>
      <c r="O1326">
        <v>3295514</v>
      </c>
      <c r="P1326">
        <v>1057642</v>
      </c>
    </row>
    <row r="1327" spans="1:16" x14ac:dyDescent="0.3">
      <c r="A1327">
        <v>2326</v>
      </c>
      <c r="B1327" t="s">
        <v>583</v>
      </c>
      <c r="C1327">
        <v>2023</v>
      </c>
      <c r="D1327" t="s">
        <v>24</v>
      </c>
      <c r="E1327" t="s">
        <v>25</v>
      </c>
      <c r="F1327" t="s">
        <v>77</v>
      </c>
      <c r="G1327" t="s">
        <v>51</v>
      </c>
      <c r="H1327" t="s">
        <v>100</v>
      </c>
      <c r="I1327" t="s">
        <v>22</v>
      </c>
      <c r="J1327">
        <v>1.2</v>
      </c>
      <c r="K1327">
        <v>22</v>
      </c>
      <c r="L1327">
        <v>6</v>
      </c>
      <c r="M1327">
        <v>1069579</v>
      </c>
      <c r="N1327">
        <v>6417474</v>
      </c>
      <c r="O1327">
        <v>5100699</v>
      </c>
      <c r="P1327">
        <v>1316775</v>
      </c>
    </row>
    <row r="1328" spans="1:16" x14ac:dyDescent="0.3">
      <c r="A1328">
        <v>2327</v>
      </c>
      <c r="B1328" t="s">
        <v>261</v>
      </c>
      <c r="C1328">
        <v>2023</v>
      </c>
      <c r="D1328" t="s">
        <v>76</v>
      </c>
      <c r="E1328" t="s">
        <v>25</v>
      </c>
      <c r="F1328" t="s">
        <v>84</v>
      </c>
      <c r="G1328" t="s">
        <v>59</v>
      </c>
      <c r="H1328" t="s">
        <v>31</v>
      </c>
      <c r="I1328" t="s">
        <v>32</v>
      </c>
      <c r="J1328">
        <v>1.5</v>
      </c>
      <c r="K1328">
        <v>23</v>
      </c>
      <c r="L1328">
        <v>6</v>
      </c>
      <c r="M1328">
        <v>986483</v>
      </c>
      <c r="N1328">
        <v>5918898</v>
      </c>
      <c r="O1328">
        <v>4498844</v>
      </c>
      <c r="P1328">
        <v>1420054</v>
      </c>
    </row>
    <row r="1329" spans="1:16" x14ac:dyDescent="0.3">
      <c r="A1329">
        <v>2328</v>
      </c>
      <c r="B1329" t="s">
        <v>126</v>
      </c>
      <c r="C1329">
        <v>2023</v>
      </c>
      <c r="D1329" t="s">
        <v>39</v>
      </c>
      <c r="E1329" t="s">
        <v>44</v>
      </c>
      <c r="F1329" t="s">
        <v>45</v>
      </c>
      <c r="G1329" t="s">
        <v>30</v>
      </c>
      <c r="H1329" t="s">
        <v>21</v>
      </c>
      <c r="I1329" t="s">
        <v>22</v>
      </c>
      <c r="J1329">
        <v>1.5</v>
      </c>
      <c r="K1329">
        <v>18</v>
      </c>
      <c r="L1329">
        <v>1</v>
      </c>
      <c r="M1329">
        <v>663793</v>
      </c>
      <c r="N1329">
        <v>663793</v>
      </c>
      <c r="O1329">
        <v>583865</v>
      </c>
      <c r="P1329">
        <v>79928</v>
      </c>
    </row>
    <row r="1330" spans="1:16" x14ac:dyDescent="0.3">
      <c r="A1330">
        <v>2329</v>
      </c>
      <c r="B1330" t="s">
        <v>568</v>
      </c>
      <c r="C1330">
        <v>2023</v>
      </c>
      <c r="D1330" t="s">
        <v>74</v>
      </c>
      <c r="E1330" t="s">
        <v>18</v>
      </c>
      <c r="F1330" t="s">
        <v>19</v>
      </c>
      <c r="G1330" t="s">
        <v>36</v>
      </c>
      <c r="H1330" t="s">
        <v>31</v>
      </c>
      <c r="I1330" t="s">
        <v>32</v>
      </c>
      <c r="J1330">
        <v>1.5</v>
      </c>
      <c r="K1330">
        <v>21</v>
      </c>
      <c r="L1330">
        <v>3</v>
      </c>
      <c r="M1330">
        <v>1220027</v>
      </c>
      <c r="N1330">
        <v>3660081</v>
      </c>
      <c r="O1330">
        <v>3191906</v>
      </c>
      <c r="P1330">
        <v>468175</v>
      </c>
    </row>
    <row r="1331" spans="1:16" x14ac:dyDescent="0.3">
      <c r="A1331">
        <v>2330</v>
      </c>
      <c r="B1331" t="s">
        <v>657</v>
      </c>
      <c r="C1331">
        <v>2024</v>
      </c>
      <c r="D1331" t="s">
        <v>50</v>
      </c>
      <c r="E1331" t="s">
        <v>25</v>
      </c>
      <c r="F1331" t="s">
        <v>77</v>
      </c>
      <c r="G1331" t="s">
        <v>27</v>
      </c>
      <c r="H1331" t="s">
        <v>100</v>
      </c>
      <c r="I1331" t="s">
        <v>22</v>
      </c>
      <c r="J1331">
        <v>2</v>
      </c>
      <c r="K1331">
        <v>22</v>
      </c>
      <c r="L1331">
        <v>3</v>
      </c>
      <c r="M1331">
        <v>1118644</v>
      </c>
      <c r="N1331">
        <v>3355932</v>
      </c>
      <c r="O1331">
        <v>2645624</v>
      </c>
      <c r="P1331">
        <v>710308</v>
      </c>
    </row>
    <row r="1332" spans="1:16" x14ac:dyDescent="0.3">
      <c r="A1332">
        <v>2331</v>
      </c>
      <c r="B1332" t="s">
        <v>538</v>
      </c>
      <c r="C1332">
        <v>2023</v>
      </c>
      <c r="D1332" t="s">
        <v>74</v>
      </c>
      <c r="E1332" t="s">
        <v>44</v>
      </c>
      <c r="F1332" t="s">
        <v>62</v>
      </c>
      <c r="G1332" t="s">
        <v>20</v>
      </c>
      <c r="H1332" t="s">
        <v>63</v>
      </c>
      <c r="I1332" t="s">
        <v>22</v>
      </c>
      <c r="J1332">
        <v>1</v>
      </c>
      <c r="K1332">
        <v>23</v>
      </c>
      <c r="L1332">
        <v>2</v>
      </c>
      <c r="M1332">
        <v>992063</v>
      </c>
      <c r="N1332">
        <v>1984126</v>
      </c>
      <c r="O1332">
        <v>1669287</v>
      </c>
      <c r="P1332">
        <v>314839</v>
      </c>
    </row>
    <row r="1333" spans="1:16" x14ac:dyDescent="0.3">
      <c r="A1333">
        <v>2332</v>
      </c>
      <c r="B1333" t="s">
        <v>112</v>
      </c>
      <c r="C1333">
        <v>2024</v>
      </c>
      <c r="D1333" t="s">
        <v>67</v>
      </c>
      <c r="E1333" t="s">
        <v>25</v>
      </c>
      <c r="F1333" t="s">
        <v>26</v>
      </c>
      <c r="G1333" t="s">
        <v>27</v>
      </c>
      <c r="H1333" t="s">
        <v>54</v>
      </c>
      <c r="I1333" t="s">
        <v>48</v>
      </c>
      <c r="J1333">
        <v>1</v>
      </c>
      <c r="K1333">
        <v>22</v>
      </c>
      <c r="L1333">
        <v>3</v>
      </c>
      <c r="M1333">
        <v>1138789</v>
      </c>
      <c r="N1333">
        <v>3416367</v>
      </c>
      <c r="O1333">
        <v>2794759</v>
      </c>
      <c r="P1333">
        <v>621608</v>
      </c>
    </row>
    <row r="1334" spans="1:16" x14ac:dyDescent="0.3">
      <c r="A1334">
        <v>2333</v>
      </c>
      <c r="B1334" t="s">
        <v>336</v>
      </c>
      <c r="C1334">
        <v>2024</v>
      </c>
      <c r="D1334" t="s">
        <v>34</v>
      </c>
      <c r="E1334" t="s">
        <v>25</v>
      </c>
      <c r="F1334" t="s">
        <v>84</v>
      </c>
      <c r="G1334" t="s">
        <v>90</v>
      </c>
      <c r="H1334" t="s">
        <v>52</v>
      </c>
      <c r="I1334" t="s">
        <v>22</v>
      </c>
      <c r="J1334">
        <v>2</v>
      </c>
      <c r="K1334">
        <v>22</v>
      </c>
      <c r="L1334">
        <v>3</v>
      </c>
      <c r="M1334">
        <v>1239551</v>
      </c>
      <c r="N1334">
        <v>3718653</v>
      </c>
      <c r="O1334">
        <v>3315737</v>
      </c>
      <c r="P1334">
        <v>402916</v>
      </c>
    </row>
    <row r="1335" spans="1:16" x14ac:dyDescent="0.3">
      <c r="A1335">
        <v>2334</v>
      </c>
      <c r="B1335" t="s">
        <v>621</v>
      </c>
      <c r="C1335">
        <v>2024</v>
      </c>
      <c r="D1335" t="s">
        <v>43</v>
      </c>
      <c r="E1335" t="s">
        <v>40</v>
      </c>
      <c r="F1335" t="s">
        <v>104</v>
      </c>
      <c r="G1335" t="s">
        <v>46</v>
      </c>
      <c r="H1335" t="s">
        <v>31</v>
      </c>
      <c r="I1335" t="s">
        <v>32</v>
      </c>
      <c r="J1335">
        <v>2</v>
      </c>
      <c r="K1335">
        <v>21</v>
      </c>
      <c r="L1335">
        <v>1</v>
      </c>
      <c r="M1335">
        <v>1044350</v>
      </c>
      <c r="N1335">
        <v>1044350</v>
      </c>
      <c r="O1335">
        <v>894239</v>
      </c>
      <c r="P1335">
        <v>150111</v>
      </c>
    </row>
    <row r="1336" spans="1:16" x14ac:dyDescent="0.3">
      <c r="A1336">
        <v>2335</v>
      </c>
      <c r="B1336" t="s">
        <v>508</v>
      </c>
      <c r="C1336">
        <v>2024</v>
      </c>
      <c r="D1336" t="s">
        <v>34</v>
      </c>
      <c r="E1336" t="s">
        <v>44</v>
      </c>
      <c r="F1336" t="s">
        <v>45</v>
      </c>
      <c r="G1336" t="s">
        <v>46</v>
      </c>
      <c r="H1336" t="s">
        <v>100</v>
      </c>
      <c r="I1336" t="s">
        <v>22</v>
      </c>
      <c r="J1336">
        <v>1.2</v>
      </c>
      <c r="K1336">
        <v>22</v>
      </c>
      <c r="L1336">
        <v>4</v>
      </c>
      <c r="M1336">
        <v>1384505</v>
      </c>
      <c r="N1336">
        <v>5538020</v>
      </c>
      <c r="O1336">
        <v>4979446</v>
      </c>
      <c r="P1336">
        <v>558574</v>
      </c>
    </row>
    <row r="1337" spans="1:16" x14ac:dyDescent="0.3">
      <c r="A1337">
        <v>2336</v>
      </c>
      <c r="B1337" t="s">
        <v>469</v>
      </c>
      <c r="C1337">
        <v>2024</v>
      </c>
      <c r="D1337" t="s">
        <v>61</v>
      </c>
      <c r="E1337" t="s">
        <v>18</v>
      </c>
      <c r="F1337" t="s">
        <v>107</v>
      </c>
      <c r="G1337" t="s">
        <v>46</v>
      </c>
      <c r="H1337" t="s">
        <v>52</v>
      </c>
      <c r="I1337" t="s">
        <v>22</v>
      </c>
      <c r="J1337">
        <v>1.5</v>
      </c>
      <c r="K1337">
        <v>19</v>
      </c>
      <c r="L1337">
        <v>5</v>
      </c>
      <c r="M1337">
        <v>1046280</v>
      </c>
      <c r="N1337">
        <v>5231400</v>
      </c>
      <c r="O1337">
        <v>4389127</v>
      </c>
      <c r="P1337">
        <v>842273</v>
      </c>
    </row>
    <row r="1338" spans="1:16" x14ac:dyDescent="0.3">
      <c r="A1338">
        <v>2337</v>
      </c>
      <c r="B1338" t="s">
        <v>219</v>
      </c>
      <c r="C1338">
        <v>2023</v>
      </c>
      <c r="D1338" t="s">
        <v>76</v>
      </c>
      <c r="E1338" t="s">
        <v>40</v>
      </c>
      <c r="F1338" t="s">
        <v>120</v>
      </c>
      <c r="G1338" t="s">
        <v>51</v>
      </c>
      <c r="H1338" t="s">
        <v>52</v>
      </c>
      <c r="I1338" t="s">
        <v>22</v>
      </c>
      <c r="J1338">
        <v>1.5</v>
      </c>
      <c r="K1338">
        <v>22</v>
      </c>
      <c r="L1338">
        <v>6</v>
      </c>
      <c r="M1338">
        <v>1045097</v>
      </c>
      <c r="N1338">
        <v>6270582</v>
      </c>
      <c r="O1338">
        <v>5045917</v>
      </c>
      <c r="P1338">
        <v>1224665</v>
      </c>
    </row>
    <row r="1339" spans="1:16" x14ac:dyDescent="0.3">
      <c r="A1339">
        <v>2338</v>
      </c>
      <c r="B1339" t="s">
        <v>199</v>
      </c>
      <c r="C1339">
        <v>2024</v>
      </c>
      <c r="D1339" t="s">
        <v>76</v>
      </c>
      <c r="E1339" t="s">
        <v>40</v>
      </c>
      <c r="F1339" t="s">
        <v>41</v>
      </c>
      <c r="G1339" t="s">
        <v>30</v>
      </c>
      <c r="H1339" t="s">
        <v>37</v>
      </c>
      <c r="I1339" t="s">
        <v>32</v>
      </c>
      <c r="J1339">
        <v>1.2</v>
      </c>
      <c r="K1339">
        <v>16</v>
      </c>
      <c r="L1339">
        <v>2</v>
      </c>
      <c r="M1339">
        <v>655579</v>
      </c>
      <c r="N1339">
        <v>1311158</v>
      </c>
      <c r="O1339">
        <v>1164571</v>
      </c>
      <c r="P1339">
        <v>146587</v>
      </c>
    </row>
    <row r="1340" spans="1:16" x14ac:dyDescent="0.3">
      <c r="A1340">
        <v>2339</v>
      </c>
      <c r="B1340" t="s">
        <v>507</v>
      </c>
      <c r="C1340">
        <v>2023</v>
      </c>
      <c r="D1340" t="s">
        <v>43</v>
      </c>
      <c r="E1340" t="s">
        <v>25</v>
      </c>
      <c r="F1340" t="s">
        <v>26</v>
      </c>
      <c r="G1340" t="s">
        <v>46</v>
      </c>
      <c r="H1340" t="s">
        <v>37</v>
      </c>
      <c r="I1340" t="s">
        <v>32</v>
      </c>
      <c r="J1340">
        <v>1.2</v>
      </c>
      <c r="K1340">
        <v>18</v>
      </c>
      <c r="L1340">
        <v>6</v>
      </c>
      <c r="M1340">
        <v>1342833</v>
      </c>
      <c r="N1340">
        <v>8056998</v>
      </c>
      <c r="O1340">
        <v>6964617</v>
      </c>
      <c r="P1340">
        <v>1092381</v>
      </c>
    </row>
    <row r="1341" spans="1:16" x14ac:dyDescent="0.3">
      <c r="A1341">
        <v>2340</v>
      </c>
      <c r="B1341" t="s">
        <v>630</v>
      </c>
      <c r="C1341">
        <v>2023</v>
      </c>
      <c r="D1341" t="s">
        <v>97</v>
      </c>
      <c r="E1341" t="s">
        <v>18</v>
      </c>
      <c r="F1341" t="s">
        <v>72</v>
      </c>
      <c r="G1341" t="s">
        <v>30</v>
      </c>
      <c r="H1341" t="s">
        <v>31</v>
      </c>
      <c r="I1341" t="s">
        <v>32</v>
      </c>
      <c r="J1341">
        <v>1</v>
      </c>
      <c r="K1341">
        <v>18</v>
      </c>
      <c r="L1341">
        <v>4</v>
      </c>
      <c r="M1341">
        <v>994517</v>
      </c>
      <c r="N1341">
        <v>3978068</v>
      </c>
      <c r="O1341">
        <v>3162507</v>
      </c>
      <c r="P1341">
        <v>815561</v>
      </c>
    </row>
    <row r="1342" spans="1:16" x14ac:dyDescent="0.3">
      <c r="A1342">
        <v>2341</v>
      </c>
      <c r="B1342" t="s">
        <v>382</v>
      </c>
      <c r="C1342">
        <v>2023</v>
      </c>
      <c r="D1342" t="s">
        <v>76</v>
      </c>
      <c r="E1342" t="s">
        <v>18</v>
      </c>
      <c r="F1342" t="s">
        <v>35</v>
      </c>
      <c r="G1342" t="s">
        <v>36</v>
      </c>
      <c r="H1342" t="s">
        <v>100</v>
      </c>
      <c r="I1342" t="s">
        <v>22</v>
      </c>
      <c r="J1342">
        <v>1.2</v>
      </c>
      <c r="K1342">
        <v>18</v>
      </c>
      <c r="L1342">
        <v>7</v>
      </c>
      <c r="M1342">
        <v>1239951</v>
      </c>
      <c r="N1342">
        <v>8679657</v>
      </c>
      <c r="O1342">
        <v>7240503</v>
      </c>
      <c r="P1342">
        <v>1439154</v>
      </c>
    </row>
    <row r="1343" spans="1:16" x14ac:dyDescent="0.3">
      <c r="A1343">
        <v>2342</v>
      </c>
      <c r="B1343" t="s">
        <v>596</v>
      </c>
      <c r="C1343">
        <v>2023</v>
      </c>
      <c r="D1343" t="s">
        <v>74</v>
      </c>
      <c r="E1343" t="s">
        <v>44</v>
      </c>
      <c r="F1343" t="s">
        <v>45</v>
      </c>
      <c r="G1343" t="s">
        <v>20</v>
      </c>
      <c r="H1343" t="s">
        <v>31</v>
      </c>
      <c r="I1343" t="s">
        <v>32</v>
      </c>
      <c r="J1343">
        <v>1.2</v>
      </c>
      <c r="K1343">
        <v>16</v>
      </c>
      <c r="L1343">
        <v>5</v>
      </c>
      <c r="M1343">
        <v>692826</v>
      </c>
      <c r="N1343">
        <v>3464130</v>
      </c>
      <c r="O1343">
        <v>2608370</v>
      </c>
      <c r="P1343">
        <v>855760</v>
      </c>
    </row>
    <row r="1344" spans="1:16" x14ac:dyDescent="0.3">
      <c r="A1344">
        <v>2343</v>
      </c>
      <c r="B1344" t="s">
        <v>336</v>
      </c>
      <c r="C1344">
        <v>2024</v>
      </c>
      <c r="D1344" t="s">
        <v>34</v>
      </c>
      <c r="E1344" t="s">
        <v>18</v>
      </c>
      <c r="F1344" t="s">
        <v>107</v>
      </c>
      <c r="G1344" t="s">
        <v>27</v>
      </c>
      <c r="H1344" t="s">
        <v>54</v>
      </c>
      <c r="I1344" t="s">
        <v>48</v>
      </c>
      <c r="J1344">
        <v>1</v>
      </c>
      <c r="K1344">
        <v>22</v>
      </c>
      <c r="L1344">
        <v>1</v>
      </c>
      <c r="M1344">
        <v>699044</v>
      </c>
      <c r="N1344">
        <v>699044</v>
      </c>
      <c r="O1344">
        <v>572253</v>
      </c>
      <c r="P1344">
        <v>126791</v>
      </c>
    </row>
    <row r="1345" spans="1:16" x14ac:dyDescent="0.3">
      <c r="A1345">
        <v>2344</v>
      </c>
      <c r="B1345" t="s">
        <v>460</v>
      </c>
      <c r="C1345">
        <v>2024</v>
      </c>
      <c r="D1345" t="s">
        <v>74</v>
      </c>
      <c r="E1345" t="s">
        <v>44</v>
      </c>
      <c r="F1345" t="s">
        <v>45</v>
      </c>
      <c r="G1345" t="s">
        <v>30</v>
      </c>
      <c r="H1345" t="s">
        <v>79</v>
      </c>
      <c r="I1345" t="s">
        <v>48</v>
      </c>
      <c r="J1345">
        <v>2</v>
      </c>
      <c r="K1345">
        <v>18</v>
      </c>
      <c r="L1345">
        <v>5</v>
      </c>
      <c r="M1345">
        <v>855767</v>
      </c>
      <c r="N1345">
        <v>4278835</v>
      </c>
      <c r="O1345">
        <v>3471225</v>
      </c>
      <c r="P1345">
        <v>807610</v>
      </c>
    </row>
    <row r="1346" spans="1:16" x14ac:dyDescent="0.3">
      <c r="A1346">
        <v>2345</v>
      </c>
      <c r="B1346" t="s">
        <v>198</v>
      </c>
      <c r="C1346">
        <v>2024</v>
      </c>
      <c r="D1346" t="s">
        <v>29</v>
      </c>
      <c r="E1346" t="s">
        <v>40</v>
      </c>
      <c r="F1346" t="s">
        <v>120</v>
      </c>
      <c r="G1346" t="s">
        <v>36</v>
      </c>
      <c r="H1346" t="s">
        <v>52</v>
      </c>
      <c r="I1346" t="s">
        <v>22</v>
      </c>
      <c r="J1346">
        <v>1.2</v>
      </c>
      <c r="K1346">
        <v>16</v>
      </c>
      <c r="L1346">
        <v>5</v>
      </c>
      <c r="M1346">
        <v>1228965</v>
      </c>
      <c r="N1346">
        <v>6144825</v>
      </c>
      <c r="O1346">
        <v>5237467</v>
      </c>
      <c r="P1346">
        <v>907358</v>
      </c>
    </row>
    <row r="1347" spans="1:16" x14ac:dyDescent="0.3">
      <c r="A1347">
        <v>2346</v>
      </c>
      <c r="B1347" t="s">
        <v>281</v>
      </c>
      <c r="C1347">
        <v>2024</v>
      </c>
      <c r="D1347" t="s">
        <v>24</v>
      </c>
      <c r="E1347" t="s">
        <v>44</v>
      </c>
      <c r="F1347" t="s">
        <v>45</v>
      </c>
      <c r="G1347" t="s">
        <v>20</v>
      </c>
      <c r="H1347" t="s">
        <v>52</v>
      </c>
      <c r="I1347" t="s">
        <v>22</v>
      </c>
      <c r="J1347">
        <v>1.2</v>
      </c>
      <c r="K1347">
        <v>22</v>
      </c>
      <c r="L1347">
        <v>8</v>
      </c>
      <c r="M1347">
        <v>1117228</v>
      </c>
      <c r="N1347">
        <v>8937824</v>
      </c>
      <c r="O1347">
        <v>7536797</v>
      </c>
      <c r="P1347">
        <v>1401027</v>
      </c>
    </row>
    <row r="1348" spans="1:16" x14ac:dyDescent="0.3">
      <c r="A1348">
        <v>2347</v>
      </c>
      <c r="B1348" t="s">
        <v>292</v>
      </c>
      <c r="C1348">
        <v>2023</v>
      </c>
      <c r="D1348" t="s">
        <v>97</v>
      </c>
      <c r="E1348" t="s">
        <v>44</v>
      </c>
      <c r="F1348" t="s">
        <v>92</v>
      </c>
      <c r="G1348" t="s">
        <v>20</v>
      </c>
      <c r="H1348" t="s">
        <v>21</v>
      </c>
      <c r="I1348" t="s">
        <v>22</v>
      </c>
      <c r="J1348">
        <v>1.5</v>
      </c>
      <c r="K1348">
        <v>23</v>
      </c>
      <c r="L1348">
        <v>6</v>
      </c>
      <c r="M1348">
        <v>1258116</v>
      </c>
      <c r="N1348">
        <v>7548696</v>
      </c>
      <c r="O1348">
        <v>6603856</v>
      </c>
      <c r="P1348">
        <v>944840</v>
      </c>
    </row>
    <row r="1349" spans="1:16" x14ac:dyDescent="0.3">
      <c r="A1349">
        <v>2348</v>
      </c>
      <c r="B1349" t="s">
        <v>86</v>
      </c>
      <c r="C1349">
        <v>2024</v>
      </c>
      <c r="D1349" t="s">
        <v>39</v>
      </c>
      <c r="E1349" t="s">
        <v>40</v>
      </c>
      <c r="F1349" t="s">
        <v>104</v>
      </c>
      <c r="G1349" t="s">
        <v>20</v>
      </c>
      <c r="H1349" t="s">
        <v>54</v>
      </c>
      <c r="I1349" t="s">
        <v>48</v>
      </c>
      <c r="J1349">
        <v>1</v>
      </c>
      <c r="K1349">
        <v>21</v>
      </c>
      <c r="L1349">
        <v>8</v>
      </c>
      <c r="M1349">
        <v>782171</v>
      </c>
      <c r="N1349">
        <v>6257368</v>
      </c>
      <c r="O1349">
        <v>4828366</v>
      </c>
      <c r="P1349">
        <v>1429002</v>
      </c>
    </row>
    <row r="1350" spans="1:16" x14ac:dyDescent="0.3">
      <c r="A1350">
        <v>2349</v>
      </c>
      <c r="B1350" t="s">
        <v>551</v>
      </c>
      <c r="C1350">
        <v>2024</v>
      </c>
      <c r="D1350" t="s">
        <v>50</v>
      </c>
      <c r="E1350" t="s">
        <v>44</v>
      </c>
      <c r="F1350" t="s">
        <v>45</v>
      </c>
      <c r="G1350" t="s">
        <v>59</v>
      </c>
      <c r="H1350" t="s">
        <v>56</v>
      </c>
      <c r="I1350" t="s">
        <v>48</v>
      </c>
      <c r="J1350">
        <v>2</v>
      </c>
      <c r="K1350">
        <v>22</v>
      </c>
      <c r="L1350">
        <v>8</v>
      </c>
      <c r="M1350">
        <v>1112701</v>
      </c>
      <c r="N1350">
        <v>8901608</v>
      </c>
      <c r="O1350">
        <v>6904414</v>
      </c>
      <c r="P1350">
        <v>1997194</v>
      </c>
    </row>
    <row r="1351" spans="1:16" x14ac:dyDescent="0.3">
      <c r="A1351">
        <v>2350</v>
      </c>
      <c r="B1351" t="s">
        <v>677</v>
      </c>
      <c r="C1351">
        <v>2024</v>
      </c>
      <c r="D1351" t="s">
        <v>29</v>
      </c>
      <c r="E1351" t="s">
        <v>40</v>
      </c>
      <c r="F1351" t="s">
        <v>104</v>
      </c>
      <c r="G1351" t="s">
        <v>90</v>
      </c>
      <c r="H1351" t="s">
        <v>54</v>
      </c>
      <c r="I1351" t="s">
        <v>48</v>
      </c>
      <c r="J1351">
        <v>1</v>
      </c>
      <c r="K1351">
        <v>21</v>
      </c>
      <c r="L1351">
        <v>8</v>
      </c>
      <c r="M1351">
        <v>878042</v>
      </c>
      <c r="N1351">
        <v>7024336</v>
      </c>
      <c r="O1351">
        <v>6246941</v>
      </c>
      <c r="P1351">
        <v>777395</v>
      </c>
    </row>
    <row r="1352" spans="1:16" x14ac:dyDescent="0.3">
      <c r="A1352">
        <v>2351</v>
      </c>
      <c r="B1352" t="s">
        <v>407</v>
      </c>
      <c r="C1352">
        <v>2024</v>
      </c>
      <c r="D1352" t="s">
        <v>67</v>
      </c>
      <c r="E1352" t="s">
        <v>40</v>
      </c>
      <c r="F1352" t="s">
        <v>41</v>
      </c>
      <c r="G1352" t="s">
        <v>36</v>
      </c>
      <c r="H1352" t="s">
        <v>52</v>
      </c>
      <c r="I1352" t="s">
        <v>22</v>
      </c>
      <c r="J1352">
        <v>1</v>
      </c>
      <c r="K1352">
        <v>22</v>
      </c>
      <c r="L1352">
        <v>3</v>
      </c>
      <c r="M1352">
        <v>1477482</v>
      </c>
      <c r="N1352">
        <v>4432446</v>
      </c>
      <c r="O1352">
        <v>3812795</v>
      </c>
      <c r="P1352">
        <v>619651</v>
      </c>
    </row>
    <row r="1353" spans="1:16" x14ac:dyDescent="0.3">
      <c r="A1353">
        <v>2352</v>
      </c>
      <c r="B1353" t="s">
        <v>222</v>
      </c>
      <c r="C1353">
        <v>2023</v>
      </c>
      <c r="D1353" t="s">
        <v>61</v>
      </c>
      <c r="E1353" t="s">
        <v>18</v>
      </c>
      <c r="F1353" t="s">
        <v>35</v>
      </c>
      <c r="G1353" t="s">
        <v>30</v>
      </c>
      <c r="H1353" t="s">
        <v>79</v>
      </c>
      <c r="I1353" t="s">
        <v>48</v>
      </c>
      <c r="J1353">
        <v>2</v>
      </c>
      <c r="K1353">
        <v>21</v>
      </c>
      <c r="L1353">
        <v>2</v>
      </c>
      <c r="M1353">
        <v>1353380</v>
      </c>
      <c r="N1353">
        <v>2706760</v>
      </c>
      <c r="O1353">
        <v>2426411</v>
      </c>
      <c r="P1353">
        <v>280349</v>
      </c>
    </row>
    <row r="1354" spans="1:16" x14ac:dyDescent="0.3">
      <c r="A1354">
        <v>2353</v>
      </c>
      <c r="B1354" t="s">
        <v>431</v>
      </c>
      <c r="C1354">
        <v>2024</v>
      </c>
      <c r="D1354" t="s">
        <v>61</v>
      </c>
      <c r="E1354" t="s">
        <v>25</v>
      </c>
      <c r="F1354" t="s">
        <v>26</v>
      </c>
      <c r="G1354" t="s">
        <v>46</v>
      </c>
      <c r="H1354" t="s">
        <v>54</v>
      </c>
      <c r="I1354" t="s">
        <v>48</v>
      </c>
      <c r="J1354">
        <v>2</v>
      </c>
      <c r="K1354">
        <v>22</v>
      </c>
      <c r="L1354">
        <v>4</v>
      </c>
      <c r="M1354">
        <v>1052513</v>
      </c>
      <c r="N1354">
        <v>4210052</v>
      </c>
      <c r="O1354">
        <v>3325039</v>
      </c>
      <c r="P1354">
        <v>885013</v>
      </c>
    </row>
    <row r="1355" spans="1:16" x14ac:dyDescent="0.3">
      <c r="A1355">
        <v>2354</v>
      </c>
      <c r="B1355" t="s">
        <v>661</v>
      </c>
      <c r="C1355">
        <v>2024</v>
      </c>
      <c r="D1355" t="s">
        <v>29</v>
      </c>
      <c r="E1355" t="s">
        <v>44</v>
      </c>
      <c r="F1355" t="s">
        <v>92</v>
      </c>
      <c r="G1355" t="s">
        <v>30</v>
      </c>
      <c r="H1355" t="s">
        <v>37</v>
      </c>
      <c r="I1355" t="s">
        <v>32</v>
      </c>
      <c r="J1355">
        <v>1</v>
      </c>
      <c r="K1355">
        <v>19</v>
      </c>
      <c r="L1355">
        <v>7</v>
      </c>
      <c r="M1355">
        <v>758524</v>
      </c>
      <c r="N1355">
        <v>5309668</v>
      </c>
      <c r="O1355">
        <v>4014279</v>
      </c>
      <c r="P1355">
        <v>1295389</v>
      </c>
    </row>
    <row r="1356" spans="1:16" x14ac:dyDescent="0.3">
      <c r="A1356">
        <v>2355</v>
      </c>
      <c r="B1356" t="s">
        <v>440</v>
      </c>
      <c r="C1356">
        <v>2023</v>
      </c>
      <c r="D1356" t="s">
        <v>34</v>
      </c>
      <c r="E1356" t="s">
        <v>18</v>
      </c>
      <c r="F1356" t="s">
        <v>19</v>
      </c>
      <c r="G1356" t="s">
        <v>20</v>
      </c>
      <c r="H1356" t="s">
        <v>47</v>
      </c>
      <c r="I1356" t="s">
        <v>48</v>
      </c>
      <c r="J1356">
        <v>1</v>
      </c>
      <c r="K1356">
        <v>23</v>
      </c>
      <c r="L1356">
        <v>3</v>
      </c>
      <c r="M1356">
        <v>1421729</v>
      </c>
      <c r="N1356">
        <v>4265187</v>
      </c>
      <c r="O1356">
        <v>3500957</v>
      </c>
      <c r="P1356">
        <v>764230</v>
      </c>
    </row>
    <row r="1357" spans="1:16" x14ac:dyDescent="0.3">
      <c r="A1357">
        <v>2356</v>
      </c>
      <c r="B1357" t="s">
        <v>412</v>
      </c>
      <c r="C1357">
        <v>2023</v>
      </c>
      <c r="D1357" t="s">
        <v>50</v>
      </c>
      <c r="E1357" t="s">
        <v>44</v>
      </c>
      <c r="F1357" t="s">
        <v>92</v>
      </c>
      <c r="G1357" t="s">
        <v>36</v>
      </c>
      <c r="H1357" t="s">
        <v>100</v>
      </c>
      <c r="I1357" t="s">
        <v>22</v>
      </c>
      <c r="J1357">
        <v>2</v>
      </c>
      <c r="K1357">
        <v>20</v>
      </c>
      <c r="L1357">
        <v>7</v>
      </c>
      <c r="M1357">
        <v>1148760</v>
      </c>
      <c r="N1357">
        <v>8041320</v>
      </c>
      <c r="O1357">
        <v>6846797</v>
      </c>
      <c r="P1357">
        <v>1194523</v>
      </c>
    </row>
    <row r="1358" spans="1:16" x14ac:dyDescent="0.3">
      <c r="A1358">
        <v>2357</v>
      </c>
      <c r="B1358" t="s">
        <v>463</v>
      </c>
      <c r="C1358">
        <v>2023</v>
      </c>
      <c r="D1358" t="s">
        <v>50</v>
      </c>
      <c r="E1358" t="s">
        <v>25</v>
      </c>
      <c r="F1358" t="s">
        <v>84</v>
      </c>
      <c r="G1358" t="s">
        <v>36</v>
      </c>
      <c r="H1358" t="s">
        <v>100</v>
      </c>
      <c r="I1358" t="s">
        <v>22</v>
      </c>
      <c r="J1358">
        <v>1.2</v>
      </c>
      <c r="K1358">
        <v>22</v>
      </c>
      <c r="L1358">
        <v>4</v>
      </c>
      <c r="M1358">
        <v>883786</v>
      </c>
      <c r="N1358">
        <v>3535144</v>
      </c>
      <c r="O1358">
        <v>3052215</v>
      </c>
      <c r="P1358">
        <v>482929</v>
      </c>
    </row>
    <row r="1359" spans="1:16" x14ac:dyDescent="0.3">
      <c r="A1359">
        <v>2358</v>
      </c>
      <c r="B1359" t="s">
        <v>700</v>
      </c>
      <c r="C1359">
        <v>2023</v>
      </c>
      <c r="D1359" t="s">
        <v>43</v>
      </c>
      <c r="E1359" t="s">
        <v>44</v>
      </c>
      <c r="F1359" t="s">
        <v>45</v>
      </c>
      <c r="G1359" t="s">
        <v>27</v>
      </c>
      <c r="H1359" t="s">
        <v>56</v>
      </c>
      <c r="I1359" t="s">
        <v>48</v>
      </c>
      <c r="J1359">
        <v>2</v>
      </c>
      <c r="K1359">
        <v>16</v>
      </c>
      <c r="L1359">
        <v>6</v>
      </c>
      <c r="M1359">
        <v>1457746</v>
      </c>
      <c r="N1359">
        <v>8746476</v>
      </c>
      <c r="O1359">
        <v>6620767</v>
      </c>
      <c r="P1359">
        <v>2125709</v>
      </c>
    </row>
    <row r="1360" spans="1:16" x14ac:dyDescent="0.3">
      <c r="A1360">
        <v>2359</v>
      </c>
      <c r="B1360" t="s">
        <v>205</v>
      </c>
      <c r="C1360">
        <v>2024</v>
      </c>
      <c r="D1360" t="s">
        <v>17</v>
      </c>
      <c r="E1360" t="s">
        <v>44</v>
      </c>
      <c r="F1360" t="s">
        <v>92</v>
      </c>
      <c r="G1360" t="s">
        <v>36</v>
      </c>
      <c r="H1360" t="s">
        <v>31</v>
      </c>
      <c r="I1360" t="s">
        <v>32</v>
      </c>
      <c r="J1360">
        <v>1.2</v>
      </c>
      <c r="K1360">
        <v>18</v>
      </c>
      <c r="L1360">
        <v>8</v>
      </c>
      <c r="M1360">
        <v>889504</v>
      </c>
      <c r="N1360">
        <v>7116032</v>
      </c>
      <c r="O1360">
        <v>6028761</v>
      </c>
      <c r="P1360">
        <v>1087271</v>
      </c>
    </row>
    <row r="1361" spans="1:16" x14ac:dyDescent="0.3">
      <c r="A1361">
        <v>2360</v>
      </c>
      <c r="B1361" t="s">
        <v>546</v>
      </c>
      <c r="C1361">
        <v>2023</v>
      </c>
      <c r="D1361" t="s">
        <v>43</v>
      </c>
      <c r="E1361" t="s">
        <v>44</v>
      </c>
      <c r="F1361" t="s">
        <v>92</v>
      </c>
      <c r="G1361" t="s">
        <v>46</v>
      </c>
      <c r="H1361" t="s">
        <v>56</v>
      </c>
      <c r="I1361" t="s">
        <v>48</v>
      </c>
      <c r="J1361">
        <v>1.5</v>
      </c>
      <c r="K1361">
        <v>16</v>
      </c>
      <c r="L1361">
        <v>3</v>
      </c>
      <c r="M1361">
        <v>1159546</v>
      </c>
      <c r="N1361">
        <v>3478638</v>
      </c>
      <c r="O1361">
        <v>2639090</v>
      </c>
      <c r="P1361">
        <v>839548</v>
      </c>
    </row>
    <row r="1362" spans="1:16" x14ac:dyDescent="0.3">
      <c r="A1362">
        <v>2361</v>
      </c>
      <c r="B1362" t="s">
        <v>269</v>
      </c>
      <c r="C1362">
        <v>2023</v>
      </c>
      <c r="D1362" t="s">
        <v>24</v>
      </c>
      <c r="E1362" t="s">
        <v>44</v>
      </c>
      <c r="F1362" t="s">
        <v>92</v>
      </c>
      <c r="G1362" t="s">
        <v>90</v>
      </c>
      <c r="H1362" t="s">
        <v>63</v>
      </c>
      <c r="I1362" t="s">
        <v>22</v>
      </c>
      <c r="J1362">
        <v>1.2</v>
      </c>
      <c r="K1362">
        <v>18</v>
      </c>
      <c r="L1362">
        <v>8</v>
      </c>
      <c r="M1362">
        <v>1473255</v>
      </c>
      <c r="N1362">
        <v>11786040</v>
      </c>
      <c r="O1362">
        <v>10296216</v>
      </c>
      <c r="P1362">
        <v>1489824</v>
      </c>
    </row>
    <row r="1363" spans="1:16" x14ac:dyDescent="0.3">
      <c r="A1363">
        <v>2362</v>
      </c>
      <c r="B1363" t="s">
        <v>231</v>
      </c>
      <c r="C1363">
        <v>2023</v>
      </c>
      <c r="D1363" t="s">
        <v>67</v>
      </c>
      <c r="E1363" t="s">
        <v>40</v>
      </c>
      <c r="F1363" t="s">
        <v>104</v>
      </c>
      <c r="G1363" t="s">
        <v>20</v>
      </c>
      <c r="H1363" t="s">
        <v>56</v>
      </c>
      <c r="I1363" t="s">
        <v>48</v>
      </c>
      <c r="J1363">
        <v>1</v>
      </c>
      <c r="K1363">
        <v>23</v>
      </c>
      <c r="L1363">
        <v>8</v>
      </c>
      <c r="M1363">
        <v>1034317</v>
      </c>
      <c r="N1363">
        <v>8274536</v>
      </c>
      <c r="O1363">
        <v>6510378</v>
      </c>
      <c r="P1363">
        <v>1764158</v>
      </c>
    </row>
    <row r="1364" spans="1:16" x14ac:dyDescent="0.3">
      <c r="A1364">
        <v>2363</v>
      </c>
      <c r="B1364" t="s">
        <v>254</v>
      </c>
      <c r="C1364">
        <v>2024</v>
      </c>
      <c r="D1364" t="s">
        <v>17</v>
      </c>
      <c r="E1364" t="s">
        <v>40</v>
      </c>
      <c r="F1364" t="s">
        <v>120</v>
      </c>
      <c r="G1364" t="s">
        <v>36</v>
      </c>
      <c r="H1364" t="s">
        <v>31</v>
      </c>
      <c r="I1364" t="s">
        <v>32</v>
      </c>
      <c r="J1364">
        <v>2</v>
      </c>
      <c r="K1364">
        <v>21</v>
      </c>
      <c r="L1364">
        <v>4</v>
      </c>
      <c r="M1364">
        <v>1366194</v>
      </c>
      <c r="N1364">
        <v>5464776</v>
      </c>
      <c r="O1364">
        <v>4100226</v>
      </c>
      <c r="P1364">
        <v>1364550</v>
      </c>
    </row>
    <row r="1365" spans="1:16" x14ac:dyDescent="0.3">
      <c r="A1365">
        <v>2364</v>
      </c>
      <c r="B1365" t="s">
        <v>321</v>
      </c>
      <c r="C1365">
        <v>2023</v>
      </c>
      <c r="D1365" t="s">
        <v>97</v>
      </c>
      <c r="E1365" t="s">
        <v>44</v>
      </c>
      <c r="F1365" t="s">
        <v>70</v>
      </c>
      <c r="G1365" t="s">
        <v>20</v>
      </c>
      <c r="H1365" t="s">
        <v>54</v>
      </c>
      <c r="I1365" t="s">
        <v>48</v>
      </c>
      <c r="J1365">
        <v>1</v>
      </c>
      <c r="K1365">
        <v>18</v>
      </c>
      <c r="L1365">
        <v>4</v>
      </c>
      <c r="M1365">
        <v>1290443</v>
      </c>
      <c r="N1365">
        <v>5161772</v>
      </c>
      <c r="O1365">
        <v>4445450</v>
      </c>
      <c r="P1365">
        <v>716322</v>
      </c>
    </row>
    <row r="1366" spans="1:16" x14ac:dyDescent="0.3">
      <c r="A1366">
        <v>2365</v>
      </c>
      <c r="B1366" t="s">
        <v>469</v>
      </c>
      <c r="C1366">
        <v>2024</v>
      </c>
      <c r="D1366" t="s">
        <v>61</v>
      </c>
      <c r="E1366" t="s">
        <v>40</v>
      </c>
      <c r="F1366" t="s">
        <v>41</v>
      </c>
      <c r="G1366" t="s">
        <v>36</v>
      </c>
      <c r="H1366" t="s">
        <v>52</v>
      </c>
      <c r="I1366" t="s">
        <v>22</v>
      </c>
      <c r="J1366">
        <v>2</v>
      </c>
      <c r="K1366">
        <v>16</v>
      </c>
      <c r="L1366">
        <v>5</v>
      </c>
      <c r="M1366">
        <v>1240582</v>
      </c>
      <c r="N1366">
        <v>6202910</v>
      </c>
      <c r="O1366">
        <v>5030898</v>
      </c>
      <c r="P1366">
        <v>1172012</v>
      </c>
    </row>
    <row r="1367" spans="1:16" x14ac:dyDescent="0.3">
      <c r="A1367">
        <v>2366</v>
      </c>
      <c r="B1367" t="s">
        <v>671</v>
      </c>
      <c r="C1367">
        <v>2023</v>
      </c>
      <c r="D1367" t="s">
        <v>34</v>
      </c>
      <c r="E1367" t="s">
        <v>44</v>
      </c>
      <c r="F1367" t="s">
        <v>92</v>
      </c>
      <c r="G1367" t="s">
        <v>36</v>
      </c>
      <c r="H1367" t="s">
        <v>47</v>
      </c>
      <c r="I1367" t="s">
        <v>48</v>
      </c>
      <c r="J1367">
        <v>1.5</v>
      </c>
      <c r="K1367">
        <v>21</v>
      </c>
      <c r="L1367">
        <v>1</v>
      </c>
      <c r="M1367">
        <v>906314</v>
      </c>
      <c r="N1367">
        <v>906314</v>
      </c>
      <c r="O1367">
        <v>713561</v>
      </c>
      <c r="P1367">
        <v>192753</v>
      </c>
    </row>
    <row r="1368" spans="1:16" x14ac:dyDescent="0.3">
      <c r="A1368">
        <v>2367</v>
      </c>
      <c r="B1368" t="s">
        <v>685</v>
      </c>
      <c r="C1368">
        <v>2023</v>
      </c>
      <c r="D1368" t="s">
        <v>50</v>
      </c>
      <c r="E1368" t="s">
        <v>40</v>
      </c>
      <c r="F1368" t="s">
        <v>41</v>
      </c>
      <c r="G1368" t="s">
        <v>20</v>
      </c>
      <c r="H1368" t="s">
        <v>56</v>
      </c>
      <c r="I1368" t="s">
        <v>48</v>
      </c>
      <c r="J1368">
        <v>1.5</v>
      </c>
      <c r="K1368">
        <v>22</v>
      </c>
      <c r="L1368">
        <v>6</v>
      </c>
      <c r="M1368">
        <v>1173159</v>
      </c>
      <c r="N1368">
        <v>7038954</v>
      </c>
      <c r="O1368">
        <v>5427411</v>
      </c>
      <c r="P1368">
        <v>1611543</v>
      </c>
    </row>
    <row r="1369" spans="1:16" x14ac:dyDescent="0.3">
      <c r="A1369">
        <v>2368</v>
      </c>
      <c r="B1369" t="s">
        <v>701</v>
      </c>
      <c r="C1369">
        <v>2023</v>
      </c>
      <c r="D1369" t="s">
        <v>67</v>
      </c>
      <c r="E1369" t="s">
        <v>18</v>
      </c>
      <c r="F1369" t="s">
        <v>72</v>
      </c>
      <c r="G1369" t="s">
        <v>59</v>
      </c>
      <c r="H1369" t="s">
        <v>56</v>
      </c>
      <c r="I1369" t="s">
        <v>48</v>
      </c>
      <c r="J1369">
        <v>2</v>
      </c>
      <c r="K1369">
        <v>22</v>
      </c>
      <c r="L1369">
        <v>6</v>
      </c>
      <c r="M1369">
        <v>842228</v>
      </c>
      <c r="N1369">
        <v>5053368</v>
      </c>
      <c r="O1369">
        <v>3899843</v>
      </c>
      <c r="P1369">
        <v>1153525</v>
      </c>
    </row>
    <row r="1370" spans="1:16" x14ac:dyDescent="0.3">
      <c r="A1370">
        <v>2369</v>
      </c>
      <c r="B1370" t="s">
        <v>594</v>
      </c>
      <c r="C1370">
        <v>2024</v>
      </c>
      <c r="D1370" t="s">
        <v>74</v>
      </c>
      <c r="E1370" t="s">
        <v>44</v>
      </c>
      <c r="F1370" t="s">
        <v>62</v>
      </c>
      <c r="G1370" t="s">
        <v>36</v>
      </c>
      <c r="H1370" t="s">
        <v>100</v>
      </c>
      <c r="I1370" t="s">
        <v>22</v>
      </c>
      <c r="J1370">
        <v>1</v>
      </c>
      <c r="K1370">
        <v>21</v>
      </c>
      <c r="L1370">
        <v>3</v>
      </c>
      <c r="M1370">
        <v>1065808</v>
      </c>
      <c r="N1370">
        <v>3197424</v>
      </c>
      <c r="O1370">
        <v>2859161</v>
      </c>
      <c r="P1370">
        <v>338263</v>
      </c>
    </row>
    <row r="1371" spans="1:16" x14ac:dyDescent="0.3">
      <c r="A1371">
        <v>2370</v>
      </c>
      <c r="B1371" t="s">
        <v>702</v>
      </c>
      <c r="C1371">
        <v>2024</v>
      </c>
      <c r="D1371" t="s">
        <v>29</v>
      </c>
      <c r="E1371" t="s">
        <v>44</v>
      </c>
      <c r="F1371" t="s">
        <v>62</v>
      </c>
      <c r="G1371" t="s">
        <v>51</v>
      </c>
      <c r="H1371" t="s">
        <v>63</v>
      </c>
      <c r="I1371" t="s">
        <v>22</v>
      </c>
      <c r="J1371">
        <v>1</v>
      </c>
      <c r="K1371">
        <v>20</v>
      </c>
      <c r="L1371">
        <v>2</v>
      </c>
      <c r="M1371">
        <v>964368</v>
      </c>
      <c r="N1371">
        <v>1928736</v>
      </c>
      <c r="O1371">
        <v>1552915</v>
      </c>
      <c r="P1371">
        <v>375821</v>
      </c>
    </row>
    <row r="1372" spans="1:16" x14ac:dyDescent="0.3">
      <c r="A1372">
        <v>2371</v>
      </c>
      <c r="B1372" t="s">
        <v>266</v>
      </c>
      <c r="C1372">
        <v>2023</v>
      </c>
      <c r="D1372" t="s">
        <v>39</v>
      </c>
      <c r="E1372" t="s">
        <v>44</v>
      </c>
      <c r="F1372" t="s">
        <v>62</v>
      </c>
      <c r="G1372" t="s">
        <v>90</v>
      </c>
      <c r="H1372" t="s">
        <v>100</v>
      </c>
      <c r="I1372" t="s">
        <v>22</v>
      </c>
      <c r="J1372">
        <v>1</v>
      </c>
      <c r="K1372">
        <v>18</v>
      </c>
      <c r="L1372">
        <v>2</v>
      </c>
      <c r="M1372">
        <v>1126025</v>
      </c>
      <c r="N1372">
        <v>2252050</v>
      </c>
      <c r="O1372">
        <v>1843739</v>
      </c>
      <c r="P1372">
        <v>408311</v>
      </c>
    </row>
    <row r="1373" spans="1:16" x14ac:dyDescent="0.3">
      <c r="A1373">
        <v>2372</v>
      </c>
      <c r="B1373" t="s">
        <v>125</v>
      </c>
      <c r="C1373">
        <v>2024</v>
      </c>
      <c r="D1373" t="s">
        <v>43</v>
      </c>
      <c r="E1373" t="s">
        <v>40</v>
      </c>
      <c r="F1373" t="s">
        <v>104</v>
      </c>
      <c r="G1373" t="s">
        <v>59</v>
      </c>
      <c r="H1373" t="s">
        <v>54</v>
      </c>
      <c r="I1373" t="s">
        <v>48</v>
      </c>
      <c r="J1373">
        <v>1.5</v>
      </c>
      <c r="K1373">
        <v>20</v>
      </c>
      <c r="L1373">
        <v>4</v>
      </c>
      <c r="M1373">
        <v>1344599</v>
      </c>
      <c r="N1373">
        <v>5378396</v>
      </c>
      <c r="O1373">
        <v>4483820</v>
      </c>
      <c r="P1373">
        <v>894576</v>
      </c>
    </row>
    <row r="1374" spans="1:16" x14ac:dyDescent="0.3">
      <c r="A1374">
        <v>2373</v>
      </c>
      <c r="B1374" t="s">
        <v>527</v>
      </c>
      <c r="C1374">
        <v>2024</v>
      </c>
      <c r="D1374" t="s">
        <v>24</v>
      </c>
      <c r="E1374" t="s">
        <v>44</v>
      </c>
      <c r="F1374" t="s">
        <v>70</v>
      </c>
      <c r="G1374" t="s">
        <v>46</v>
      </c>
      <c r="H1374" t="s">
        <v>100</v>
      </c>
      <c r="I1374" t="s">
        <v>22</v>
      </c>
      <c r="J1374">
        <v>2</v>
      </c>
      <c r="K1374">
        <v>21</v>
      </c>
      <c r="L1374">
        <v>8</v>
      </c>
      <c r="M1374">
        <v>1218821</v>
      </c>
      <c r="N1374">
        <v>9750568</v>
      </c>
      <c r="O1374">
        <v>8552007</v>
      </c>
      <c r="P1374">
        <v>1198561</v>
      </c>
    </row>
    <row r="1375" spans="1:16" x14ac:dyDescent="0.3">
      <c r="A1375">
        <v>2374</v>
      </c>
      <c r="B1375" t="s">
        <v>428</v>
      </c>
      <c r="C1375">
        <v>2024</v>
      </c>
      <c r="D1375" t="s">
        <v>17</v>
      </c>
      <c r="E1375" t="s">
        <v>40</v>
      </c>
      <c r="F1375" t="s">
        <v>104</v>
      </c>
      <c r="G1375" t="s">
        <v>46</v>
      </c>
      <c r="H1375" t="s">
        <v>56</v>
      </c>
      <c r="I1375" t="s">
        <v>48</v>
      </c>
      <c r="J1375">
        <v>1.2</v>
      </c>
      <c r="K1375">
        <v>23</v>
      </c>
      <c r="L1375">
        <v>8</v>
      </c>
      <c r="M1375">
        <v>1251225</v>
      </c>
      <c r="N1375">
        <v>10009800</v>
      </c>
      <c r="O1375">
        <v>8098201</v>
      </c>
      <c r="P1375">
        <v>1911599</v>
      </c>
    </row>
    <row r="1376" spans="1:16" x14ac:dyDescent="0.3">
      <c r="A1376">
        <v>2375</v>
      </c>
      <c r="B1376" t="s">
        <v>703</v>
      </c>
      <c r="C1376">
        <v>2024</v>
      </c>
      <c r="D1376" t="s">
        <v>17</v>
      </c>
      <c r="E1376" t="s">
        <v>18</v>
      </c>
      <c r="F1376" t="s">
        <v>35</v>
      </c>
      <c r="G1376" t="s">
        <v>51</v>
      </c>
      <c r="H1376" t="s">
        <v>54</v>
      </c>
      <c r="I1376" t="s">
        <v>48</v>
      </c>
      <c r="J1376">
        <v>1.5</v>
      </c>
      <c r="K1376">
        <v>23</v>
      </c>
      <c r="L1376">
        <v>4</v>
      </c>
      <c r="M1376">
        <v>858302</v>
      </c>
      <c r="N1376">
        <v>3433208</v>
      </c>
      <c r="O1376">
        <v>2899702</v>
      </c>
      <c r="P1376">
        <v>533506</v>
      </c>
    </row>
    <row r="1377" spans="1:16" x14ac:dyDescent="0.3">
      <c r="A1377">
        <v>2376</v>
      </c>
      <c r="B1377" t="s">
        <v>564</v>
      </c>
      <c r="C1377">
        <v>2024</v>
      </c>
      <c r="D1377" t="s">
        <v>97</v>
      </c>
      <c r="E1377" t="s">
        <v>25</v>
      </c>
      <c r="F1377" t="s">
        <v>77</v>
      </c>
      <c r="G1377" t="s">
        <v>27</v>
      </c>
      <c r="H1377" t="s">
        <v>79</v>
      </c>
      <c r="I1377" t="s">
        <v>48</v>
      </c>
      <c r="J1377">
        <v>1.5</v>
      </c>
      <c r="K1377">
        <v>16</v>
      </c>
      <c r="L1377">
        <v>8</v>
      </c>
      <c r="M1377">
        <v>1428343</v>
      </c>
      <c r="N1377">
        <v>11426744</v>
      </c>
      <c r="O1377">
        <v>8949723</v>
      </c>
      <c r="P1377">
        <v>2477021</v>
      </c>
    </row>
    <row r="1378" spans="1:16" x14ac:dyDescent="0.3">
      <c r="A1378">
        <v>2377</v>
      </c>
      <c r="B1378" t="s">
        <v>354</v>
      </c>
      <c r="C1378">
        <v>2023</v>
      </c>
      <c r="D1378" t="s">
        <v>34</v>
      </c>
      <c r="E1378" t="s">
        <v>18</v>
      </c>
      <c r="F1378" t="s">
        <v>35</v>
      </c>
      <c r="G1378" t="s">
        <v>59</v>
      </c>
      <c r="H1378" t="s">
        <v>56</v>
      </c>
      <c r="I1378" t="s">
        <v>48</v>
      </c>
      <c r="J1378">
        <v>1.2</v>
      </c>
      <c r="K1378">
        <v>22</v>
      </c>
      <c r="L1378">
        <v>1</v>
      </c>
      <c r="M1378">
        <v>1385193</v>
      </c>
      <c r="N1378">
        <v>1385193</v>
      </c>
      <c r="O1378">
        <v>1199105</v>
      </c>
      <c r="P1378">
        <v>186088</v>
      </c>
    </row>
    <row r="1379" spans="1:16" x14ac:dyDescent="0.3">
      <c r="A1379">
        <v>2378</v>
      </c>
      <c r="B1379" t="s">
        <v>344</v>
      </c>
      <c r="C1379">
        <v>2023</v>
      </c>
      <c r="D1379" t="s">
        <v>74</v>
      </c>
      <c r="E1379" t="s">
        <v>44</v>
      </c>
      <c r="F1379" t="s">
        <v>62</v>
      </c>
      <c r="G1379" t="s">
        <v>30</v>
      </c>
      <c r="H1379" t="s">
        <v>63</v>
      </c>
      <c r="I1379" t="s">
        <v>22</v>
      </c>
      <c r="J1379">
        <v>1.5</v>
      </c>
      <c r="K1379">
        <v>18</v>
      </c>
      <c r="L1379">
        <v>6</v>
      </c>
      <c r="M1379">
        <v>1347276</v>
      </c>
      <c r="N1379">
        <v>8083656</v>
      </c>
      <c r="O1379">
        <v>6337214</v>
      </c>
      <c r="P1379">
        <v>1746442</v>
      </c>
    </row>
    <row r="1380" spans="1:16" x14ac:dyDescent="0.3">
      <c r="A1380">
        <v>2379</v>
      </c>
      <c r="B1380" t="s">
        <v>173</v>
      </c>
      <c r="C1380">
        <v>2023</v>
      </c>
      <c r="D1380" t="s">
        <v>61</v>
      </c>
      <c r="E1380" t="s">
        <v>40</v>
      </c>
      <c r="F1380" t="s">
        <v>120</v>
      </c>
      <c r="G1380" t="s">
        <v>51</v>
      </c>
      <c r="H1380" t="s">
        <v>31</v>
      </c>
      <c r="I1380" t="s">
        <v>32</v>
      </c>
      <c r="J1380">
        <v>1.5</v>
      </c>
      <c r="K1380">
        <v>18</v>
      </c>
      <c r="L1380">
        <v>4</v>
      </c>
      <c r="M1380">
        <v>1261636</v>
      </c>
      <c r="N1380">
        <v>5046544</v>
      </c>
      <c r="O1380">
        <v>4056775</v>
      </c>
      <c r="P1380">
        <v>989769</v>
      </c>
    </row>
    <row r="1381" spans="1:16" x14ac:dyDescent="0.3">
      <c r="A1381">
        <v>2380</v>
      </c>
      <c r="B1381" t="s">
        <v>393</v>
      </c>
      <c r="C1381">
        <v>2023</v>
      </c>
      <c r="D1381" t="s">
        <v>76</v>
      </c>
      <c r="E1381" t="s">
        <v>18</v>
      </c>
      <c r="F1381" t="s">
        <v>72</v>
      </c>
      <c r="G1381" t="s">
        <v>51</v>
      </c>
      <c r="H1381" t="s">
        <v>21</v>
      </c>
      <c r="I1381" t="s">
        <v>22</v>
      </c>
      <c r="J1381">
        <v>1.2</v>
      </c>
      <c r="K1381">
        <v>20</v>
      </c>
      <c r="L1381">
        <v>3</v>
      </c>
      <c r="M1381">
        <v>1347007</v>
      </c>
      <c r="N1381">
        <v>4041021</v>
      </c>
      <c r="O1381">
        <v>3624947</v>
      </c>
      <c r="P1381">
        <v>416074</v>
      </c>
    </row>
    <row r="1382" spans="1:16" x14ac:dyDescent="0.3">
      <c r="A1382">
        <v>2381</v>
      </c>
      <c r="B1382" t="s">
        <v>604</v>
      </c>
      <c r="C1382">
        <v>2023</v>
      </c>
      <c r="D1382" t="s">
        <v>67</v>
      </c>
      <c r="E1382" t="s">
        <v>25</v>
      </c>
      <c r="F1382" t="s">
        <v>26</v>
      </c>
      <c r="G1382" t="s">
        <v>20</v>
      </c>
      <c r="H1382" t="s">
        <v>79</v>
      </c>
      <c r="I1382" t="s">
        <v>48</v>
      </c>
      <c r="J1382">
        <v>1</v>
      </c>
      <c r="K1382">
        <v>16</v>
      </c>
      <c r="L1382">
        <v>2</v>
      </c>
      <c r="M1382">
        <v>621893</v>
      </c>
      <c r="N1382">
        <v>1243786</v>
      </c>
      <c r="O1382">
        <v>972813</v>
      </c>
      <c r="P1382">
        <v>270973</v>
      </c>
    </row>
    <row r="1383" spans="1:16" x14ac:dyDescent="0.3">
      <c r="A1383">
        <v>2382</v>
      </c>
      <c r="B1383" t="s">
        <v>704</v>
      </c>
      <c r="C1383">
        <v>2023</v>
      </c>
      <c r="D1383" t="s">
        <v>76</v>
      </c>
      <c r="E1383" t="s">
        <v>18</v>
      </c>
      <c r="F1383" t="s">
        <v>35</v>
      </c>
      <c r="G1383" t="s">
        <v>59</v>
      </c>
      <c r="H1383" t="s">
        <v>21</v>
      </c>
      <c r="I1383" t="s">
        <v>22</v>
      </c>
      <c r="J1383">
        <v>1</v>
      </c>
      <c r="K1383">
        <v>16</v>
      </c>
      <c r="L1383">
        <v>7</v>
      </c>
      <c r="M1383">
        <v>869401</v>
      </c>
      <c r="N1383">
        <v>6085807</v>
      </c>
      <c r="O1383">
        <v>5122319</v>
      </c>
      <c r="P1383">
        <v>963488</v>
      </c>
    </row>
    <row r="1384" spans="1:16" x14ac:dyDescent="0.3">
      <c r="A1384">
        <v>2383</v>
      </c>
      <c r="B1384" t="s">
        <v>532</v>
      </c>
      <c r="C1384">
        <v>2023</v>
      </c>
      <c r="D1384" t="s">
        <v>24</v>
      </c>
      <c r="E1384" t="s">
        <v>18</v>
      </c>
      <c r="F1384" t="s">
        <v>19</v>
      </c>
      <c r="G1384" t="s">
        <v>20</v>
      </c>
      <c r="H1384" t="s">
        <v>21</v>
      </c>
      <c r="I1384" t="s">
        <v>22</v>
      </c>
      <c r="J1384">
        <v>1.2</v>
      </c>
      <c r="K1384">
        <v>16</v>
      </c>
      <c r="L1384">
        <v>6</v>
      </c>
      <c r="M1384">
        <v>743171</v>
      </c>
      <c r="N1384">
        <v>4459026</v>
      </c>
      <c r="O1384">
        <v>3570346</v>
      </c>
      <c r="P1384">
        <v>888680</v>
      </c>
    </row>
    <row r="1385" spans="1:16" x14ac:dyDescent="0.3">
      <c r="A1385">
        <v>2384</v>
      </c>
      <c r="B1385" t="s">
        <v>238</v>
      </c>
      <c r="C1385">
        <v>2024</v>
      </c>
      <c r="D1385" t="s">
        <v>50</v>
      </c>
      <c r="E1385" t="s">
        <v>44</v>
      </c>
      <c r="F1385" t="s">
        <v>45</v>
      </c>
      <c r="G1385" t="s">
        <v>46</v>
      </c>
      <c r="H1385" t="s">
        <v>31</v>
      </c>
      <c r="I1385" t="s">
        <v>32</v>
      </c>
      <c r="J1385">
        <v>1.2</v>
      </c>
      <c r="K1385">
        <v>16</v>
      </c>
      <c r="L1385">
        <v>4</v>
      </c>
      <c r="M1385">
        <v>1085750</v>
      </c>
      <c r="N1385">
        <v>4343000</v>
      </c>
      <c r="O1385">
        <v>3443338</v>
      </c>
      <c r="P1385">
        <v>899662</v>
      </c>
    </row>
    <row r="1386" spans="1:16" x14ac:dyDescent="0.3">
      <c r="A1386">
        <v>2385</v>
      </c>
      <c r="B1386" t="s">
        <v>640</v>
      </c>
      <c r="C1386">
        <v>2023</v>
      </c>
      <c r="D1386" t="s">
        <v>29</v>
      </c>
      <c r="E1386" t="s">
        <v>25</v>
      </c>
      <c r="F1386" t="s">
        <v>77</v>
      </c>
      <c r="G1386" t="s">
        <v>59</v>
      </c>
      <c r="H1386" t="s">
        <v>79</v>
      </c>
      <c r="I1386" t="s">
        <v>48</v>
      </c>
      <c r="J1386">
        <v>1.5</v>
      </c>
      <c r="K1386">
        <v>18</v>
      </c>
      <c r="L1386">
        <v>6</v>
      </c>
      <c r="M1386">
        <v>797664</v>
      </c>
      <c r="N1386">
        <v>4785984</v>
      </c>
      <c r="O1386">
        <v>4276782</v>
      </c>
      <c r="P1386">
        <v>509202</v>
      </c>
    </row>
    <row r="1387" spans="1:16" x14ac:dyDescent="0.3">
      <c r="A1387">
        <v>2386</v>
      </c>
      <c r="B1387" t="s">
        <v>705</v>
      </c>
      <c r="C1387">
        <v>2023</v>
      </c>
      <c r="D1387" t="s">
        <v>29</v>
      </c>
      <c r="E1387" t="s">
        <v>40</v>
      </c>
      <c r="F1387" t="s">
        <v>120</v>
      </c>
      <c r="G1387" t="s">
        <v>59</v>
      </c>
      <c r="H1387" t="s">
        <v>100</v>
      </c>
      <c r="I1387" t="s">
        <v>22</v>
      </c>
      <c r="J1387">
        <v>1</v>
      </c>
      <c r="K1387">
        <v>23</v>
      </c>
      <c r="L1387">
        <v>7</v>
      </c>
      <c r="M1387">
        <v>854951</v>
      </c>
      <c r="N1387">
        <v>5984657</v>
      </c>
      <c r="O1387">
        <v>4532159</v>
      </c>
      <c r="P1387">
        <v>1452498</v>
      </c>
    </row>
    <row r="1388" spans="1:16" x14ac:dyDescent="0.3">
      <c r="A1388">
        <v>2387</v>
      </c>
      <c r="B1388" t="s">
        <v>143</v>
      </c>
      <c r="C1388">
        <v>2024</v>
      </c>
      <c r="D1388" t="s">
        <v>43</v>
      </c>
      <c r="E1388" t="s">
        <v>44</v>
      </c>
      <c r="F1388" t="s">
        <v>45</v>
      </c>
      <c r="G1388" t="s">
        <v>59</v>
      </c>
      <c r="H1388" t="s">
        <v>100</v>
      </c>
      <c r="I1388" t="s">
        <v>22</v>
      </c>
      <c r="J1388">
        <v>1.2</v>
      </c>
      <c r="K1388">
        <v>23</v>
      </c>
      <c r="L1388">
        <v>7</v>
      </c>
      <c r="M1388">
        <v>1457589</v>
      </c>
      <c r="N1388">
        <v>10203123</v>
      </c>
      <c r="O1388">
        <v>9059240</v>
      </c>
      <c r="P1388">
        <v>1143883</v>
      </c>
    </row>
    <row r="1389" spans="1:16" x14ac:dyDescent="0.3">
      <c r="A1389">
        <v>2388</v>
      </c>
      <c r="B1389" t="s">
        <v>131</v>
      </c>
      <c r="C1389">
        <v>2023</v>
      </c>
      <c r="D1389" t="s">
        <v>34</v>
      </c>
      <c r="E1389" t="s">
        <v>18</v>
      </c>
      <c r="F1389" t="s">
        <v>107</v>
      </c>
      <c r="G1389" t="s">
        <v>51</v>
      </c>
      <c r="H1389" t="s">
        <v>100</v>
      </c>
      <c r="I1389" t="s">
        <v>22</v>
      </c>
      <c r="J1389">
        <v>1</v>
      </c>
      <c r="K1389">
        <v>21</v>
      </c>
      <c r="L1389">
        <v>3</v>
      </c>
      <c r="M1389">
        <v>1204667</v>
      </c>
      <c r="N1389">
        <v>3614001</v>
      </c>
      <c r="O1389">
        <v>3194529</v>
      </c>
      <c r="P1389">
        <v>419472</v>
      </c>
    </row>
    <row r="1390" spans="1:16" x14ac:dyDescent="0.3">
      <c r="A1390">
        <v>2389</v>
      </c>
      <c r="B1390" t="s">
        <v>238</v>
      </c>
      <c r="C1390">
        <v>2024</v>
      </c>
      <c r="D1390" t="s">
        <v>50</v>
      </c>
      <c r="E1390" t="s">
        <v>40</v>
      </c>
      <c r="F1390" t="s">
        <v>104</v>
      </c>
      <c r="G1390" t="s">
        <v>27</v>
      </c>
      <c r="H1390" t="s">
        <v>100</v>
      </c>
      <c r="I1390" t="s">
        <v>22</v>
      </c>
      <c r="J1390">
        <v>1</v>
      </c>
      <c r="K1390">
        <v>22</v>
      </c>
      <c r="L1390">
        <v>6</v>
      </c>
      <c r="M1390">
        <v>771153</v>
      </c>
      <c r="N1390">
        <v>4626918</v>
      </c>
      <c r="O1390">
        <v>3959976</v>
      </c>
      <c r="P1390">
        <v>666942</v>
      </c>
    </row>
    <row r="1391" spans="1:16" x14ac:dyDescent="0.3">
      <c r="A1391">
        <v>2390</v>
      </c>
      <c r="B1391" t="s">
        <v>248</v>
      </c>
      <c r="C1391">
        <v>2024</v>
      </c>
      <c r="D1391" t="s">
        <v>17</v>
      </c>
      <c r="E1391" t="s">
        <v>40</v>
      </c>
      <c r="F1391" t="s">
        <v>68</v>
      </c>
      <c r="G1391" t="s">
        <v>20</v>
      </c>
      <c r="H1391" t="s">
        <v>100</v>
      </c>
      <c r="I1391" t="s">
        <v>22</v>
      </c>
      <c r="J1391">
        <v>2</v>
      </c>
      <c r="K1391">
        <v>22</v>
      </c>
      <c r="L1391">
        <v>5</v>
      </c>
      <c r="M1391">
        <v>726025</v>
      </c>
      <c r="N1391">
        <v>3630125</v>
      </c>
      <c r="O1391">
        <v>2825612</v>
      </c>
      <c r="P1391">
        <v>804513</v>
      </c>
    </row>
    <row r="1392" spans="1:16" x14ac:dyDescent="0.3">
      <c r="A1392">
        <v>2391</v>
      </c>
      <c r="B1392" t="s">
        <v>288</v>
      </c>
      <c r="C1392">
        <v>2023</v>
      </c>
      <c r="D1392" t="s">
        <v>34</v>
      </c>
      <c r="E1392" t="s">
        <v>25</v>
      </c>
      <c r="F1392" t="s">
        <v>26</v>
      </c>
      <c r="G1392" t="s">
        <v>30</v>
      </c>
      <c r="H1392" t="s">
        <v>56</v>
      </c>
      <c r="I1392" t="s">
        <v>48</v>
      </c>
      <c r="J1392">
        <v>2</v>
      </c>
      <c r="K1392">
        <v>21</v>
      </c>
      <c r="L1392">
        <v>7</v>
      </c>
      <c r="M1392">
        <v>1073316</v>
      </c>
      <c r="N1392">
        <v>7513212</v>
      </c>
      <c r="O1392">
        <v>6485066</v>
      </c>
      <c r="P1392">
        <v>1028146</v>
      </c>
    </row>
    <row r="1393" spans="1:16" x14ac:dyDescent="0.3">
      <c r="A1393">
        <v>2392</v>
      </c>
      <c r="B1393" t="s">
        <v>231</v>
      </c>
      <c r="C1393">
        <v>2023</v>
      </c>
      <c r="D1393" t="s">
        <v>67</v>
      </c>
      <c r="E1393" t="s">
        <v>18</v>
      </c>
      <c r="F1393" t="s">
        <v>72</v>
      </c>
      <c r="G1393" t="s">
        <v>36</v>
      </c>
      <c r="H1393" t="s">
        <v>52</v>
      </c>
      <c r="I1393" t="s">
        <v>22</v>
      </c>
      <c r="J1393">
        <v>2</v>
      </c>
      <c r="K1393">
        <v>19</v>
      </c>
      <c r="L1393">
        <v>6</v>
      </c>
      <c r="M1393">
        <v>657717</v>
      </c>
      <c r="N1393">
        <v>3946302</v>
      </c>
      <c r="O1393">
        <v>3444969</v>
      </c>
      <c r="P1393">
        <v>501333</v>
      </c>
    </row>
    <row r="1394" spans="1:16" x14ac:dyDescent="0.3">
      <c r="A1394">
        <v>2393</v>
      </c>
      <c r="B1394" t="s">
        <v>563</v>
      </c>
      <c r="C1394">
        <v>2024</v>
      </c>
      <c r="D1394" t="s">
        <v>97</v>
      </c>
      <c r="E1394" t="s">
        <v>25</v>
      </c>
      <c r="F1394" t="s">
        <v>58</v>
      </c>
      <c r="G1394" t="s">
        <v>30</v>
      </c>
      <c r="H1394" t="s">
        <v>21</v>
      </c>
      <c r="I1394" t="s">
        <v>22</v>
      </c>
      <c r="J1394">
        <v>1</v>
      </c>
      <c r="K1394">
        <v>19</v>
      </c>
      <c r="L1394">
        <v>1</v>
      </c>
      <c r="M1394">
        <v>965873</v>
      </c>
      <c r="N1394">
        <v>965873</v>
      </c>
      <c r="O1394">
        <v>834339</v>
      </c>
      <c r="P1394">
        <v>131534</v>
      </c>
    </row>
    <row r="1395" spans="1:16" x14ac:dyDescent="0.3">
      <c r="A1395">
        <v>2394</v>
      </c>
      <c r="B1395" t="s">
        <v>436</v>
      </c>
      <c r="C1395">
        <v>2024</v>
      </c>
      <c r="D1395" t="s">
        <v>29</v>
      </c>
      <c r="E1395" t="s">
        <v>18</v>
      </c>
      <c r="F1395" t="s">
        <v>107</v>
      </c>
      <c r="G1395" t="s">
        <v>20</v>
      </c>
      <c r="H1395" t="s">
        <v>31</v>
      </c>
      <c r="I1395" t="s">
        <v>32</v>
      </c>
      <c r="J1395">
        <v>1</v>
      </c>
      <c r="K1395">
        <v>22</v>
      </c>
      <c r="L1395">
        <v>5</v>
      </c>
      <c r="M1395">
        <v>967918</v>
      </c>
      <c r="N1395">
        <v>4839590</v>
      </c>
      <c r="O1395">
        <v>3672441</v>
      </c>
      <c r="P1395">
        <v>1167149</v>
      </c>
    </row>
    <row r="1396" spans="1:16" x14ac:dyDescent="0.3">
      <c r="A1396">
        <v>2395</v>
      </c>
      <c r="B1396" t="s">
        <v>217</v>
      </c>
      <c r="C1396">
        <v>2024</v>
      </c>
      <c r="D1396" t="s">
        <v>34</v>
      </c>
      <c r="E1396" t="s">
        <v>44</v>
      </c>
      <c r="F1396" t="s">
        <v>45</v>
      </c>
      <c r="G1396" t="s">
        <v>27</v>
      </c>
      <c r="H1396" t="s">
        <v>52</v>
      </c>
      <c r="I1396" t="s">
        <v>22</v>
      </c>
      <c r="J1396">
        <v>1</v>
      </c>
      <c r="K1396">
        <v>20</v>
      </c>
      <c r="L1396">
        <v>5</v>
      </c>
      <c r="M1396">
        <v>1122189</v>
      </c>
      <c r="N1396">
        <v>5610945</v>
      </c>
      <c r="O1396">
        <v>4925149</v>
      </c>
      <c r="P1396">
        <v>685796</v>
      </c>
    </row>
    <row r="1397" spans="1:16" x14ac:dyDescent="0.3">
      <c r="A1397">
        <v>2396</v>
      </c>
      <c r="B1397" t="s">
        <v>425</v>
      </c>
      <c r="C1397">
        <v>2023</v>
      </c>
      <c r="D1397" t="s">
        <v>39</v>
      </c>
      <c r="E1397" t="s">
        <v>25</v>
      </c>
      <c r="F1397" t="s">
        <v>77</v>
      </c>
      <c r="G1397" t="s">
        <v>20</v>
      </c>
      <c r="H1397" t="s">
        <v>21</v>
      </c>
      <c r="I1397" t="s">
        <v>22</v>
      </c>
      <c r="J1397">
        <v>2</v>
      </c>
      <c r="K1397">
        <v>16</v>
      </c>
      <c r="L1397">
        <v>2</v>
      </c>
      <c r="M1397">
        <v>1231613</v>
      </c>
      <c r="N1397">
        <v>2463226</v>
      </c>
      <c r="O1397">
        <v>2115849</v>
      </c>
      <c r="P1397">
        <v>347377</v>
      </c>
    </row>
    <row r="1398" spans="1:16" x14ac:dyDescent="0.3">
      <c r="A1398">
        <v>2397</v>
      </c>
      <c r="B1398" t="s">
        <v>529</v>
      </c>
      <c r="C1398">
        <v>2023</v>
      </c>
      <c r="D1398" t="s">
        <v>24</v>
      </c>
      <c r="E1398" t="s">
        <v>40</v>
      </c>
      <c r="F1398" t="s">
        <v>120</v>
      </c>
      <c r="G1398" t="s">
        <v>90</v>
      </c>
      <c r="H1398" t="s">
        <v>31</v>
      </c>
      <c r="I1398" t="s">
        <v>32</v>
      </c>
      <c r="J1398">
        <v>1.2</v>
      </c>
      <c r="K1398">
        <v>16</v>
      </c>
      <c r="L1398">
        <v>2</v>
      </c>
      <c r="M1398">
        <v>1234067</v>
      </c>
      <c r="N1398">
        <v>2468134</v>
      </c>
      <c r="O1398">
        <v>2208206</v>
      </c>
      <c r="P1398">
        <v>259928</v>
      </c>
    </row>
    <row r="1399" spans="1:16" x14ac:dyDescent="0.3">
      <c r="A1399">
        <v>2398</v>
      </c>
      <c r="B1399" t="s">
        <v>662</v>
      </c>
      <c r="C1399">
        <v>2024</v>
      </c>
      <c r="D1399" t="s">
        <v>17</v>
      </c>
      <c r="E1399" t="s">
        <v>44</v>
      </c>
      <c r="F1399" t="s">
        <v>92</v>
      </c>
      <c r="G1399" t="s">
        <v>20</v>
      </c>
      <c r="H1399" t="s">
        <v>31</v>
      </c>
      <c r="I1399" t="s">
        <v>32</v>
      </c>
      <c r="J1399">
        <v>1.5</v>
      </c>
      <c r="K1399">
        <v>16</v>
      </c>
      <c r="L1399">
        <v>3</v>
      </c>
      <c r="M1399">
        <v>922069</v>
      </c>
      <c r="N1399">
        <v>2766207</v>
      </c>
      <c r="O1399">
        <v>2146774</v>
      </c>
      <c r="P1399">
        <v>619433</v>
      </c>
    </row>
    <row r="1400" spans="1:16" x14ac:dyDescent="0.3">
      <c r="A1400">
        <v>2399</v>
      </c>
      <c r="B1400" t="s">
        <v>649</v>
      </c>
      <c r="C1400">
        <v>2024</v>
      </c>
      <c r="D1400" t="s">
        <v>43</v>
      </c>
      <c r="E1400" t="s">
        <v>44</v>
      </c>
      <c r="F1400" t="s">
        <v>70</v>
      </c>
      <c r="G1400" t="s">
        <v>27</v>
      </c>
      <c r="H1400" t="s">
        <v>47</v>
      </c>
      <c r="I1400" t="s">
        <v>48</v>
      </c>
      <c r="J1400">
        <v>1.2</v>
      </c>
      <c r="K1400">
        <v>19</v>
      </c>
      <c r="L1400">
        <v>1</v>
      </c>
      <c r="M1400">
        <v>919242</v>
      </c>
      <c r="N1400">
        <v>919242</v>
      </c>
      <c r="O1400">
        <v>782805</v>
      </c>
      <c r="P1400">
        <v>136437</v>
      </c>
    </row>
    <row r="1401" spans="1:16" x14ac:dyDescent="0.3">
      <c r="A1401">
        <v>2400</v>
      </c>
      <c r="B1401" t="s">
        <v>451</v>
      </c>
      <c r="C1401">
        <v>2023</v>
      </c>
      <c r="D1401" t="s">
        <v>39</v>
      </c>
      <c r="E1401" t="s">
        <v>25</v>
      </c>
      <c r="F1401" t="s">
        <v>58</v>
      </c>
      <c r="G1401" t="s">
        <v>36</v>
      </c>
      <c r="H1401" t="s">
        <v>37</v>
      </c>
      <c r="I1401" t="s">
        <v>32</v>
      </c>
      <c r="J1401">
        <v>1</v>
      </c>
      <c r="K1401">
        <v>19</v>
      </c>
      <c r="L1401">
        <v>4</v>
      </c>
      <c r="M1401">
        <v>1284281</v>
      </c>
      <c r="N1401">
        <v>5137124</v>
      </c>
      <c r="O1401">
        <v>4244508</v>
      </c>
      <c r="P1401">
        <v>892616</v>
      </c>
    </row>
    <row r="1402" spans="1:16" x14ac:dyDescent="0.3">
      <c r="A1402">
        <v>2401</v>
      </c>
      <c r="B1402" t="s">
        <v>307</v>
      </c>
      <c r="C1402">
        <v>2023</v>
      </c>
      <c r="D1402" t="s">
        <v>97</v>
      </c>
      <c r="E1402" t="s">
        <v>25</v>
      </c>
      <c r="F1402" t="s">
        <v>84</v>
      </c>
      <c r="G1402" t="s">
        <v>51</v>
      </c>
      <c r="H1402" t="s">
        <v>79</v>
      </c>
      <c r="I1402" t="s">
        <v>48</v>
      </c>
      <c r="J1402">
        <v>2</v>
      </c>
      <c r="K1402">
        <v>21</v>
      </c>
      <c r="L1402">
        <v>4</v>
      </c>
      <c r="M1402">
        <v>1162651</v>
      </c>
      <c r="N1402">
        <v>4650604</v>
      </c>
      <c r="O1402">
        <v>3648185</v>
      </c>
      <c r="P1402">
        <v>1002419</v>
      </c>
    </row>
    <row r="1403" spans="1:16" x14ac:dyDescent="0.3">
      <c r="A1403">
        <v>2402</v>
      </c>
      <c r="B1403" t="s">
        <v>669</v>
      </c>
      <c r="C1403">
        <v>2024</v>
      </c>
      <c r="D1403" t="s">
        <v>39</v>
      </c>
      <c r="E1403" t="s">
        <v>40</v>
      </c>
      <c r="F1403" t="s">
        <v>120</v>
      </c>
      <c r="G1403" t="s">
        <v>46</v>
      </c>
      <c r="H1403" t="s">
        <v>79</v>
      </c>
      <c r="I1403" t="s">
        <v>48</v>
      </c>
      <c r="J1403">
        <v>2</v>
      </c>
      <c r="K1403">
        <v>21</v>
      </c>
      <c r="L1403">
        <v>1</v>
      </c>
      <c r="M1403">
        <v>1248114</v>
      </c>
      <c r="N1403">
        <v>1248114</v>
      </c>
      <c r="O1403">
        <v>1109497</v>
      </c>
      <c r="P1403">
        <v>138617</v>
      </c>
    </row>
    <row r="1404" spans="1:16" x14ac:dyDescent="0.3">
      <c r="A1404">
        <v>2403</v>
      </c>
      <c r="B1404" t="s">
        <v>170</v>
      </c>
      <c r="C1404">
        <v>2024</v>
      </c>
      <c r="D1404" t="s">
        <v>61</v>
      </c>
      <c r="E1404" t="s">
        <v>44</v>
      </c>
      <c r="F1404" t="s">
        <v>92</v>
      </c>
      <c r="G1404" t="s">
        <v>36</v>
      </c>
      <c r="H1404" t="s">
        <v>47</v>
      </c>
      <c r="I1404" t="s">
        <v>48</v>
      </c>
      <c r="J1404">
        <v>1.2</v>
      </c>
      <c r="K1404">
        <v>23</v>
      </c>
      <c r="L1404">
        <v>2</v>
      </c>
      <c r="M1404">
        <v>1444937</v>
      </c>
      <c r="N1404">
        <v>2889874</v>
      </c>
      <c r="O1404">
        <v>2376775</v>
      </c>
      <c r="P1404">
        <v>513099</v>
      </c>
    </row>
    <row r="1405" spans="1:16" x14ac:dyDescent="0.3">
      <c r="A1405">
        <v>2404</v>
      </c>
      <c r="B1405" t="s">
        <v>371</v>
      </c>
      <c r="C1405">
        <v>2024</v>
      </c>
      <c r="D1405" t="s">
        <v>29</v>
      </c>
      <c r="E1405" t="s">
        <v>25</v>
      </c>
      <c r="F1405" t="s">
        <v>58</v>
      </c>
      <c r="G1405" t="s">
        <v>59</v>
      </c>
      <c r="H1405" t="s">
        <v>56</v>
      </c>
      <c r="I1405" t="s">
        <v>48</v>
      </c>
      <c r="J1405">
        <v>1</v>
      </c>
      <c r="K1405">
        <v>22</v>
      </c>
      <c r="L1405">
        <v>7</v>
      </c>
      <c r="M1405">
        <v>962955</v>
      </c>
      <c r="N1405">
        <v>6740685</v>
      </c>
      <c r="O1405">
        <v>5295546</v>
      </c>
      <c r="P1405">
        <v>1445139</v>
      </c>
    </row>
    <row r="1406" spans="1:16" x14ac:dyDescent="0.3">
      <c r="A1406">
        <v>2405</v>
      </c>
      <c r="B1406" t="s">
        <v>310</v>
      </c>
      <c r="C1406">
        <v>2024</v>
      </c>
      <c r="D1406" t="s">
        <v>76</v>
      </c>
      <c r="E1406" t="s">
        <v>44</v>
      </c>
      <c r="F1406" t="s">
        <v>62</v>
      </c>
      <c r="G1406" t="s">
        <v>59</v>
      </c>
      <c r="H1406" t="s">
        <v>21</v>
      </c>
      <c r="I1406" t="s">
        <v>22</v>
      </c>
      <c r="J1406">
        <v>1.5</v>
      </c>
      <c r="K1406">
        <v>16</v>
      </c>
      <c r="L1406">
        <v>7</v>
      </c>
      <c r="M1406">
        <v>604005</v>
      </c>
      <c r="N1406">
        <v>4228035</v>
      </c>
      <c r="O1406">
        <v>3687259</v>
      </c>
      <c r="P1406">
        <v>540776</v>
      </c>
    </row>
    <row r="1407" spans="1:16" x14ac:dyDescent="0.3">
      <c r="A1407">
        <v>2406</v>
      </c>
      <c r="B1407" t="s">
        <v>569</v>
      </c>
      <c r="C1407">
        <v>2023</v>
      </c>
      <c r="D1407" t="s">
        <v>67</v>
      </c>
      <c r="E1407" t="s">
        <v>18</v>
      </c>
      <c r="F1407" t="s">
        <v>35</v>
      </c>
      <c r="G1407" t="s">
        <v>20</v>
      </c>
      <c r="H1407" t="s">
        <v>54</v>
      </c>
      <c r="I1407" t="s">
        <v>48</v>
      </c>
      <c r="J1407">
        <v>1.5</v>
      </c>
      <c r="K1407">
        <v>20</v>
      </c>
      <c r="L1407">
        <v>6</v>
      </c>
      <c r="M1407">
        <v>755646</v>
      </c>
      <c r="N1407">
        <v>4533876</v>
      </c>
      <c r="O1407">
        <v>4017089</v>
      </c>
      <c r="P1407">
        <v>516787</v>
      </c>
    </row>
    <row r="1408" spans="1:16" x14ac:dyDescent="0.3">
      <c r="A1408">
        <v>2407</v>
      </c>
      <c r="B1408" t="s">
        <v>301</v>
      </c>
      <c r="C1408">
        <v>2023</v>
      </c>
      <c r="D1408" t="s">
        <v>34</v>
      </c>
      <c r="E1408" t="s">
        <v>25</v>
      </c>
      <c r="F1408" t="s">
        <v>84</v>
      </c>
      <c r="G1408" t="s">
        <v>51</v>
      </c>
      <c r="H1408" t="s">
        <v>21</v>
      </c>
      <c r="I1408" t="s">
        <v>22</v>
      </c>
      <c r="J1408">
        <v>2</v>
      </c>
      <c r="K1408">
        <v>21</v>
      </c>
      <c r="L1408">
        <v>3</v>
      </c>
      <c r="M1408">
        <v>1496598</v>
      </c>
      <c r="N1408">
        <v>4489794</v>
      </c>
      <c r="O1408">
        <v>3955439</v>
      </c>
      <c r="P1408">
        <v>534355</v>
      </c>
    </row>
    <row r="1409" spans="1:16" x14ac:dyDescent="0.3">
      <c r="A1409">
        <v>2408</v>
      </c>
      <c r="B1409" t="s">
        <v>622</v>
      </c>
      <c r="C1409">
        <v>2023</v>
      </c>
      <c r="D1409" t="s">
        <v>34</v>
      </c>
      <c r="E1409" t="s">
        <v>40</v>
      </c>
      <c r="F1409" t="s">
        <v>120</v>
      </c>
      <c r="G1409" t="s">
        <v>36</v>
      </c>
      <c r="H1409" t="s">
        <v>54</v>
      </c>
      <c r="I1409" t="s">
        <v>48</v>
      </c>
      <c r="J1409">
        <v>1.5</v>
      </c>
      <c r="K1409">
        <v>23</v>
      </c>
      <c r="L1409">
        <v>1</v>
      </c>
      <c r="M1409">
        <v>1004625</v>
      </c>
      <c r="N1409">
        <v>1004625</v>
      </c>
      <c r="O1409">
        <v>848774</v>
      </c>
      <c r="P1409">
        <v>155851</v>
      </c>
    </row>
    <row r="1410" spans="1:16" x14ac:dyDescent="0.3">
      <c r="A1410">
        <v>2409</v>
      </c>
      <c r="B1410" t="s">
        <v>85</v>
      </c>
      <c r="C1410">
        <v>2023</v>
      </c>
      <c r="D1410" t="s">
        <v>29</v>
      </c>
      <c r="E1410" t="s">
        <v>25</v>
      </c>
      <c r="F1410" t="s">
        <v>77</v>
      </c>
      <c r="G1410" t="s">
        <v>51</v>
      </c>
      <c r="H1410" t="s">
        <v>37</v>
      </c>
      <c r="I1410" t="s">
        <v>32</v>
      </c>
      <c r="J1410">
        <v>1.2</v>
      </c>
      <c r="K1410">
        <v>16</v>
      </c>
      <c r="L1410">
        <v>7</v>
      </c>
      <c r="M1410">
        <v>821349</v>
      </c>
      <c r="N1410">
        <v>5749443</v>
      </c>
      <c r="O1410">
        <v>5159166</v>
      </c>
      <c r="P1410">
        <v>590277</v>
      </c>
    </row>
    <row r="1411" spans="1:16" x14ac:dyDescent="0.3">
      <c r="A1411">
        <v>2410</v>
      </c>
      <c r="B1411" t="s">
        <v>683</v>
      </c>
      <c r="C1411">
        <v>2023</v>
      </c>
      <c r="D1411" t="s">
        <v>76</v>
      </c>
      <c r="E1411" t="s">
        <v>25</v>
      </c>
      <c r="F1411" t="s">
        <v>77</v>
      </c>
      <c r="G1411" t="s">
        <v>36</v>
      </c>
      <c r="H1411" t="s">
        <v>47</v>
      </c>
      <c r="I1411" t="s">
        <v>48</v>
      </c>
      <c r="J1411">
        <v>1.5</v>
      </c>
      <c r="K1411">
        <v>22</v>
      </c>
      <c r="L1411">
        <v>6</v>
      </c>
      <c r="M1411">
        <v>1462135</v>
      </c>
      <c r="N1411">
        <v>8772810</v>
      </c>
      <c r="O1411">
        <v>6994061</v>
      </c>
      <c r="P1411">
        <v>1778749</v>
      </c>
    </row>
    <row r="1412" spans="1:16" x14ac:dyDescent="0.3">
      <c r="A1412">
        <v>2411</v>
      </c>
      <c r="B1412" t="s">
        <v>326</v>
      </c>
      <c r="C1412">
        <v>2024</v>
      </c>
      <c r="D1412" t="s">
        <v>76</v>
      </c>
      <c r="E1412" t="s">
        <v>40</v>
      </c>
      <c r="F1412" t="s">
        <v>41</v>
      </c>
      <c r="G1412" t="s">
        <v>36</v>
      </c>
      <c r="H1412" t="s">
        <v>56</v>
      </c>
      <c r="I1412" t="s">
        <v>48</v>
      </c>
      <c r="J1412">
        <v>1.2</v>
      </c>
      <c r="K1412">
        <v>22</v>
      </c>
      <c r="L1412">
        <v>1</v>
      </c>
      <c r="M1412">
        <v>1266423</v>
      </c>
      <c r="N1412">
        <v>1266423</v>
      </c>
      <c r="O1412">
        <v>1129338</v>
      </c>
      <c r="P1412">
        <v>137085</v>
      </c>
    </row>
    <row r="1413" spans="1:16" x14ac:dyDescent="0.3">
      <c r="A1413">
        <v>2412</v>
      </c>
      <c r="B1413" t="s">
        <v>336</v>
      </c>
      <c r="C1413">
        <v>2024</v>
      </c>
      <c r="D1413" t="s">
        <v>34</v>
      </c>
      <c r="E1413" t="s">
        <v>18</v>
      </c>
      <c r="F1413" t="s">
        <v>35</v>
      </c>
      <c r="G1413" t="s">
        <v>51</v>
      </c>
      <c r="H1413" t="s">
        <v>47</v>
      </c>
      <c r="I1413" t="s">
        <v>48</v>
      </c>
      <c r="J1413">
        <v>1.2</v>
      </c>
      <c r="K1413">
        <v>16</v>
      </c>
      <c r="L1413">
        <v>5</v>
      </c>
      <c r="M1413">
        <v>1482552</v>
      </c>
      <c r="N1413">
        <v>7412760</v>
      </c>
      <c r="O1413">
        <v>6113489</v>
      </c>
      <c r="P1413">
        <v>1299271</v>
      </c>
    </row>
    <row r="1414" spans="1:16" x14ac:dyDescent="0.3">
      <c r="A1414">
        <v>2413</v>
      </c>
      <c r="B1414" t="s">
        <v>706</v>
      </c>
      <c r="C1414">
        <v>2023</v>
      </c>
      <c r="D1414" t="s">
        <v>43</v>
      </c>
      <c r="E1414" t="s">
        <v>18</v>
      </c>
      <c r="F1414" t="s">
        <v>72</v>
      </c>
      <c r="G1414" t="s">
        <v>20</v>
      </c>
      <c r="H1414" t="s">
        <v>100</v>
      </c>
      <c r="I1414" t="s">
        <v>22</v>
      </c>
      <c r="J1414">
        <v>1</v>
      </c>
      <c r="K1414">
        <v>19</v>
      </c>
      <c r="L1414">
        <v>4</v>
      </c>
      <c r="M1414">
        <v>1070194</v>
      </c>
      <c r="N1414">
        <v>4280776</v>
      </c>
      <c r="O1414">
        <v>3331381</v>
      </c>
      <c r="P1414">
        <v>949395</v>
      </c>
    </row>
    <row r="1415" spans="1:16" x14ac:dyDescent="0.3">
      <c r="A1415">
        <v>2414</v>
      </c>
      <c r="B1415" t="s">
        <v>250</v>
      </c>
      <c r="C1415">
        <v>2024</v>
      </c>
      <c r="D1415" t="s">
        <v>50</v>
      </c>
      <c r="E1415" t="s">
        <v>44</v>
      </c>
      <c r="F1415" t="s">
        <v>70</v>
      </c>
      <c r="G1415" t="s">
        <v>59</v>
      </c>
      <c r="H1415" t="s">
        <v>100</v>
      </c>
      <c r="I1415" t="s">
        <v>22</v>
      </c>
      <c r="J1415">
        <v>1.2</v>
      </c>
      <c r="K1415">
        <v>22</v>
      </c>
      <c r="L1415">
        <v>1</v>
      </c>
      <c r="M1415">
        <v>726577</v>
      </c>
      <c r="N1415">
        <v>726577</v>
      </c>
      <c r="O1415">
        <v>590277</v>
      </c>
      <c r="P1415">
        <v>136300</v>
      </c>
    </row>
    <row r="1416" spans="1:16" x14ac:dyDescent="0.3">
      <c r="A1416">
        <v>2415</v>
      </c>
      <c r="B1416" t="s">
        <v>602</v>
      </c>
      <c r="C1416">
        <v>2023</v>
      </c>
      <c r="D1416" t="s">
        <v>61</v>
      </c>
      <c r="E1416" t="s">
        <v>44</v>
      </c>
      <c r="F1416" t="s">
        <v>45</v>
      </c>
      <c r="G1416" t="s">
        <v>51</v>
      </c>
      <c r="H1416" t="s">
        <v>21</v>
      </c>
      <c r="I1416" t="s">
        <v>22</v>
      </c>
      <c r="J1416">
        <v>2</v>
      </c>
      <c r="K1416">
        <v>20</v>
      </c>
      <c r="L1416">
        <v>1</v>
      </c>
      <c r="M1416">
        <v>1247680</v>
      </c>
      <c r="N1416">
        <v>1247680</v>
      </c>
      <c r="O1416">
        <v>937376</v>
      </c>
      <c r="P1416">
        <v>310304</v>
      </c>
    </row>
    <row r="1417" spans="1:16" x14ac:dyDescent="0.3">
      <c r="A1417">
        <v>2416</v>
      </c>
      <c r="B1417" t="s">
        <v>257</v>
      </c>
      <c r="C1417">
        <v>2024</v>
      </c>
      <c r="D1417" t="s">
        <v>76</v>
      </c>
      <c r="E1417" t="s">
        <v>25</v>
      </c>
      <c r="F1417" t="s">
        <v>58</v>
      </c>
      <c r="G1417" t="s">
        <v>27</v>
      </c>
      <c r="H1417" t="s">
        <v>54</v>
      </c>
      <c r="I1417" t="s">
        <v>48</v>
      </c>
      <c r="J1417">
        <v>2</v>
      </c>
      <c r="K1417">
        <v>22</v>
      </c>
      <c r="L1417">
        <v>6</v>
      </c>
      <c r="M1417">
        <v>1163858</v>
      </c>
      <c r="N1417">
        <v>6983148</v>
      </c>
      <c r="O1417">
        <v>5562121</v>
      </c>
      <c r="P1417">
        <v>1421027</v>
      </c>
    </row>
    <row r="1418" spans="1:16" x14ac:dyDescent="0.3">
      <c r="A1418">
        <v>2417</v>
      </c>
      <c r="B1418" t="s">
        <v>93</v>
      </c>
      <c r="C1418">
        <v>2023</v>
      </c>
      <c r="D1418" t="s">
        <v>34</v>
      </c>
      <c r="E1418" t="s">
        <v>18</v>
      </c>
      <c r="F1418" t="s">
        <v>107</v>
      </c>
      <c r="G1418" t="s">
        <v>20</v>
      </c>
      <c r="H1418" t="s">
        <v>63</v>
      </c>
      <c r="I1418" t="s">
        <v>22</v>
      </c>
      <c r="J1418">
        <v>1</v>
      </c>
      <c r="K1418">
        <v>20</v>
      </c>
      <c r="L1418">
        <v>2</v>
      </c>
      <c r="M1418">
        <v>1334572</v>
      </c>
      <c r="N1418">
        <v>2669144</v>
      </c>
      <c r="O1418">
        <v>2107477</v>
      </c>
      <c r="P1418">
        <v>561667</v>
      </c>
    </row>
    <row r="1419" spans="1:16" x14ac:dyDescent="0.3">
      <c r="A1419">
        <v>2418</v>
      </c>
      <c r="B1419" t="s">
        <v>251</v>
      </c>
      <c r="C1419">
        <v>2024</v>
      </c>
      <c r="D1419" t="s">
        <v>24</v>
      </c>
      <c r="E1419" t="s">
        <v>25</v>
      </c>
      <c r="F1419" t="s">
        <v>26</v>
      </c>
      <c r="G1419" t="s">
        <v>59</v>
      </c>
      <c r="H1419" t="s">
        <v>37</v>
      </c>
      <c r="I1419" t="s">
        <v>32</v>
      </c>
      <c r="J1419">
        <v>1.2</v>
      </c>
      <c r="K1419">
        <v>16</v>
      </c>
      <c r="L1419">
        <v>3</v>
      </c>
      <c r="M1419">
        <v>1432999</v>
      </c>
      <c r="N1419">
        <v>4298997</v>
      </c>
      <c r="O1419">
        <v>3235471</v>
      </c>
      <c r="P1419">
        <v>1063526</v>
      </c>
    </row>
    <row r="1420" spans="1:16" x14ac:dyDescent="0.3">
      <c r="A1420">
        <v>2419</v>
      </c>
      <c r="B1420" t="s">
        <v>707</v>
      </c>
      <c r="C1420">
        <v>2023</v>
      </c>
      <c r="D1420" t="s">
        <v>67</v>
      </c>
      <c r="E1420" t="s">
        <v>40</v>
      </c>
      <c r="F1420" t="s">
        <v>120</v>
      </c>
      <c r="G1420" t="s">
        <v>51</v>
      </c>
      <c r="H1420" t="s">
        <v>21</v>
      </c>
      <c r="I1420" t="s">
        <v>22</v>
      </c>
      <c r="J1420">
        <v>2</v>
      </c>
      <c r="K1420">
        <v>23</v>
      </c>
      <c r="L1420">
        <v>1</v>
      </c>
      <c r="M1420">
        <v>1434367</v>
      </c>
      <c r="N1420">
        <v>1434367</v>
      </c>
      <c r="O1420">
        <v>1178237</v>
      </c>
      <c r="P1420">
        <v>256130</v>
      </c>
    </row>
    <row r="1421" spans="1:16" x14ac:dyDescent="0.3">
      <c r="A1421">
        <v>2420</v>
      </c>
      <c r="B1421" t="s">
        <v>527</v>
      </c>
      <c r="C1421">
        <v>2024</v>
      </c>
      <c r="D1421" t="s">
        <v>24</v>
      </c>
      <c r="E1421" t="s">
        <v>40</v>
      </c>
      <c r="F1421" t="s">
        <v>41</v>
      </c>
      <c r="G1421" t="s">
        <v>27</v>
      </c>
      <c r="H1421" t="s">
        <v>31</v>
      </c>
      <c r="I1421" t="s">
        <v>32</v>
      </c>
      <c r="J1421">
        <v>1.2</v>
      </c>
      <c r="K1421">
        <v>20</v>
      </c>
      <c r="L1421">
        <v>2</v>
      </c>
      <c r="M1421">
        <v>759988</v>
      </c>
      <c r="N1421">
        <v>1519976</v>
      </c>
      <c r="O1421">
        <v>1229445</v>
      </c>
      <c r="P1421">
        <v>290531</v>
      </c>
    </row>
    <row r="1422" spans="1:16" x14ac:dyDescent="0.3">
      <c r="A1422">
        <v>2421</v>
      </c>
      <c r="B1422" t="s">
        <v>247</v>
      </c>
      <c r="C1422">
        <v>2024</v>
      </c>
      <c r="D1422" t="s">
        <v>76</v>
      </c>
      <c r="E1422" t="s">
        <v>25</v>
      </c>
      <c r="F1422" t="s">
        <v>58</v>
      </c>
      <c r="G1422" t="s">
        <v>30</v>
      </c>
      <c r="H1422" t="s">
        <v>79</v>
      </c>
      <c r="I1422" t="s">
        <v>48</v>
      </c>
      <c r="J1422">
        <v>1.2</v>
      </c>
      <c r="K1422">
        <v>16</v>
      </c>
      <c r="L1422">
        <v>1</v>
      </c>
      <c r="M1422">
        <v>1367467</v>
      </c>
      <c r="N1422">
        <v>1367467</v>
      </c>
      <c r="O1422">
        <v>1145477</v>
      </c>
      <c r="P1422">
        <v>221990</v>
      </c>
    </row>
    <row r="1423" spans="1:16" x14ac:dyDescent="0.3">
      <c r="A1423">
        <v>2422</v>
      </c>
      <c r="B1423" t="s">
        <v>640</v>
      </c>
      <c r="C1423">
        <v>2023</v>
      </c>
      <c r="D1423" t="s">
        <v>29</v>
      </c>
      <c r="E1423" t="s">
        <v>40</v>
      </c>
      <c r="F1423" t="s">
        <v>104</v>
      </c>
      <c r="G1423" t="s">
        <v>30</v>
      </c>
      <c r="H1423" t="s">
        <v>79</v>
      </c>
      <c r="I1423" t="s">
        <v>48</v>
      </c>
      <c r="J1423">
        <v>1.5</v>
      </c>
      <c r="K1423">
        <v>21</v>
      </c>
      <c r="L1423">
        <v>2</v>
      </c>
      <c r="M1423">
        <v>1134212</v>
      </c>
      <c r="N1423">
        <v>2268424</v>
      </c>
      <c r="O1423">
        <v>1718747</v>
      </c>
      <c r="P1423">
        <v>549677</v>
      </c>
    </row>
    <row r="1424" spans="1:16" x14ac:dyDescent="0.3">
      <c r="A1424">
        <v>2423</v>
      </c>
      <c r="B1424" t="s">
        <v>190</v>
      </c>
      <c r="C1424">
        <v>2023</v>
      </c>
      <c r="D1424" t="s">
        <v>61</v>
      </c>
      <c r="E1424" t="s">
        <v>44</v>
      </c>
      <c r="F1424" t="s">
        <v>92</v>
      </c>
      <c r="G1424" t="s">
        <v>51</v>
      </c>
      <c r="H1424" t="s">
        <v>100</v>
      </c>
      <c r="I1424" t="s">
        <v>22</v>
      </c>
      <c r="J1424">
        <v>1.2</v>
      </c>
      <c r="K1424">
        <v>22</v>
      </c>
      <c r="L1424">
        <v>8</v>
      </c>
      <c r="M1424">
        <v>1105478</v>
      </c>
      <c r="N1424">
        <v>8843824</v>
      </c>
      <c r="O1424">
        <v>6791627</v>
      </c>
      <c r="P1424">
        <v>2052197</v>
      </c>
    </row>
    <row r="1425" spans="1:16" x14ac:dyDescent="0.3">
      <c r="A1425">
        <v>2424</v>
      </c>
      <c r="B1425" t="s">
        <v>204</v>
      </c>
      <c r="C1425">
        <v>2023</v>
      </c>
      <c r="D1425" t="s">
        <v>29</v>
      </c>
      <c r="E1425" t="s">
        <v>25</v>
      </c>
      <c r="F1425" t="s">
        <v>77</v>
      </c>
      <c r="G1425" t="s">
        <v>90</v>
      </c>
      <c r="H1425" t="s">
        <v>79</v>
      </c>
      <c r="I1425" t="s">
        <v>48</v>
      </c>
      <c r="J1425">
        <v>1.2</v>
      </c>
      <c r="K1425">
        <v>22</v>
      </c>
      <c r="L1425">
        <v>8</v>
      </c>
      <c r="M1425">
        <v>1147082</v>
      </c>
      <c r="N1425">
        <v>9176656</v>
      </c>
      <c r="O1425">
        <v>7725439</v>
      </c>
      <c r="P1425">
        <v>1451217</v>
      </c>
    </row>
    <row r="1426" spans="1:16" x14ac:dyDescent="0.3">
      <c r="A1426">
        <v>2425</v>
      </c>
      <c r="B1426" t="s">
        <v>323</v>
      </c>
      <c r="C1426">
        <v>2024</v>
      </c>
      <c r="D1426" t="s">
        <v>17</v>
      </c>
      <c r="E1426" t="s">
        <v>25</v>
      </c>
      <c r="F1426" t="s">
        <v>77</v>
      </c>
      <c r="G1426" t="s">
        <v>36</v>
      </c>
      <c r="H1426" t="s">
        <v>56</v>
      </c>
      <c r="I1426" t="s">
        <v>48</v>
      </c>
      <c r="J1426">
        <v>1.2</v>
      </c>
      <c r="K1426">
        <v>18</v>
      </c>
      <c r="L1426">
        <v>3</v>
      </c>
      <c r="M1426">
        <v>818319</v>
      </c>
      <c r="N1426">
        <v>2454957</v>
      </c>
      <c r="O1426">
        <v>2003222</v>
      </c>
      <c r="P1426">
        <v>451735</v>
      </c>
    </row>
    <row r="1427" spans="1:16" x14ac:dyDescent="0.3">
      <c r="A1427">
        <v>2426</v>
      </c>
      <c r="B1427" t="s">
        <v>708</v>
      </c>
      <c r="C1427">
        <v>2023</v>
      </c>
      <c r="D1427" t="s">
        <v>39</v>
      </c>
      <c r="E1427" t="s">
        <v>40</v>
      </c>
      <c r="F1427" t="s">
        <v>104</v>
      </c>
      <c r="G1427" t="s">
        <v>59</v>
      </c>
      <c r="H1427" t="s">
        <v>21</v>
      </c>
      <c r="I1427" t="s">
        <v>22</v>
      </c>
      <c r="J1427">
        <v>1</v>
      </c>
      <c r="K1427">
        <v>18</v>
      </c>
      <c r="L1427">
        <v>3</v>
      </c>
      <c r="M1427">
        <v>1045185</v>
      </c>
      <c r="N1427">
        <v>3135555</v>
      </c>
      <c r="O1427">
        <v>2517743</v>
      </c>
      <c r="P1427">
        <v>617812</v>
      </c>
    </row>
    <row r="1428" spans="1:16" x14ac:dyDescent="0.3">
      <c r="A1428">
        <v>2427</v>
      </c>
      <c r="B1428" t="s">
        <v>508</v>
      </c>
      <c r="C1428">
        <v>2024</v>
      </c>
      <c r="D1428" t="s">
        <v>34</v>
      </c>
      <c r="E1428" t="s">
        <v>44</v>
      </c>
      <c r="F1428" t="s">
        <v>45</v>
      </c>
      <c r="G1428" t="s">
        <v>27</v>
      </c>
      <c r="H1428" t="s">
        <v>63</v>
      </c>
      <c r="I1428" t="s">
        <v>22</v>
      </c>
      <c r="J1428">
        <v>1.2</v>
      </c>
      <c r="K1428">
        <v>16</v>
      </c>
      <c r="L1428">
        <v>8</v>
      </c>
      <c r="M1428">
        <v>667651</v>
      </c>
      <c r="N1428">
        <v>5341208</v>
      </c>
      <c r="O1428">
        <v>4489930</v>
      </c>
      <c r="P1428">
        <v>851278</v>
      </c>
    </row>
    <row r="1429" spans="1:16" x14ac:dyDescent="0.3">
      <c r="A1429">
        <v>2428</v>
      </c>
      <c r="B1429" t="s">
        <v>709</v>
      </c>
      <c r="C1429">
        <v>2023</v>
      </c>
      <c r="D1429" t="s">
        <v>34</v>
      </c>
      <c r="E1429" t="s">
        <v>25</v>
      </c>
      <c r="F1429" t="s">
        <v>26</v>
      </c>
      <c r="G1429" t="s">
        <v>20</v>
      </c>
      <c r="H1429" t="s">
        <v>52</v>
      </c>
      <c r="I1429" t="s">
        <v>22</v>
      </c>
      <c r="J1429">
        <v>2</v>
      </c>
      <c r="K1429">
        <v>21</v>
      </c>
      <c r="L1429">
        <v>6</v>
      </c>
      <c r="M1429">
        <v>976089</v>
      </c>
      <c r="N1429">
        <v>5856534</v>
      </c>
      <c r="O1429">
        <v>4454179</v>
      </c>
      <c r="P1429">
        <v>1402355</v>
      </c>
    </row>
    <row r="1430" spans="1:16" x14ac:dyDescent="0.3">
      <c r="A1430">
        <v>2429</v>
      </c>
      <c r="B1430" t="s">
        <v>238</v>
      </c>
      <c r="C1430">
        <v>2024</v>
      </c>
      <c r="D1430" t="s">
        <v>50</v>
      </c>
      <c r="E1430" t="s">
        <v>25</v>
      </c>
      <c r="F1430" t="s">
        <v>58</v>
      </c>
      <c r="G1430" t="s">
        <v>59</v>
      </c>
      <c r="H1430" t="s">
        <v>79</v>
      </c>
      <c r="I1430" t="s">
        <v>48</v>
      </c>
      <c r="J1430">
        <v>1.5</v>
      </c>
      <c r="K1430">
        <v>22</v>
      </c>
      <c r="L1430">
        <v>3</v>
      </c>
      <c r="M1430">
        <v>1474279</v>
      </c>
      <c r="N1430">
        <v>4422837</v>
      </c>
      <c r="O1430">
        <v>3805948</v>
      </c>
      <c r="P1430">
        <v>616889</v>
      </c>
    </row>
    <row r="1431" spans="1:16" x14ac:dyDescent="0.3">
      <c r="A1431">
        <v>2430</v>
      </c>
      <c r="B1431" t="s">
        <v>254</v>
      </c>
      <c r="C1431">
        <v>2024</v>
      </c>
      <c r="D1431" t="s">
        <v>17</v>
      </c>
      <c r="E1431" t="s">
        <v>18</v>
      </c>
      <c r="F1431" t="s">
        <v>72</v>
      </c>
      <c r="G1431" t="s">
        <v>90</v>
      </c>
      <c r="H1431" t="s">
        <v>54</v>
      </c>
      <c r="I1431" t="s">
        <v>48</v>
      </c>
      <c r="J1431">
        <v>1.5</v>
      </c>
      <c r="K1431">
        <v>16</v>
      </c>
      <c r="L1431">
        <v>2</v>
      </c>
      <c r="M1431">
        <v>666319</v>
      </c>
      <c r="N1431">
        <v>1332638</v>
      </c>
      <c r="O1431">
        <v>1113629</v>
      </c>
      <c r="P1431">
        <v>219009</v>
      </c>
    </row>
    <row r="1432" spans="1:16" x14ac:dyDescent="0.3">
      <c r="A1432">
        <v>2431</v>
      </c>
      <c r="B1432" t="s">
        <v>700</v>
      </c>
      <c r="C1432">
        <v>2023</v>
      </c>
      <c r="D1432" t="s">
        <v>43</v>
      </c>
      <c r="E1432" t="s">
        <v>44</v>
      </c>
      <c r="F1432" t="s">
        <v>92</v>
      </c>
      <c r="G1432" t="s">
        <v>59</v>
      </c>
      <c r="H1432" t="s">
        <v>56</v>
      </c>
      <c r="I1432" t="s">
        <v>48</v>
      </c>
      <c r="J1432">
        <v>1.5</v>
      </c>
      <c r="K1432">
        <v>18</v>
      </c>
      <c r="L1432">
        <v>2</v>
      </c>
      <c r="M1432">
        <v>1244088</v>
      </c>
      <c r="N1432">
        <v>2488176</v>
      </c>
      <c r="O1432">
        <v>2109613</v>
      </c>
      <c r="P1432">
        <v>378563</v>
      </c>
    </row>
    <row r="1433" spans="1:16" x14ac:dyDescent="0.3">
      <c r="A1433">
        <v>2432</v>
      </c>
      <c r="B1433" t="s">
        <v>375</v>
      </c>
      <c r="C1433">
        <v>2024</v>
      </c>
      <c r="D1433" t="s">
        <v>24</v>
      </c>
      <c r="E1433" t="s">
        <v>44</v>
      </c>
      <c r="F1433" t="s">
        <v>92</v>
      </c>
      <c r="G1433" t="s">
        <v>20</v>
      </c>
      <c r="H1433" t="s">
        <v>47</v>
      </c>
      <c r="I1433" t="s">
        <v>48</v>
      </c>
      <c r="J1433">
        <v>1.5</v>
      </c>
      <c r="K1433">
        <v>20</v>
      </c>
      <c r="L1433">
        <v>4</v>
      </c>
      <c r="M1433">
        <v>1225633</v>
      </c>
      <c r="N1433">
        <v>4902532</v>
      </c>
      <c r="O1433">
        <v>4124556</v>
      </c>
      <c r="P1433">
        <v>777976</v>
      </c>
    </row>
    <row r="1434" spans="1:16" x14ac:dyDescent="0.3">
      <c r="A1434">
        <v>2433</v>
      </c>
      <c r="B1434" t="s">
        <v>551</v>
      </c>
      <c r="C1434">
        <v>2024</v>
      </c>
      <c r="D1434" t="s">
        <v>50</v>
      </c>
      <c r="E1434" t="s">
        <v>25</v>
      </c>
      <c r="F1434" t="s">
        <v>26</v>
      </c>
      <c r="G1434" t="s">
        <v>51</v>
      </c>
      <c r="H1434" t="s">
        <v>54</v>
      </c>
      <c r="I1434" t="s">
        <v>48</v>
      </c>
      <c r="J1434">
        <v>1.2</v>
      </c>
      <c r="K1434">
        <v>21</v>
      </c>
      <c r="L1434">
        <v>8</v>
      </c>
      <c r="M1434">
        <v>940220</v>
      </c>
      <c r="N1434">
        <v>7521760</v>
      </c>
      <c r="O1434">
        <v>6428447</v>
      </c>
      <c r="P1434">
        <v>1093313</v>
      </c>
    </row>
    <row r="1435" spans="1:16" x14ac:dyDescent="0.3">
      <c r="A1435">
        <v>2434</v>
      </c>
      <c r="B1435" t="s">
        <v>647</v>
      </c>
      <c r="C1435">
        <v>2023</v>
      </c>
      <c r="D1435" t="s">
        <v>50</v>
      </c>
      <c r="E1435" t="s">
        <v>44</v>
      </c>
      <c r="F1435" t="s">
        <v>92</v>
      </c>
      <c r="G1435" t="s">
        <v>27</v>
      </c>
      <c r="H1435" t="s">
        <v>37</v>
      </c>
      <c r="I1435" t="s">
        <v>32</v>
      </c>
      <c r="J1435">
        <v>1</v>
      </c>
      <c r="K1435">
        <v>23</v>
      </c>
      <c r="L1435">
        <v>7</v>
      </c>
      <c r="M1435">
        <v>1222666</v>
      </c>
      <c r="N1435">
        <v>8558662</v>
      </c>
      <c r="O1435">
        <v>7522465</v>
      </c>
      <c r="P1435">
        <v>1036197</v>
      </c>
    </row>
    <row r="1436" spans="1:16" x14ac:dyDescent="0.3">
      <c r="A1436">
        <v>2435</v>
      </c>
      <c r="B1436" t="s">
        <v>448</v>
      </c>
      <c r="C1436">
        <v>2023</v>
      </c>
      <c r="D1436" t="s">
        <v>67</v>
      </c>
      <c r="E1436" t="s">
        <v>25</v>
      </c>
      <c r="F1436" t="s">
        <v>26</v>
      </c>
      <c r="G1436" t="s">
        <v>46</v>
      </c>
      <c r="H1436" t="s">
        <v>31</v>
      </c>
      <c r="I1436" t="s">
        <v>32</v>
      </c>
      <c r="J1436">
        <v>1.5</v>
      </c>
      <c r="K1436">
        <v>18</v>
      </c>
      <c r="L1436">
        <v>5</v>
      </c>
      <c r="M1436">
        <v>1193414</v>
      </c>
      <c r="N1436">
        <v>5967070</v>
      </c>
      <c r="O1436">
        <v>5199921</v>
      </c>
      <c r="P1436">
        <v>767149</v>
      </c>
    </row>
    <row r="1437" spans="1:16" x14ac:dyDescent="0.3">
      <c r="A1437">
        <v>2436</v>
      </c>
      <c r="B1437" t="s">
        <v>153</v>
      </c>
      <c r="C1437">
        <v>2024</v>
      </c>
      <c r="D1437" t="s">
        <v>43</v>
      </c>
      <c r="E1437" t="s">
        <v>44</v>
      </c>
      <c r="F1437" t="s">
        <v>45</v>
      </c>
      <c r="G1437" t="s">
        <v>27</v>
      </c>
      <c r="H1437" t="s">
        <v>54</v>
      </c>
      <c r="I1437" t="s">
        <v>48</v>
      </c>
      <c r="J1437">
        <v>2</v>
      </c>
      <c r="K1437">
        <v>19</v>
      </c>
      <c r="L1437">
        <v>4</v>
      </c>
      <c r="M1437">
        <v>1022675</v>
      </c>
      <c r="N1437">
        <v>4090700</v>
      </c>
      <c r="O1437">
        <v>3381114</v>
      </c>
      <c r="P1437">
        <v>709586</v>
      </c>
    </row>
    <row r="1438" spans="1:16" x14ac:dyDescent="0.3">
      <c r="A1438">
        <v>2437</v>
      </c>
      <c r="B1438" t="s">
        <v>710</v>
      </c>
      <c r="C1438">
        <v>2023</v>
      </c>
      <c r="D1438" t="s">
        <v>43</v>
      </c>
      <c r="E1438" t="s">
        <v>40</v>
      </c>
      <c r="F1438" t="s">
        <v>104</v>
      </c>
      <c r="G1438" t="s">
        <v>90</v>
      </c>
      <c r="H1438" t="s">
        <v>52</v>
      </c>
      <c r="I1438" t="s">
        <v>22</v>
      </c>
      <c r="J1438">
        <v>2</v>
      </c>
      <c r="K1438">
        <v>18</v>
      </c>
      <c r="L1438">
        <v>1</v>
      </c>
      <c r="M1438">
        <v>654395</v>
      </c>
      <c r="N1438">
        <v>654395</v>
      </c>
      <c r="O1438">
        <v>528278</v>
      </c>
      <c r="P1438">
        <v>126117</v>
      </c>
    </row>
    <row r="1439" spans="1:16" x14ac:dyDescent="0.3">
      <c r="A1439">
        <v>2438</v>
      </c>
      <c r="B1439" t="s">
        <v>651</v>
      </c>
      <c r="C1439">
        <v>2024</v>
      </c>
      <c r="D1439" t="s">
        <v>67</v>
      </c>
      <c r="E1439" t="s">
        <v>44</v>
      </c>
      <c r="F1439" t="s">
        <v>70</v>
      </c>
      <c r="G1439" t="s">
        <v>59</v>
      </c>
      <c r="H1439" t="s">
        <v>47</v>
      </c>
      <c r="I1439" t="s">
        <v>48</v>
      </c>
      <c r="J1439">
        <v>1</v>
      </c>
      <c r="K1439">
        <v>16</v>
      </c>
      <c r="L1439">
        <v>3</v>
      </c>
      <c r="M1439">
        <v>742785</v>
      </c>
      <c r="N1439">
        <v>2228355</v>
      </c>
      <c r="O1439">
        <v>1948497</v>
      </c>
      <c r="P1439">
        <v>279858</v>
      </c>
    </row>
    <row r="1440" spans="1:16" x14ac:dyDescent="0.3">
      <c r="A1440">
        <v>2439</v>
      </c>
      <c r="B1440" t="s">
        <v>711</v>
      </c>
      <c r="C1440">
        <v>2024</v>
      </c>
      <c r="D1440" t="s">
        <v>50</v>
      </c>
      <c r="E1440" t="s">
        <v>18</v>
      </c>
      <c r="F1440" t="s">
        <v>107</v>
      </c>
      <c r="G1440" t="s">
        <v>36</v>
      </c>
      <c r="H1440" t="s">
        <v>56</v>
      </c>
      <c r="I1440" t="s">
        <v>48</v>
      </c>
      <c r="J1440">
        <v>1.2</v>
      </c>
      <c r="K1440">
        <v>16</v>
      </c>
      <c r="L1440">
        <v>1</v>
      </c>
      <c r="M1440">
        <v>966529</v>
      </c>
      <c r="N1440">
        <v>966529</v>
      </c>
      <c r="O1440">
        <v>841765</v>
      </c>
      <c r="P1440">
        <v>124764</v>
      </c>
    </row>
    <row r="1441" spans="1:16" x14ac:dyDescent="0.3">
      <c r="A1441">
        <v>2440</v>
      </c>
      <c r="B1441" t="s">
        <v>617</v>
      </c>
      <c r="C1441">
        <v>2023</v>
      </c>
      <c r="D1441" t="s">
        <v>29</v>
      </c>
      <c r="E1441" t="s">
        <v>18</v>
      </c>
      <c r="F1441" t="s">
        <v>107</v>
      </c>
      <c r="G1441" t="s">
        <v>90</v>
      </c>
      <c r="H1441" t="s">
        <v>79</v>
      </c>
      <c r="I1441" t="s">
        <v>48</v>
      </c>
      <c r="J1441">
        <v>1</v>
      </c>
      <c r="K1441">
        <v>22</v>
      </c>
      <c r="L1441">
        <v>6</v>
      </c>
      <c r="M1441">
        <v>1027370</v>
      </c>
      <c r="N1441">
        <v>6164220</v>
      </c>
      <c r="O1441">
        <v>5001680</v>
      </c>
      <c r="P1441">
        <v>1162540</v>
      </c>
    </row>
    <row r="1442" spans="1:16" x14ac:dyDescent="0.3">
      <c r="A1442">
        <v>2441</v>
      </c>
      <c r="B1442" t="s">
        <v>215</v>
      </c>
      <c r="C1442">
        <v>2024</v>
      </c>
      <c r="D1442" t="s">
        <v>67</v>
      </c>
      <c r="E1442" t="s">
        <v>40</v>
      </c>
      <c r="F1442" t="s">
        <v>120</v>
      </c>
      <c r="G1442" t="s">
        <v>36</v>
      </c>
      <c r="H1442" t="s">
        <v>56</v>
      </c>
      <c r="I1442" t="s">
        <v>48</v>
      </c>
      <c r="J1442">
        <v>1.5</v>
      </c>
      <c r="K1442">
        <v>22</v>
      </c>
      <c r="L1442">
        <v>7</v>
      </c>
      <c r="M1442">
        <v>751814</v>
      </c>
      <c r="N1442">
        <v>5262698</v>
      </c>
      <c r="O1442">
        <v>4385754</v>
      </c>
      <c r="P1442">
        <v>876944</v>
      </c>
    </row>
    <row r="1443" spans="1:16" x14ac:dyDescent="0.3">
      <c r="A1443">
        <v>2442</v>
      </c>
      <c r="B1443" t="s">
        <v>179</v>
      </c>
      <c r="C1443">
        <v>2023</v>
      </c>
      <c r="D1443" t="s">
        <v>29</v>
      </c>
      <c r="E1443" t="s">
        <v>18</v>
      </c>
      <c r="F1443" t="s">
        <v>35</v>
      </c>
      <c r="G1443" t="s">
        <v>27</v>
      </c>
      <c r="H1443" t="s">
        <v>54</v>
      </c>
      <c r="I1443" t="s">
        <v>48</v>
      </c>
      <c r="J1443">
        <v>1.5</v>
      </c>
      <c r="K1443">
        <v>23</v>
      </c>
      <c r="L1443">
        <v>4</v>
      </c>
      <c r="M1443">
        <v>1328327</v>
      </c>
      <c r="N1443">
        <v>5313308</v>
      </c>
      <c r="O1443">
        <v>4483935</v>
      </c>
      <c r="P1443">
        <v>829373</v>
      </c>
    </row>
    <row r="1444" spans="1:16" x14ac:dyDescent="0.3">
      <c r="A1444">
        <v>2443</v>
      </c>
      <c r="B1444" t="s">
        <v>326</v>
      </c>
      <c r="C1444">
        <v>2024</v>
      </c>
      <c r="D1444" t="s">
        <v>76</v>
      </c>
      <c r="E1444" t="s">
        <v>25</v>
      </c>
      <c r="F1444" t="s">
        <v>58</v>
      </c>
      <c r="G1444" t="s">
        <v>20</v>
      </c>
      <c r="H1444" t="s">
        <v>54</v>
      </c>
      <c r="I1444" t="s">
        <v>48</v>
      </c>
      <c r="J1444">
        <v>1</v>
      </c>
      <c r="K1444">
        <v>19</v>
      </c>
      <c r="L1444">
        <v>7</v>
      </c>
      <c r="M1444">
        <v>777047</v>
      </c>
      <c r="N1444">
        <v>5439329</v>
      </c>
      <c r="O1444">
        <v>4298487</v>
      </c>
      <c r="P1444">
        <v>1140842</v>
      </c>
    </row>
    <row r="1445" spans="1:16" x14ac:dyDescent="0.3">
      <c r="A1445">
        <v>2444</v>
      </c>
      <c r="B1445" t="s">
        <v>702</v>
      </c>
      <c r="C1445">
        <v>2024</v>
      </c>
      <c r="D1445" t="s">
        <v>29</v>
      </c>
      <c r="E1445" t="s">
        <v>40</v>
      </c>
      <c r="F1445" t="s">
        <v>41</v>
      </c>
      <c r="G1445" t="s">
        <v>90</v>
      </c>
      <c r="H1445" t="s">
        <v>79</v>
      </c>
      <c r="I1445" t="s">
        <v>48</v>
      </c>
      <c r="J1445">
        <v>1.2</v>
      </c>
      <c r="K1445">
        <v>19</v>
      </c>
      <c r="L1445">
        <v>6</v>
      </c>
      <c r="M1445">
        <v>898612</v>
      </c>
      <c r="N1445">
        <v>5391672</v>
      </c>
      <c r="O1445">
        <v>4627121</v>
      </c>
      <c r="P1445">
        <v>764551</v>
      </c>
    </row>
    <row r="1446" spans="1:16" x14ac:dyDescent="0.3">
      <c r="A1446">
        <v>2445</v>
      </c>
      <c r="B1446" t="s">
        <v>629</v>
      </c>
      <c r="C1446">
        <v>2024</v>
      </c>
      <c r="D1446" t="s">
        <v>24</v>
      </c>
      <c r="E1446" t="s">
        <v>44</v>
      </c>
      <c r="F1446" t="s">
        <v>92</v>
      </c>
      <c r="G1446" t="s">
        <v>46</v>
      </c>
      <c r="H1446" t="s">
        <v>31</v>
      </c>
      <c r="I1446" t="s">
        <v>32</v>
      </c>
      <c r="J1446">
        <v>2</v>
      </c>
      <c r="K1446">
        <v>23</v>
      </c>
      <c r="L1446">
        <v>4</v>
      </c>
      <c r="M1446">
        <v>1254459</v>
      </c>
      <c r="N1446">
        <v>5017836</v>
      </c>
      <c r="O1446">
        <v>4396381</v>
      </c>
      <c r="P1446">
        <v>621455</v>
      </c>
    </row>
    <row r="1447" spans="1:16" x14ac:dyDescent="0.3">
      <c r="A1447">
        <v>2446</v>
      </c>
      <c r="B1447" t="s">
        <v>540</v>
      </c>
      <c r="C1447">
        <v>2023</v>
      </c>
      <c r="D1447" t="s">
        <v>34</v>
      </c>
      <c r="E1447" t="s">
        <v>40</v>
      </c>
      <c r="F1447" t="s">
        <v>104</v>
      </c>
      <c r="G1447" t="s">
        <v>46</v>
      </c>
      <c r="H1447" t="s">
        <v>100</v>
      </c>
      <c r="I1447" t="s">
        <v>22</v>
      </c>
      <c r="J1447">
        <v>1</v>
      </c>
      <c r="K1447">
        <v>20</v>
      </c>
      <c r="L1447">
        <v>2</v>
      </c>
      <c r="M1447">
        <v>690292</v>
      </c>
      <c r="N1447">
        <v>1380584</v>
      </c>
      <c r="O1447">
        <v>1092439</v>
      </c>
      <c r="P1447">
        <v>288145</v>
      </c>
    </row>
    <row r="1448" spans="1:16" x14ac:dyDescent="0.3">
      <c r="A1448">
        <v>2447</v>
      </c>
      <c r="B1448" t="s">
        <v>491</v>
      </c>
      <c r="C1448">
        <v>2023</v>
      </c>
      <c r="D1448" t="s">
        <v>34</v>
      </c>
      <c r="E1448" t="s">
        <v>25</v>
      </c>
      <c r="F1448" t="s">
        <v>26</v>
      </c>
      <c r="G1448" t="s">
        <v>90</v>
      </c>
      <c r="H1448" t="s">
        <v>100</v>
      </c>
      <c r="I1448" t="s">
        <v>22</v>
      </c>
      <c r="J1448">
        <v>1.2</v>
      </c>
      <c r="K1448">
        <v>16</v>
      </c>
      <c r="L1448">
        <v>5</v>
      </c>
      <c r="M1448">
        <v>1297954</v>
      </c>
      <c r="N1448">
        <v>6489770</v>
      </c>
      <c r="O1448">
        <v>5822024</v>
      </c>
      <c r="P1448">
        <v>667746</v>
      </c>
    </row>
    <row r="1449" spans="1:16" x14ac:dyDescent="0.3">
      <c r="A1449">
        <v>2448</v>
      </c>
      <c r="B1449" t="s">
        <v>581</v>
      </c>
      <c r="C1449">
        <v>2024</v>
      </c>
      <c r="D1449" t="s">
        <v>29</v>
      </c>
      <c r="E1449" t="s">
        <v>18</v>
      </c>
      <c r="F1449" t="s">
        <v>35</v>
      </c>
      <c r="G1449" t="s">
        <v>30</v>
      </c>
      <c r="H1449" t="s">
        <v>100</v>
      </c>
      <c r="I1449" t="s">
        <v>22</v>
      </c>
      <c r="J1449">
        <v>1.5</v>
      </c>
      <c r="K1449">
        <v>21</v>
      </c>
      <c r="L1449">
        <v>1</v>
      </c>
      <c r="M1449">
        <v>835751</v>
      </c>
      <c r="N1449">
        <v>835751</v>
      </c>
      <c r="O1449">
        <v>629869</v>
      </c>
      <c r="P1449">
        <v>205882</v>
      </c>
    </row>
    <row r="1450" spans="1:16" x14ac:dyDescent="0.3">
      <c r="A1450">
        <v>2449</v>
      </c>
      <c r="B1450" t="s">
        <v>246</v>
      </c>
      <c r="C1450">
        <v>2023</v>
      </c>
      <c r="D1450" t="s">
        <v>39</v>
      </c>
      <c r="E1450" t="s">
        <v>40</v>
      </c>
      <c r="F1450" t="s">
        <v>41</v>
      </c>
      <c r="G1450" t="s">
        <v>51</v>
      </c>
      <c r="H1450" t="s">
        <v>21</v>
      </c>
      <c r="I1450" t="s">
        <v>22</v>
      </c>
      <c r="J1450">
        <v>2</v>
      </c>
      <c r="K1450">
        <v>22</v>
      </c>
      <c r="L1450">
        <v>3</v>
      </c>
      <c r="M1450">
        <v>1278440</v>
      </c>
      <c r="N1450">
        <v>3835320</v>
      </c>
      <c r="O1450">
        <v>2998297</v>
      </c>
      <c r="P1450">
        <v>837023</v>
      </c>
    </row>
    <row r="1451" spans="1:16" x14ac:dyDescent="0.3">
      <c r="A1451">
        <v>2450</v>
      </c>
      <c r="B1451" t="s">
        <v>540</v>
      </c>
      <c r="C1451">
        <v>2023</v>
      </c>
      <c r="D1451" t="s">
        <v>34</v>
      </c>
      <c r="E1451" t="s">
        <v>44</v>
      </c>
      <c r="F1451" t="s">
        <v>45</v>
      </c>
      <c r="G1451" t="s">
        <v>90</v>
      </c>
      <c r="H1451" t="s">
        <v>79</v>
      </c>
      <c r="I1451" t="s">
        <v>48</v>
      </c>
      <c r="J1451">
        <v>1.2</v>
      </c>
      <c r="K1451">
        <v>20</v>
      </c>
      <c r="L1451">
        <v>6</v>
      </c>
      <c r="M1451">
        <v>763646</v>
      </c>
      <c r="N1451">
        <v>4581876</v>
      </c>
      <c r="O1451">
        <v>4080452</v>
      </c>
      <c r="P1451">
        <v>501424</v>
      </c>
    </row>
    <row r="1452" spans="1:16" x14ac:dyDescent="0.3">
      <c r="A1452">
        <v>2451</v>
      </c>
      <c r="B1452" t="s">
        <v>712</v>
      </c>
      <c r="C1452">
        <v>2023</v>
      </c>
      <c r="D1452" t="s">
        <v>17</v>
      </c>
      <c r="E1452" t="s">
        <v>25</v>
      </c>
      <c r="F1452" t="s">
        <v>77</v>
      </c>
      <c r="G1452" t="s">
        <v>59</v>
      </c>
      <c r="H1452" t="s">
        <v>31</v>
      </c>
      <c r="I1452" t="s">
        <v>32</v>
      </c>
      <c r="J1452">
        <v>2</v>
      </c>
      <c r="K1452">
        <v>21</v>
      </c>
      <c r="L1452">
        <v>8</v>
      </c>
      <c r="M1452">
        <v>678365</v>
      </c>
      <c r="N1452">
        <v>5426920</v>
      </c>
      <c r="O1452">
        <v>4469224</v>
      </c>
      <c r="P1452">
        <v>957696</v>
      </c>
    </row>
    <row r="1453" spans="1:16" x14ac:dyDescent="0.3">
      <c r="A1453">
        <v>2452</v>
      </c>
      <c r="B1453" t="s">
        <v>551</v>
      </c>
      <c r="C1453">
        <v>2024</v>
      </c>
      <c r="D1453" t="s">
        <v>50</v>
      </c>
      <c r="E1453" t="s">
        <v>18</v>
      </c>
      <c r="F1453" t="s">
        <v>72</v>
      </c>
      <c r="G1453" t="s">
        <v>20</v>
      </c>
      <c r="H1453" t="s">
        <v>56</v>
      </c>
      <c r="I1453" t="s">
        <v>48</v>
      </c>
      <c r="J1453">
        <v>1.5</v>
      </c>
      <c r="K1453">
        <v>16</v>
      </c>
      <c r="L1453">
        <v>4</v>
      </c>
      <c r="M1453">
        <v>953359</v>
      </c>
      <c r="N1453">
        <v>3813436</v>
      </c>
      <c r="O1453">
        <v>3092579</v>
      </c>
      <c r="P1453">
        <v>720857</v>
      </c>
    </row>
    <row r="1454" spans="1:16" x14ac:dyDescent="0.3">
      <c r="A1454">
        <v>2453</v>
      </c>
      <c r="B1454" t="s">
        <v>437</v>
      </c>
      <c r="C1454">
        <v>2024</v>
      </c>
      <c r="D1454" t="s">
        <v>97</v>
      </c>
      <c r="E1454" t="s">
        <v>44</v>
      </c>
      <c r="F1454" t="s">
        <v>62</v>
      </c>
      <c r="G1454" t="s">
        <v>20</v>
      </c>
      <c r="H1454" t="s">
        <v>54</v>
      </c>
      <c r="I1454" t="s">
        <v>48</v>
      </c>
      <c r="J1454">
        <v>1</v>
      </c>
      <c r="K1454">
        <v>22</v>
      </c>
      <c r="L1454">
        <v>1</v>
      </c>
      <c r="M1454">
        <v>930333</v>
      </c>
      <c r="N1454">
        <v>930333</v>
      </c>
      <c r="O1454">
        <v>812406</v>
      </c>
      <c r="P1454">
        <v>117927</v>
      </c>
    </row>
    <row r="1455" spans="1:16" x14ac:dyDescent="0.3">
      <c r="A1455">
        <v>2454</v>
      </c>
      <c r="B1455" t="s">
        <v>706</v>
      </c>
      <c r="C1455">
        <v>2023</v>
      </c>
      <c r="D1455" t="s">
        <v>43</v>
      </c>
      <c r="E1455" t="s">
        <v>40</v>
      </c>
      <c r="F1455" t="s">
        <v>41</v>
      </c>
      <c r="G1455" t="s">
        <v>27</v>
      </c>
      <c r="H1455" t="s">
        <v>79</v>
      </c>
      <c r="I1455" t="s">
        <v>48</v>
      </c>
      <c r="J1455">
        <v>1.5</v>
      </c>
      <c r="K1455">
        <v>20</v>
      </c>
      <c r="L1455">
        <v>5</v>
      </c>
      <c r="M1455">
        <v>938984</v>
      </c>
      <c r="N1455">
        <v>4694920</v>
      </c>
      <c r="O1455">
        <v>3941585</v>
      </c>
      <c r="P1455">
        <v>753335</v>
      </c>
    </row>
    <row r="1456" spans="1:16" x14ac:dyDescent="0.3">
      <c r="A1456">
        <v>2455</v>
      </c>
      <c r="B1456" t="s">
        <v>213</v>
      </c>
      <c r="C1456">
        <v>2024</v>
      </c>
      <c r="D1456" t="s">
        <v>24</v>
      </c>
      <c r="E1456" t="s">
        <v>18</v>
      </c>
      <c r="F1456" t="s">
        <v>19</v>
      </c>
      <c r="G1456" t="s">
        <v>27</v>
      </c>
      <c r="H1456" t="s">
        <v>63</v>
      </c>
      <c r="I1456" t="s">
        <v>22</v>
      </c>
      <c r="J1456">
        <v>1.2</v>
      </c>
      <c r="K1456">
        <v>16</v>
      </c>
      <c r="L1456">
        <v>6</v>
      </c>
      <c r="M1456">
        <v>923836</v>
      </c>
      <c r="N1456">
        <v>5543016</v>
      </c>
      <c r="O1456">
        <v>4938506</v>
      </c>
      <c r="P1456">
        <v>604510</v>
      </c>
    </row>
    <row r="1457" spans="1:16" x14ac:dyDescent="0.3">
      <c r="A1457">
        <v>2456</v>
      </c>
      <c r="B1457" t="s">
        <v>713</v>
      </c>
      <c r="C1457">
        <v>2023</v>
      </c>
      <c r="D1457" t="s">
        <v>17</v>
      </c>
      <c r="E1457" t="s">
        <v>40</v>
      </c>
      <c r="F1457" t="s">
        <v>41</v>
      </c>
      <c r="G1457" t="s">
        <v>90</v>
      </c>
      <c r="H1457" t="s">
        <v>56</v>
      </c>
      <c r="I1457" t="s">
        <v>48</v>
      </c>
      <c r="J1457">
        <v>1.5</v>
      </c>
      <c r="K1457">
        <v>16</v>
      </c>
      <c r="L1457">
        <v>4</v>
      </c>
      <c r="M1457">
        <v>1291902</v>
      </c>
      <c r="N1457">
        <v>5167608</v>
      </c>
      <c r="O1457">
        <v>4541091</v>
      </c>
      <c r="P1457">
        <v>626517</v>
      </c>
    </row>
    <row r="1458" spans="1:16" x14ac:dyDescent="0.3">
      <c r="A1458">
        <v>2457</v>
      </c>
      <c r="B1458" t="s">
        <v>304</v>
      </c>
      <c r="C1458">
        <v>2023</v>
      </c>
      <c r="D1458" t="s">
        <v>61</v>
      </c>
      <c r="E1458" t="s">
        <v>40</v>
      </c>
      <c r="F1458" t="s">
        <v>41</v>
      </c>
      <c r="G1458" t="s">
        <v>20</v>
      </c>
      <c r="H1458" t="s">
        <v>37</v>
      </c>
      <c r="I1458" t="s">
        <v>32</v>
      </c>
      <c r="J1458">
        <v>1.2</v>
      </c>
      <c r="K1458">
        <v>19</v>
      </c>
      <c r="L1458">
        <v>8</v>
      </c>
      <c r="M1458">
        <v>1124775</v>
      </c>
      <c r="N1458">
        <v>8998200</v>
      </c>
      <c r="O1458">
        <v>7484448</v>
      </c>
      <c r="P1458">
        <v>1513752</v>
      </c>
    </row>
    <row r="1459" spans="1:16" x14ac:dyDescent="0.3">
      <c r="A1459">
        <v>2458</v>
      </c>
      <c r="B1459" t="s">
        <v>507</v>
      </c>
      <c r="C1459">
        <v>2023</v>
      </c>
      <c r="D1459" t="s">
        <v>43</v>
      </c>
      <c r="E1459" t="s">
        <v>18</v>
      </c>
      <c r="F1459" t="s">
        <v>19</v>
      </c>
      <c r="G1459" t="s">
        <v>20</v>
      </c>
      <c r="H1459" t="s">
        <v>31</v>
      </c>
      <c r="I1459" t="s">
        <v>32</v>
      </c>
      <c r="J1459">
        <v>1.5</v>
      </c>
      <c r="K1459">
        <v>21</v>
      </c>
      <c r="L1459">
        <v>5</v>
      </c>
      <c r="M1459">
        <v>811822</v>
      </c>
      <c r="N1459">
        <v>4059110</v>
      </c>
      <c r="O1459">
        <v>3440905</v>
      </c>
      <c r="P1459">
        <v>618205</v>
      </c>
    </row>
    <row r="1460" spans="1:16" x14ac:dyDescent="0.3">
      <c r="A1460">
        <v>2459</v>
      </c>
      <c r="B1460" t="s">
        <v>596</v>
      </c>
      <c r="C1460">
        <v>2023</v>
      </c>
      <c r="D1460" t="s">
        <v>74</v>
      </c>
      <c r="E1460" t="s">
        <v>40</v>
      </c>
      <c r="F1460" t="s">
        <v>104</v>
      </c>
      <c r="G1460" t="s">
        <v>90</v>
      </c>
      <c r="H1460" t="s">
        <v>21</v>
      </c>
      <c r="I1460" t="s">
        <v>22</v>
      </c>
      <c r="J1460">
        <v>2</v>
      </c>
      <c r="K1460">
        <v>19</v>
      </c>
      <c r="L1460">
        <v>1</v>
      </c>
      <c r="M1460">
        <v>949510</v>
      </c>
      <c r="N1460">
        <v>949510</v>
      </c>
      <c r="O1460">
        <v>817057</v>
      </c>
      <c r="P1460">
        <v>132453</v>
      </c>
    </row>
    <row r="1461" spans="1:16" x14ac:dyDescent="0.3">
      <c r="A1461">
        <v>2460</v>
      </c>
      <c r="B1461" t="s">
        <v>634</v>
      </c>
      <c r="C1461">
        <v>2023</v>
      </c>
      <c r="D1461" t="s">
        <v>97</v>
      </c>
      <c r="E1461" t="s">
        <v>44</v>
      </c>
      <c r="F1461" t="s">
        <v>62</v>
      </c>
      <c r="G1461" t="s">
        <v>36</v>
      </c>
      <c r="H1461" t="s">
        <v>54</v>
      </c>
      <c r="I1461" t="s">
        <v>48</v>
      </c>
      <c r="J1461">
        <v>1</v>
      </c>
      <c r="K1461">
        <v>22</v>
      </c>
      <c r="L1461">
        <v>7</v>
      </c>
      <c r="M1461">
        <v>688576</v>
      </c>
      <c r="N1461">
        <v>4820032</v>
      </c>
      <c r="O1461">
        <v>4133097</v>
      </c>
      <c r="P1461">
        <v>686935</v>
      </c>
    </row>
    <row r="1462" spans="1:16" x14ac:dyDescent="0.3">
      <c r="A1462">
        <v>2461</v>
      </c>
      <c r="B1462" t="s">
        <v>610</v>
      </c>
      <c r="C1462">
        <v>2024</v>
      </c>
      <c r="D1462" t="s">
        <v>74</v>
      </c>
      <c r="E1462" t="s">
        <v>40</v>
      </c>
      <c r="F1462" t="s">
        <v>120</v>
      </c>
      <c r="G1462" t="s">
        <v>30</v>
      </c>
      <c r="H1462" t="s">
        <v>63</v>
      </c>
      <c r="I1462" t="s">
        <v>22</v>
      </c>
      <c r="J1462">
        <v>1.2</v>
      </c>
      <c r="K1462">
        <v>18</v>
      </c>
      <c r="L1462">
        <v>2</v>
      </c>
      <c r="M1462">
        <v>1345337</v>
      </c>
      <c r="N1462">
        <v>2690674</v>
      </c>
      <c r="O1462">
        <v>2028492</v>
      </c>
      <c r="P1462">
        <v>662182</v>
      </c>
    </row>
    <row r="1463" spans="1:16" x14ac:dyDescent="0.3">
      <c r="A1463">
        <v>2462</v>
      </c>
      <c r="B1463" t="s">
        <v>714</v>
      </c>
      <c r="C1463">
        <v>2023</v>
      </c>
      <c r="D1463" t="s">
        <v>17</v>
      </c>
      <c r="E1463" t="s">
        <v>40</v>
      </c>
      <c r="F1463" t="s">
        <v>104</v>
      </c>
      <c r="G1463" t="s">
        <v>46</v>
      </c>
      <c r="H1463" t="s">
        <v>52</v>
      </c>
      <c r="I1463" t="s">
        <v>22</v>
      </c>
      <c r="J1463">
        <v>1.5</v>
      </c>
      <c r="K1463">
        <v>20</v>
      </c>
      <c r="L1463">
        <v>2</v>
      </c>
      <c r="M1463">
        <v>961605</v>
      </c>
      <c r="N1463">
        <v>1923210</v>
      </c>
      <c r="O1463">
        <v>1447445</v>
      </c>
      <c r="P1463">
        <v>475765</v>
      </c>
    </row>
    <row r="1464" spans="1:16" x14ac:dyDescent="0.3">
      <c r="A1464">
        <v>2463</v>
      </c>
      <c r="B1464" t="s">
        <v>148</v>
      </c>
      <c r="C1464">
        <v>2023</v>
      </c>
      <c r="D1464" t="s">
        <v>97</v>
      </c>
      <c r="E1464" t="s">
        <v>25</v>
      </c>
      <c r="F1464" t="s">
        <v>58</v>
      </c>
      <c r="G1464" t="s">
        <v>20</v>
      </c>
      <c r="H1464" t="s">
        <v>47</v>
      </c>
      <c r="I1464" t="s">
        <v>48</v>
      </c>
      <c r="J1464">
        <v>1</v>
      </c>
      <c r="K1464">
        <v>20</v>
      </c>
      <c r="L1464">
        <v>8</v>
      </c>
      <c r="M1464">
        <v>1410839</v>
      </c>
      <c r="N1464">
        <v>11286712</v>
      </c>
      <c r="O1464">
        <v>9323455</v>
      </c>
      <c r="P1464">
        <v>1963257</v>
      </c>
    </row>
    <row r="1465" spans="1:16" x14ac:dyDescent="0.3">
      <c r="A1465">
        <v>2464</v>
      </c>
      <c r="B1465" t="s">
        <v>249</v>
      </c>
      <c r="C1465">
        <v>2024</v>
      </c>
      <c r="D1465" t="s">
        <v>17</v>
      </c>
      <c r="E1465" t="s">
        <v>44</v>
      </c>
      <c r="F1465" t="s">
        <v>92</v>
      </c>
      <c r="G1465" t="s">
        <v>46</v>
      </c>
      <c r="H1465" t="s">
        <v>63</v>
      </c>
      <c r="I1465" t="s">
        <v>22</v>
      </c>
      <c r="J1465">
        <v>1.2</v>
      </c>
      <c r="K1465">
        <v>23</v>
      </c>
      <c r="L1465">
        <v>4</v>
      </c>
      <c r="M1465">
        <v>720718</v>
      </c>
      <c r="N1465">
        <v>2882872</v>
      </c>
      <c r="O1465">
        <v>2446441</v>
      </c>
      <c r="P1465">
        <v>436431</v>
      </c>
    </row>
    <row r="1466" spans="1:16" x14ac:dyDescent="0.3">
      <c r="A1466">
        <v>2465</v>
      </c>
      <c r="B1466" t="s">
        <v>715</v>
      </c>
      <c r="C1466">
        <v>2024</v>
      </c>
      <c r="D1466" t="s">
        <v>24</v>
      </c>
      <c r="E1466" t="s">
        <v>44</v>
      </c>
      <c r="F1466" t="s">
        <v>45</v>
      </c>
      <c r="G1466" t="s">
        <v>46</v>
      </c>
      <c r="H1466" t="s">
        <v>54</v>
      </c>
      <c r="I1466" t="s">
        <v>48</v>
      </c>
      <c r="J1466">
        <v>2</v>
      </c>
      <c r="K1466">
        <v>23</v>
      </c>
      <c r="L1466">
        <v>7</v>
      </c>
      <c r="M1466">
        <v>978296</v>
      </c>
      <c r="N1466">
        <v>6848072</v>
      </c>
      <c r="O1466">
        <v>6091091</v>
      </c>
      <c r="P1466">
        <v>756981</v>
      </c>
    </row>
    <row r="1467" spans="1:16" x14ac:dyDescent="0.3">
      <c r="A1467">
        <v>2466</v>
      </c>
      <c r="B1467" t="s">
        <v>391</v>
      </c>
      <c r="C1467">
        <v>2024</v>
      </c>
      <c r="D1467" t="s">
        <v>74</v>
      </c>
      <c r="E1467" t="s">
        <v>25</v>
      </c>
      <c r="F1467" t="s">
        <v>58</v>
      </c>
      <c r="G1467" t="s">
        <v>46</v>
      </c>
      <c r="H1467" t="s">
        <v>52</v>
      </c>
      <c r="I1467" t="s">
        <v>22</v>
      </c>
      <c r="J1467">
        <v>1.5</v>
      </c>
      <c r="K1467">
        <v>22</v>
      </c>
      <c r="L1467">
        <v>3</v>
      </c>
      <c r="M1467">
        <v>1201321</v>
      </c>
      <c r="N1467">
        <v>3603963</v>
      </c>
      <c r="O1467">
        <v>3067137</v>
      </c>
      <c r="P1467">
        <v>536826</v>
      </c>
    </row>
    <row r="1468" spans="1:16" x14ac:dyDescent="0.3">
      <c r="A1468">
        <v>2467</v>
      </c>
      <c r="B1468" t="s">
        <v>492</v>
      </c>
      <c r="C1468">
        <v>2024</v>
      </c>
      <c r="D1468" t="s">
        <v>74</v>
      </c>
      <c r="E1468" t="s">
        <v>40</v>
      </c>
      <c r="F1468" t="s">
        <v>104</v>
      </c>
      <c r="G1468" t="s">
        <v>51</v>
      </c>
      <c r="H1468" t="s">
        <v>31</v>
      </c>
      <c r="I1468" t="s">
        <v>32</v>
      </c>
      <c r="J1468">
        <v>1</v>
      </c>
      <c r="K1468">
        <v>19</v>
      </c>
      <c r="L1468">
        <v>6</v>
      </c>
      <c r="M1468">
        <v>684779</v>
      </c>
      <c r="N1468">
        <v>4108674</v>
      </c>
      <c r="O1468">
        <v>3340957</v>
      </c>
      <c r="P1468">
        <v>767717</v>
      </c>
    </row>
    <row r="1469" spans="1:16" x14ac:dyDescent="0.3">
      <c r="A1469">
        <v>2468</v>
      </c>
      <c r="B1469" t="s">
        <v>258</v>
      </c>
      <c r="C1469">
        <v>2024</v>
      </c>
      <c r="D1469" t="s">
        <v>29</v>
      </c>
      <c r="E1469" t="s">
        <v>44</v>
      </c>
      <c r="F1469" t="s">
        <v>92</v>
      </c>
      <c r="G1469" t="s">
        <v>90</v>
      </c>
      <c r="H1469" t="s">
        <v>47</v>
      </c>
      <c r="I1469" t="s">
        <v>48</v>
      </c>
      <c r="J1469">
        <v>1.2</v>
      </c>
      <c r="K1469">
        <v>19</v>
      </c>
      <c r="L1469">
        <v>8</v>
      </c>
      <c r="M1469">
        <v>749538</v>
      </c>
      <c r="N1469">
        <v>5996304</v>
      </c>
      <c r="O1469">
        <v>5003725</v>
      </c>
      <c r="P1469">
        <v>992579</v>
      </c>
    </row>
    <row r="1470" spans="1:16" x14ac:dyDescent="0.3">
      <c r="A1470">
        <v>2469</v>
      </c>
      <c r="B1470" t="s">
        <v>201</v>
      </c>
      <c r="C1470">
        <v>2023</v>
      </c>
      <c r="D1470" t="s">
        <v>50</v>
      </c>
      <c r="E1470" t="s">
        <v>40</v>
      </c>
      <c r="F1470" t="s">
        <v>104</v>
      </c>
      <c r="G1470" t="s">
        <v>36</v>
      </c>
      <c r="H1470" t="s">
        <v>63</v>
      </c>
      <c r="I1470" t="s">
        <v>22</v>
      </c>
      <c r="J1470">
        <v>1</v>
      </c>
      <c r="K1470">
        <v>18</v>
      </c>
      <c r="L1470">
        <v>8</v>
      </c>
      <c r="M1470">
        <v>1244783</v>
      </c>
      <c r="N1470">
        <v>9958264</v>
      </c>
      <c r="O1470">
        <v>7751731</v>
      </c>
      <c r="P1470">
        <v>2206533</v>
      </c>
    </row>
    <row r="1471" spans="1:16" x14ac:dyDescent="0.3">
      <c r="A1471">
        <v>2470</v>
      </c>
      <c r="B1471" t="s">
        <v>476</v>
      </c>
      <c r="C1471">
        <v>2023</v>
      </c>
      <c r="D1471" t="s">
        <v>97</v>
      </c>
      <c r="E1471" t="s">
        <v>18</v>
      </c>
      <c r="F1471" t="s">
        <v>107</v>
      </c>
      <c r="G1471" t="s">
        <v>90</v>
      </c>
      <c r="H1471" t="s">
        <v>63</v>
      </c>
      <c r="I1471" t="s">
        <v>22</v>
      </c>
      <c r="J1471">
        <v>1.5</v>
      </c>
      <c r="K1471">
        <v>16</v>
      </c>
      <c r="L1471">
        <v>7</v>
      </c>
      <c r="M1471">
        <v>1411964</v>
      </c>
      <c r="N1471">
        <v>9883748</v>
      </c>
      <c r="O1471">
        <v>8395630</v>
      </c>
      <c r="P1471">
        <v>1488118</v>
      </c>
    </row>
    <row r="1472" spans="1:16" x14ac:dyDescent="0.3">
      <c r="A1472">
        <v>2471</v>
      </c>
      <c r="B1472" t="s">
        <v>716</v>
      </c>
      <c r="C1472">
        <v>2023</v>
      </c>
      <c r="D1472" t="s">
        <v>50</v>
      </c>
      <c r="E1472" t="s">
        <v>25</v>
      </c>
      <c r="F1472" t="s">
        <v>84</v>
      </c>
      <c r="G1472" t="s">
        <v>59</v>
      </c>
      <c r="H1472" t="s">
        <v>52</v>
      </c>
      <c r="I1472" t="s">
        <v>22</v>
      </c>
      <c r="J1472">
        <v>1.5</v>
      </c>
      <c r="K1472">
        <v>18</v>
      </c>
      <c r="L1472">
        <v>4</v>
      </c>
      <c r="M1472">
        <v>949371</v>
      </c>
      <c r="N1472">
        <v>3797484</v>
      </c>
      <c r="O1472">
        <v>2988994</v>
      </c>
      <c r="P1472">
        <v>808490</v>
      </c>
    </row>
    <row r="1473" spans="1:16" x14ac:dyDescent="0.3">
      <c r="A1473">
        <v>2472</v>
      </c>
      <c r="B1473" t="s">
        <v>433</v>
      </c>
      <c r="C1473">
        <v>2024</v>
      </c>
      <c r="D1473" t="s">
        <v>43</v>
      </c>
      <c r="E1473" t="s">
        <v>25</v>
      </c>
      <c r="F1473" t="s">
        <v>77</v>
      </c>
      <c r="G1473" t="s">
        <v>27</v>
      </c>
      <c r="H1473" t="s">
        <v>100</v>
      </c>
      <c r="I1473" t="s">
        <v>22</v>
      </c>
      <c r="J1473">
        <v>1.2</v>
      </c>
      <c r="K1473">
        <v>18</v>
      </c>
      <c r="L1473">
        <v>2</v>
      </c>
      <c r="M1473">
        <v>760384</v>
      </c>
      <c r="N1473">
        <v>1520768</v>
      </c>
      <c r="O1473">
        <v>1271963</v>
      </c>
      <c r="P1473">
        <v>248805</v>
      </c>
    </row>
    <row r="1474" spans="1:16" x14ac:dyDescent="0.3">
      <c r="A1474">
        <v>2473</v>
      </c>
      <c r="B1474" t="s">
        <v>327</v>
      </c>
      <c r="C1474">
        <v>2023</v>
      </c>
      <c r="D1474" t="s">
        <v>43</v>
      </c>
      <c r="E1474" t="s">
        <v>25</v>
      </c>
      <c r="F1474" t="s">
        <v>77</v>
      </c>
      <c r="G1474" t="s">
        <v>36</v>
      </c>
      <c r="H1474" t="s">
        <v>54</v>
      </c>
      <c r="I1474" t="s">
        <v>48</v>
      </c>
      <c r="J1474">
        <v>2</v>
      </c>
      <c r="K1474">
        <v>23</v>
      </c>
      <c r="L1474">
        <v>7</v>
      </c>
      <c r="M1474">
        <v>1494606</v>
      </c>
      <c r="N1474">
        <v>10462242</v>
      </c>
      <c r="O1474">
        <v>8524515</v>
      </c>
      <c r="P1474">
        <v>1937727</v>
      </c>
    </row>
    <row r="1475" spans="1:16" x14ac:dyDescent="0.3">
      <c r="A1475">
        <v>2474</v>
      </c>
      <c r="B1475" t="s">
        <v>627</v>
      </c>
      <c r="C1475">
        <v>2023</v>
      </c>
      <c r="D1475" t="s">
        <v>61</v>
      </c>
      <c r="E1475" t="s">
        <v>25</v>
      </c>
      <c r="F1475" t="s">
        <v>77</v>
      </c>
      <c r="G1475" t="s">
        <v>36</v>
      </c>
      <c r="H1475" t="s">
        <v>21</v>
      </c>
      <c r="I1475" t="s">
        <v>22</v>
      </c>
      <c r="J1475">
        <v>2</v>
      </c>
      <c r="K1475">
        <v>18</v>
      </c>
      <c r="L1475">
        <v>4</v>
      </c>
      <c r="M1475">
        <v>612041</v>
      </c>
      <c r="N1475">
        <v>2448164</v>
      </c>
      <c r="O1475">
        <v>2136188</v>
      </c>
      <c r="P1475">
        <v>311976</v>
      </c>
    </row>
    <row r="1476" spans="1:16" x14ac:dyDescent="0.3">
      <c r="A1476">
        <v>2475</v>
      </c>
      <c r="B1476" t="s">
        <v>286</v>
      </c>
      <c r="C1476">
        <v>2024</v>
      </c>
      <c r="D1476" t="s">
        <v>76</v>
      </c>
      <c r="E1476" t="s">
        <v>40</v>
      </c>
      <c r="F1476" t="s">
        <v>41</v>
      </c>
      <c r="G1476" t="s">
        <v>59</v>
      </c>
      <c r="H1476" t="s">
        <v>79</v>
      </c>
      <c r="I1476" t="s">
        <v>48</v>
      </c>
      <c r="J1476">
        <v>1</v>
      </c>
      <c r="K1476">
        <v>18</v>
      </c>
      <c r="L1476">
        <v>2</v>
      </c>
      <c r="M1476">
        <v>767209</v>
      </c>
      <c r="N1476">
        <v>1534418</v>
      </c>
      <c r="O1476">
        <v>1369946</v>
      </c>
      <c r="P1476">
        <v>164472</v>
      </c>
    </row>
    <row r="1477" spans="1:16" x14ac:dyDescent="0.3">
      <c r="A1477">
        <v>2476</v>
      </c>
      <c r="B1477" t="s">
        <v>573</v>
      </c>
      <c r="C1477">
        <v>2023</v>
      </c>
      <c r="D1477" t="s">
        <v>97</v>
      </c>
      <c r="E1477" t="s">
        <v>40</v>
      </c>
      <c r="F1477" t="s">
        <v>41</v>
      </c>
      <c r="G1477" t="s">
        <v>30</v>
      </c>
      <c r="H1477" t="s">
        <v>47</v>
      </c>
      <c r="I1477" t="s">
        <v>48</v>
      </c>
      <c r="J1477">
        <v>1.2</v>
      </c>
      <c r="K1477">
        <v>21</v>
      </c>
      <c r="L1477">
        <v>1</v>
      </c>
      <c r="M1477">
        <v>785861</v>
      </c>
      <c r="N1477">
        <v>785861</v>
      </c>
      <c r="O1477">
        <v>688825</v>
      </c>
      <c r="P1477">
        <v>97036</v>
      </c>
    </row>
    <row r="1478" spans="1:16" x14ac:dyDescent="0.3">
      <c r="A1478">
        <v>2477</v>
      </c>
      <c r="B1478" t="s">
        <v>127</v>
      </c>
      <c r="C1478">
        <v>2024</v>
      </c>
      <c r="D1478" t="s">
        <v>34</v>
      </c>
      <c r="E1478" t="s">
        <v>25</v>
      </c>
      <c r="F1478" t="s">
        <v>84</v>
      </c>
      <c r="G1478" t="s">
        <v>90</v>
      </c>
      <c r="H1478" t="s">
        <v>100</v>
      </c>
      <c r="I1478" t="s">
        <v>22</v>
      </c>
      <c r="J1478">
        <v>1.2</v>
      </c>
      <c r="K1478">
        <v>19</v>
      </c>
      <c r="L1478">
        <v>3</v>
      </c>
      <c r="M1478">
        <v>1376889</v>
      </c>
      <c r="N1478">
        <v>4130667</v>
      </c>
      <c r="O1478">
        <v>3594561</v>
      </c>
      <c r="P1478">
        <v>536106</v>
      </c>
    </row>
    <row r="1479" spans="1:16" x14ac:dyDescent="0.3">
      <c r="A1479">
        <v>2478</v>
      </c>
      <c r="B1479" t="s">
        <v>121</v>
      </c>
      <c r="C1479">
        <v>2023</v>
      </c>
      <c r="D1479" t="s">
        <v>67</v>
      </c>
      <c r="E1479" t="s">
        <v>40</v>
      </c>
      <c r="F1479" t="s">
        <v>104</v>
      </c>
      <c r="G1479" t="s">
        <v>30</v>
      </c>
      <c r="H1479" t="s">
        <v>52</v>
      </c>
      <c r="I1479" t="s">
        <v>22</v>
      </c>
      <c r="J1479">
        <v>1.2</v>
      </c>
      <c r="K1479">
        <v>21</v>
      </c>
      <c r="L1479">
        <v>8</v>
      </c>
      <c r="M1479">
        <v>670617</v>
      </c>
      <c r="N1479">
        <v>5364936</v>
      </c>
      <c r="O1479">
        <v>4326124</v>
      </c>
      <c r="P1479">
        <v>1038812</v>
      </c>
    </row>
    <row r="1480" spans="1:16" x14ac:dyDescent="0.3">
      <c r="A1480">
        <v>2479</v>
      </c>
      <c r="B1480" t="s">
        <v>547</v>
      </c>
      <c r="C1480">
        <v>2023</v>
      </c>
      <c r="D1480" t="s">
        <v>74</v>
      </c>
      <c r="E1480" t="s">
        <v>40</v>
      </c>
      <c r="F1480" t="s">
        <v>120</v>
      </c>
      <c r="G1480" t="s">
        <v>30</v>
      </c>
      <c r="H1480" t="s">
        <v>31</v>
      </c>
      <c r="I1480" t="s">
        <v>32</v>
      </c>
      <c r="J1480">
        <v>1</v>
      </c>
      <c r="K1480">
        <v>20</v>
      </c>
      <c r="L1480">
        <v>3</v>
      </c>
      <c r="M1480">
        <v>934506</v>
      </c>
      <c r="N1480">
        <v>2803518</v>
      </c>
      <c r="O1480">
        <v>2181257</v>
      </c>
      <c r="P1480">
        <v>622261</v>
      </c>
    </row>
    <row r="1481" spans="1:16" x14ac:dyDescent="0.3">
      <c r="A1481">
        <v>2480</v>
      </c>
      <c r="B1481" t="s">
        <v>306</v>
      </c>
      <c r="C1481">
        <v>2024</v>
      </c>
      <c r="D1481" t="s">
        <v>76</v>
      </c>
      <c r="E1481" t="s">
        <v>40</v>
      </c>
      <c r="F1481" t="s">
        <v>104</v>
      </c>
      <c r="G1481" t="s">
        <v>51</v>
      </c>
      <c r="H1481" t="s">
        <v>63</v>
      </c>
      <c r="I1481" t="s">
        <v>22</v>
      </c>
      <c r="J1481">
        <v>1</v>
      </c>
      <c r="K1481">
        <v>21</v>
      </c>
      <c r="L1481">
        <v>6</v>
      </c>
      <c r="M1481">
        <v>650473</v>
      </c>
      <c r="N1481">
        <v>3902838</v>
      </c>
      <c r="O1481">
        <v>3482736</v>
      </c>
      <c r="P1481">
        <v>420102</v>
      </c>
    </row>
    <row r="1482" spans="1:16" x14ac:dyDescent="0.3">
      <c r="A1482">
        <v>2481</v>
      </c>
      <c r="B1482" t="s">
        <v>415</v>
      </c>
      <c r="C1482">
        <v>2023</v>
      </c>
      <c r="D1482" t="s">
        <v>24</v>
      </c>
      <c r="E1482" t="s">
        <v>40</v>
      </c>
      <c r="F1482" t="s">
        <v>104</v>
      </c>
      <c r="G1482" t="s">
        <v>30</v>
      </c>
      <c r="H1482" t="s">
        <v>100</v>
      </c>
      <c r="I1482" t="s">
        <v>22</v>
      </c>
      <c r="J1482">
        <v>1.5</v>
      </c>
      <c r="K1482">
        <v>21</v>
      </c>
      <c r="L1482">
        <v>6</v>
      </c>
      <c r="M1482">
        <v>1312613</v>
      </c>
      <c r="N1482">
        <v>7875678</v>
      </c>
      <c r="O1482">
        <v>6841956</v>
      </c>
      <c r="P1482">
        <v>1033722</v>
      </c>
    </row>
    <row r="1483" spans="1:16" x14ac:dyDescent="0.3">
      <c r="A1483">
        <v>2482</v>
      </c>
      <c r="B1483" t="s">
        <v>196</v>
      </c>
      <c r="C1483">
        <v>2023</v>
      </c>
      <c r="D1483" t="s">
        <v>39</v>
      </c>
      <c r="E1483" t="s">
        <v>44</v>
      </c>
      <c r="F1483" t="s">
        <v>62</v>
      </c>
      <c r="G1483" t="s">
        <v>51</v>
      </c>
      <c r="H1483" t="s">
        <v>21</v>
      </c>
      <c r="I1483" t="s">
        <v>22</v>
      </c>
      <c r="J1483">
        <v>1</v>
      </c>
      <c r="K1483">
        <v>23</v>
      </c>
      <c r="L1483">
        <v>3</v>
      </c>
      <c r="M1483">
        <v>1104710</v>
      </c>
      <c r="N1483">
        <v>3314130</v>
      </c>
      <c r="O1483">
        <v>2926365</v>
      </c>
      <c r="P1483">
        <v>387765</v>
      </c>
    </row>
    <row r="1484" spans="1:16" x14ac:dyDescent="0.3">
      <c r="A1484">
        <v>2483</v>
      </c>
      <c r="B1484" t="s">
        <v>28</v>
      </c>
      <c r="C1484">
        <v>2024</v>
      </c>
      <c r="D1484" t="s">
        <v>29</v>
      </c>
      <c r="E1484" t="s">
        <v>44</v>
      </c>
      <c r="F1484" t="s">
        <v>70</v>
      </c>
      <c r="G1484" t="s">
        <v>30</v>
      </c>
      <c r="H1484" t="s">
        <v>56</v>
      </c>
      <c r="I1484" t="s">
        <v>48</v>
      </c>
      <c r="J1484">
        <v>2</v>
      </c>
      <c r="K1484">
        <v>23</v>
      </c>
      <c r="L1484">
        <v>4</v>
      </c>
      <c r="M1484">
        <v>798812</v>
      </c>
      <c r="N1484">
        <v>3195248</v>
      </c>
      <c r="O1484">
        <v>2632988</v>
      </c>
      <c r="P1484">
        <v>562260</v>
      </c>
    </row>
    <row r="1485" spans="1:16" x14ac:dyDescent="0.3">
      <c r="A1485">
        <v>2484</v>
      </c>
      <c r="B1485" t="s">
        <v>80</v>
      </c>
      <c r="C1485">
        <v>2024</v>
      </c>
      <c r="D1485" t="s">
        <v>39</v>
      </c>
      <c r="E1485" t="s">
        <v>18</v>
      </c>
      <c r="F1485" t="s">
        <v>35</v>
      </c>
      <c r="G1485" t="s">
        <v>59</v>
      </c>
      <c r="H1485" t="s">
        <v>37</v>
      </c>
      <c r="I1485" t="s">
        <v>32</v>
      </c>
      <c r="J1485">
        <v>1</v>
      </c>
      <c r="K1485">
        <v>23</v>
      </c>
      <c r="L1485">
        <v>2</v>
      </c>
      <c r="M1485">
        <v>980114</v>
      </c>
      <c r="N1485">
        <v>1960228</v>
      </c>
      <c r="O1485">
        <v>1537738</v>
      </c>
      <c r="P1485">
        <v>422490</v>
      </c>
    </row>
    <row r="1486" spans="1:16" x14ac:dyDescent="0.3">
      <c r="A1486">
        <v>2485</v>
      </c>
      <c r="B1486" t="s">
        <v>654</v>
      </c>
      <c r="C1486">
        <v>2024</v>
      </c>
      <c r="D1486" t="s">
        <v>97</v>
      </c>
      <c r="E1486" t="s">
        <v>18</v>
      </c>
      <c r="F1486" t="s">
        <v>107</v>
      </c>
      <c r="G1486" t="s">
        <v>36</v>
      </c>
      <c r="H1486" t="s">
        <v>52</v>
      </c>
      <c r="I1486" t="s">
        <v>22</v>
      </c>
      <c r="J1486">
        <v>1.5</v>
      </c>
      <c r="K1486">
        <v>22</v>
      </c>
      <c r="L1486">
        <v>5</v>
      </c>
      <c r="M1486">
        <v>1227646</v>
      </c>
      <c r="N1486">
        <v>6138230</v>
      </c>
      <c r="O1486">
        <v>4745891</v>
      </c>
      <c r="P1486">
        <v>1392339</v>
      </c>
    </row>
    <row r="1487" spans="1:16" x14ac:dyDescent="0.3">
      <c r="A1487">
        <v>2486</v>
      </c>
      <c r="B1487" t="s">
        <v>312</v>
      </c>
      <c r="C1487">
        <v>2024</v>
      </c>
      <c r="D1487" t="s">
        <v>34</v>
      </c>
      <c r="E1487" t="s">
        <v>18</v>
      </c>
      <c r="F1487" t="s">
        <v>107</v>
      </c>
      <c r="G1487" t="s">
        <v>46</v>
      </c>
      <c r="H1487" t="s">
        <v>63</v>
      </c>
      <c r="I1487" t="s">
        <v>22</v>
      </c>
      <c r="J1487">
        <v>2</v>
      </c>
      <c r="K1487">
        <v>22</v>
      </c>
      <c r="L1487">
        <v>7</v>
      </c>
      <c r="M1487">
        <v>1489387</v>
      </c>
      <c r="N1487">
        <v>10425709</v>
      </c>
      <c r="O1487">
        <v>8394193</v>
      </c>
      <c r="P1487">
        <v>2031516</v>
      </c>
    </row>
    <row r="1488" spans="1:16" x14ac:dyDescent="0.3">
      <c r="A1488">
        <v>2487</v>
      </c>
      <c r="B1488" t="s">
        <v>168</v>
      </c>
      <c r="C1488">
        <v>2024</v>
      </c>
      <c r="D1488" t="s">
        <v>76</v>
      </c>
      <c r="E1488" t="s">
        <v>25</v>
      </c>
      <c r="F1488" t="s">
        <v>84</v>
      </c>
      <c r="G1488" t="s">
        <v>59</v>
      </c>
      <c r="H1488" t="s">
        <v>63</v>
      </c>
      <c r="I1488" t="s">
        <v>22</v>
      </c>
      <c r="J1488">
        <v>1.2</v>
      </c>
      <c r="K1488">
        <v>22</v>
      </c>
      <c r="L1488">
        <v>4</v>
      </c>
      <c r="M1488">
        <v>641939</v>
      </c>
      <c r="N1488">
        <v>2567756</v>
      </c>
      <c r="O1488">
        <v>2037787</v>
      </c>
      <c r="P1488">
        <v>529969</v>
      </c>
    </row>
    <row r="1489" spans="1:16" x14ac:dyDescent="0.3">
      <c r="A1489">
        <v>2488</v>
      </c>
      <c r="B1489" t="s">
        <v>223</v>
      </c>
      <c r="C1489">
        <v>2024</v>
      </c>
      <c r="D1489" t="s">
        <v>34</v>
      </c>
      <c r="E1489" t="s">
        <v>18</v>
      </c>
      <c r="F1489" t="s">
        <v>19</v>
      </c>
      <c r="G1489" t="s">
        <v>27</v>
      </c>
      <c r="H1489" t="s">
        <v>54</v>
      </c>
      <c r="I1489" t="s">
        <v>48</v>
      </c>
      <c r="J1489">
        <v>1</v>
      </c>
      <c r="K1489">
        <v>18</v>
      </c>
      <c r="L1489">
        <v>1</v>
      </c>
      <c r="M1489">
        <v>1304282</v>
      </c>
      <c r="N1489">
        <v>1304282</v>
      </c>
      <c r="O1489">
        <v>988001</v>
      </c>
      <c r="P1489">
        <v>316281</v>
      </c>
    </row>
    <row r="1490" spans="1:16" x14ac:dyDescent="0.3">
      <c r="A1490">
        <v>2489</v>
      </c>
      <c r="B1490" t="s">
        <v>189</v>
      </c>
      <c r="C1490">
        <v>2024</v>
      </c>
      <c r="D1490" t="s">
        <v>97</v>
      </c>
      <c r="E1490" t="s">
        <v>18</v>
      </c>
      <c r="F1490" t="s">
        <v>35</v>
      </c>
      <c r="G1490" t="s">
        <v>20</v>
      </c>
      <c r="H1490" t="s">
        <v>31</v>
      </c>
      <c r="I1490" t="s">
        <v>32</v>
      </c>
      <c r="J1490">
        <v>1</v>
      </c>
      <c r="K1490">
        <v>19</v>
      </c>
      <c r="L1490">
        <v>5</v>
      </c>
      <c r="M1490">
        <v>780453</v>
      </c>
      <c r="N1490">
        <v>3902265</v>
      </c>
      <c r="O1490">
        <v>3178818</v>
      </c>
      <c r="P1490">
        <v>723447</v>
      </c>
    </row>
    <row r="1491" spans="1:16" x14ac:dyDescent="0.3">
      <c r="A1491">
        <v>2490</v>
      </c>
      <c r="B1491" t="s">
        <v>595</v>
      </c>
      <c r="C1491">
        <v>2024</v>
      </c>
      <c r="D1491" t="s">
        <v>24</v>
      </c>
      <c r="E1491" t="s">
        <v>40</v>
      </c>
      <c r="F1491" t="s">
        <v>120</v>
      </c>
      <c r="G1491" t="s">
        <v>20</v>
      </c>
      <c r="H1491" t="s">
        <v>63</v>
      </c>
      <c r="I1491" t="s">
        <v>22</v>
      </c>
      <c r="J1491">
        <v>1.5</v>
      </c>
      <c r="K1491">
        <v>18</v>
      </c>
      <c r="L1491">
        <v>8</v>
      </c>
      <c r="M1491">
        <v>1302475</v>
      </c>
      <c r="N1491">
        <v>10419800</v>
      </c>
      <c r="O1491">
        <v>9286216</v>
      </c>
      <c r="P1491">
        <v>1133584</v>
      </c>
    </row>
    <row r="1492" spans="1:16" x14ac:dyDescent="0.3">
      <c r="A1492">
        <v>2491</v>
      </c>
      <c r="B1492" t="s">
        <v>377</v>
      </c>
      <c r="C1492">
        <v>2023</v>
      </c>
      <c r="D1492" t="s">
        <v>74</v>
      </c>
      <c r="E1492" t="s">
        <v>44</v>
      </c>
      <c r="F1492" t="s">
        <v>70</v>
      </c>
      <c r="G1492" t="s">
        <v>27</v>
      </c>
      <c r="H1492" t="s">
        <v>52</v>
      </c>
      <c r="I1492" t="s">
        <v>22</v>
      </c>
      <c r="J1492">
        <v>1</v>
      </c>
      <c r="K1492">
        <v>19</v>
      </c>
      <c r="L1492">
        <v>6</v>
      </c>
      <c r="M1492">
        <v>1008128</v>
      </c>
      <c r="N1492">
        <v>6048768</v>
      </c>
      <c r="O1492">
        <v>4966332</v>
      </c>
      <c r="P1492">
        <v>1082436</v>
      </c>
    </row>
    <row r="1493" spans="1:16" x14ac:dyDescent="0.3">
      <c r="A1493">
        <v>2492</v>
      </c>
      <c r="B1493" t="s">
        <v>387</v>
      </c>
      <c r="C1493">
        <v>2024</v>
      </c>
      <c r="D1493" t="s">
        <v>97</v>
      </c>
      <c r="E1493" t="s">
        <v>18</v>
      </c>
      <c r="F1493" t="s">
        <v>72</v>
      </c>
      <c r="G1493" t="s">
        <v>90</v>
      </c>
      <c r="H1493" t="s">
        <v>21</v>
      </c>
      <c r="I1493" t="s">
        <v>22</v>
      </c>
      <c r="J1493">
        <v>1</v>
      </c>
      <c r="K1493">
        <v>18</v>
      </c>
      <c r="L1493">
        <v>7</v>
      </c>
      <c r="M1493">
        <v>1142497</v>
      </c>
      <c r="N1493">
        <v>7997479</v>
      </c>
      <c r="O1493">
        <v>6446355</v>
      </c>
      <c r="P1493">
        <v>1551124</v>
      </c>
    </row>
    <row r="1494" spans="1:16" x14ac:dyDescent="0.3">
      <c r="A1494">
        <v>2493</v>
      </c>
      <c r="B1494" t="s">
        <v>187</v>
      </c>
      <c r="C1494">
        <v>2024</v>
      </c>
      <c r="D1494" t="s">
        <v>74</v>
      </c>
      <c r="E1494" t="s">
        <v>40</v>
      </c>
      <c r="F1494" t="s">
        <v>41</v>
      </c>
      <c r="G1494" t="s">
        <v>90</v>
      </c>
      <c r="H1494" t="s">
        <v>31</v>
      </c>
      <c r="I1494" t="s">
        <v>32</v>
      </c>
      <c r="J1494">
        <v>1.2</v>
      </c>
      <c r="K1494">
        <v>21</v>
      </c>
      <c r="L1494">
        <v>7</v>
      </c>
      <c r="M1494">
        <v>1307291</v>
      </c>
      <c r="N1494">
        <v>9151037</v>
      </c>
      <c r="O1494">
        <v>7628360</v>
      </c>
      <c r="P1494">
        <v>1522677</v>
      </c>
    </row>
    <row r="1495" spans="1:16" x14ac:dyDescent="0.3">
      <c r="A1495">
        <v>2494</v>
      </c>
      <c r="B1495" t="s">
        <v>561</v>
      </c>
      <c r="C1495">
        <v>2023</v>
      </c>
      <c r="D1495" t="s">
        <v>74</v>
      </c>
      <c r="E1495" t="s">
        <v>18</v>
      </c>
      <c r="F1495" t="s">
        <v>72</v>
      </c>
      <c r="G1495" t="s">
        <v>90</v>
      </c>
      <c r="H1495" t="s">
        <v>54</v>
      </c>
      <c r="I1495" t="s">
        <v>48</v>
      </c>
      <c r="J1495">
        <v>1.2</v>
      </c>
      <c r="K1495">
        <v>20</v>
      </c>
      <c r="L1495">
        <v>8</v>
      </c>
      <c r="M1495">
        <v>1185851</v>
      </c>
      <c r="N1495">
        <v>9486808</v>
      </c>
      <c r="O1495">
        <v>7372101</v>
      </c>
      <c r="P1495">
        <v>2114707</v>
      </c>
    </row>
    <row r="1496" spans="1:16" x14ac:dyDescent="0.3">
      <c r="A1496">
        <v>2495</v>
      </c>
      <c r="B1496" t="s">
        <v>532</v>
      </c>
      <c r="C1496">
        <v>2023</v>
      </c>
      <c r="D1496" t="s">
        <v>24</v>
      </c>
      <c r="E1496" t="s">
        <v>25</v>
      </c>
      <c r="F1496" t="s">
        <v>77</v>
      </c>
      <c r="G1496" t="s">
        <v>46</v>
      </c>
      <c r="H1496" t="s">
        <v>52</v>
      </c>
      <c r="I1496" t="s">
        <v>22</v>
      </c>
      <c r="J1496">
        <v>2</v>
      </c>
      <c r="K1496">
        <v>20</v>
      </c>
      <c r="L1496">
        <v>2</v>
      </c>
      <c r="M1496">
        <v>1430479</v>
      </c>
      <c r="N1496">
        <v>2860958</v>
      </c>
      <c r="O1496">
        <v>2325317</v>
      </c>
      <c r="P1496">
        <v>535641</v>
      </c>
    </row>
    <row r="1497" spans="1:16" x14ac:dyDescent="0.3">
      <c r="A1497">
        <v>2496</v>
      </c>
      <c r="B1497" t="s">
        <v>200</v>
      </c>
      <c r="C1497">
        <v>2024</v>
      </c>
      <c r="D1497" t="s">
        <v>67</v>
      </c>
      <c r="E1497" t="s">
        <v>18</v>
      </c>
      <c r="F1497" t="s">
        <v>19</v>
      </c>
      <c r="G1497" t="s">
        <v>27</v>
      </c>
      <c r="H1497" t="s">
        <v>47</v>
      </c>
      <c r="I1497" t="s">
        <v>48</v>
      </c>
      <c r="J1497">
        <v>2</v>
      </c>
      <c r="K1497">
        <v>16</v>
      </c>
      <c r="L1497">
        <v>1</v>
      </c>
      <c r="M1497">
        <v>1099971</v>
      </c>
      <c r="N1497">
        <v>1099971</v>
      </c>
      <c r="O1497">
        <v>865175</v>
      </c>
      <c r="P1497">
        <v>234796</v>
      </c>
    </row>
    <row r="1498" spans="1:16" x14ac:dyDescent="0.3">
      <c r="A1498">
        <v>2497</v>
      </c>
      <c r="B1498" t="s">
        <v>150</v>
      </c>
      <c r="C1498">
        <v>2023</v>
      </c>
      <c r="D1498" t="s">
        <v>43</v>
      </c>
      <c r="E1498" t="s">
        <v>40</v>
      </c>
      <c r="F1498" t="s">
        <v>104</v>
      </c>
      <c r="G1498" t="s">
        <v>36</v>
      </c>
      <c r="H1498" t="s">
        <v>79</v>
      </c>
      <c r="I1498" t="s">
        <v>48</v>
      </c>
      <c r="J1498">
        <v>1.5</v>
      </c>
      <c r="K1498">
        <v>20</v>
      </c>
      <c r="L1498">
        <v>1</v>
      </c>
      <c r="M1498">
        <v>1459697</v>
      </c>
      <c r="N1498">
        <v>1459697</v>
      </c>
      <c r="O1498">
        <v>1251648</v>
      </c>
      <c r="P1498">
        <v>208049</v>
      </c>
    </row>
    <row r="1499" spans="1:16" x14ac:dyDescent="0.3">
      <c r="A1499">
        <v>2498</v>
      </c>
      <c r="B1499" t="s">
        <v>541</v>
      </c>
      <c r="C1499">
        <v>2024</v>
      </c>
      <c r="D1499" t="s">
        <v>97</v>
      </c>
      <c r="E1499" t="s">
        <v>40</v>
      </c>
      <c r="F1499" t="s">
        <v>104</v>
      </c>
      <c r="G1499" t="s">
        <v>30</v>
      </c>
      <c r="H1499" t="s">
        <v>56</v>
      </c>
      <c r="I1499" t="s">
        <v>48</v>
      </c>
      <c r="J1499">
        <v>2</v>
      </c>
      <c r="K1499">
        <v>19</v>
      </c>
      <c r="L1499">
        <v>5</v>
      </c>
      <c r="M1499">
        <v>1109550</v>
      </c>
      <c r="N1499">
        <v>5547750</v>
      </c>
      <c r="O1499">
        <v>4367060</v>
      </c>
      <c r="P1499">
        <v>1180690</v>
      </c>
    </row>
    <row r="1500" spans="1:16" x14ac:dyDescent="0.3">
      <c r="A1500">
        <v>2499</v>
      </c>
      <c r="B1500" t="s">
        <v>452</v>
      </c>
      <c r="C1500">
        <v>2024</v>
      </c>
      <c r="D1500" t="s">
        <v>34</v>
      </c>
      <c r="E1500" t="s">
        <v>18</v>
      </c>
      <c r="F1500" t="s">
        <v>72</v>
      </c>
      <c r="G1500" t="s">
        <v>90</v>
      </c>
      <c r="H1500" t="s">
        <v>52</v>
      </c>
      <c r="I1500" t="s">
        <v>22</v>
      </c>
      <c r="J1500">
        <v>1.2</v>
      </c>
      <c r="K1500">
        <v>20</v>
      </c>
      <c r="L1500">
        <v>4</v>
      </c>
      <c r="M1500">
        <v>949253</v>
      </c>
      <c r="N1500">
        <v>3797012</v>
      </c>
      <c r="O1500">
        <v>3415403</v>
      </c>
      <c r="P1500">
        <v>381609</v>
      </c>
    </row>
    <row r="1501" spans="1:16" x14ac:dyDescent="0.3">
      <c r="A1501">
        <v>2500</v>
      </c>
      <c r="B1501" t="s">
        <v>658</v>
      </c>
      <c r="C1501">
        <v>2023</v>
      </c>
      <c r="D1501" t="s">
        <v>39</v>
      </c>
      <c r="E1501" t="s">
        <v>44</v>
      </c>
      <c r="F1501" t="s">
        <v>45</v>
      </c>
      <c r="G1501" t="s">
        <v>30</v>
      </c>
      <c r="H1501" t="s">
        <v>54</v>
      </c>
      <c r="I1501" t="s">
        <v>48</v>
      </c>
      <c r="J1501">
        <v>1.5</v>
      </c>
      <c r="K1501">
        <v>20</v>
      </c>
      <c r="L1501">
        <v>7</v>
      </c>
      <c r="M1501">
        <v>965586</v>
      </c>
      <c r="N1501">
        <v>6759102</v>
      </c>
      <c r="O1501">
        <v>5305656</v>
      </c>
      <c r="P1501">
        <v>1453446</v>
      </c>
    </row>
    <row r="1502" spans="1:16" x14ac:dyDescent="0.3">
      <c r="A1502">
        <v>2501</v>
      </c>
      <c r="B1502" t="s">
        <v>672</v>
      </c>
      <c r="C1502">
        <v>2023</v>
      </c>
      <c r="D1502" t="s">
        <v>97</v>
      </c>
      <c r="E1502" t="s">
        <v>18</v>
      </c>
      <c r="F1502" t="s">
        <v>35</v>
      </c>
      <c r="G1502" t="s">
        <v>20</v>
      </c>
      <c r="H1502" t="s">
        <v>79</v>
      </c>
      <c r="I1502" t="s">
        <v>48</v>
      </c>
      <c r="J1502">
        <v>1.5</v>
      </c>
      <c r="K1502">
        <v>22</v>
      </c>
      <c r="L1502">
        <v>2</v>
      </c>
      <c r="M1502">
        <v>855013</v>
      </c>
      <c r="N1502">
        <v>1710026</v>
      </c>
      <c r="O1502">
        <v>1378595</v>
      </c>
      <c r="P1502">
        <v>331431</v>
      </c>
    </row>
    <row r="1503" spans="1:16" x14ac:dyDescent="0.3">
      <c r="A1503">
        <v>2502</v>
      </c>
      <c r="B1503" t="s">
        <v>376</v>
      </c>
      <c r="C1503">
        <v>2023</v>
      </c>
      <c r="D1503" t="s">
        <v>50</v>
      </c>
      <c r="E1503" t="s">
        <v>40</v>
      </c>
      <c r="F1503" t="s">
        <v>68</v>
      </c>
      <c r="G1503" t="s">
        <v>46</v>
      </c>
      <c r="H1503" t="s">
        <v>52</v>
      </c>
      <c r="I1503" t="s">
        <v>22</v>
      </c>
      <c r="J1503">
        <v>2</v>
      </c>
      <c r="K1503">
        <v>18</v>
      </c>
      <c r="L1503">
        <v>4</v>
      </c>
      <c r="M1503">
        <v>824548</v>
      </c>
      <c r="N1503">
        <v>3298192</v>
      </c>
      <c r="O1503">
        <v>2487558</v>
      </c>
      <c r="P1503">
        <v>810634</v>
      </c>
    </row>
    <row r="1504" spans="1:16" x14ac:dyDescent="0.3">
      <c r="A1504">
        <v>2503</v>
      </c>
      <c r="B1504" t="s">
        <v>418</v>
      </c>
      <c r="C1504">
        <v>2023</v>
      </c>
      <c r="D1504" t="s">
        <v>43</v>
      </c>
      <c r="E1504" t="s">
        <v>44</v>
      </c>
      <c r="F1504" t="s">
        <v>45</v>
      </c>
      <c r="G1504" t="s">
        <v>90</v>
      </c>
      <c r="H1504" t="s">
        <v>47</v>
      </c>
      <c r="I1504" t="s">
        <v>48</v>
      </c>
      <c r="J1504">
        <v>1.2</v>
      </c>
      <c r="K1504">
        <v>23</v>
      </c>
      <c r="L1504">
        <v>1</v>
      </c>
      <c r="M1504">
        <v>1440356</v>
      </c>
      <c r="N1504">
        <v>1440356</v>
      </c>
      <c r="O1504">
        <v>1097398</v>
      </c>
      <c r="P1504">
        <v>342958</v>
      </c>
    </row>
    <row r="1505" spans="1:16" x14ac:dyDescent="0.3">
      <c r="A1505">
        <v>2504</v>
      </c>
      <c r="B1505" t="s">
        <v>155</v>
      </c>
      <c r="C1505">
        <v>2024</v>
      </c>
      <c r="D1505" t="s">
        <v>39</v>
      </c>
      <c r="E1505" t="s">
        <v>40</v>
      </c>
      <c r="F1505" t="s">
        <v>120</v>
      </c>
      <c r="G1505" t="s">
        <v>51</v>
      </c>
      <c r="H1505" t="s">
        <v>52</v>
      </c>
      <c r="I1505" t="s">
        <v>22</v>
      </c>
      <c r="J1505">
        <v>1.5</v>
      </c>
      <c r="K1505">
        <v>23</v>
      </c>
      <c r="L1505">
        <v>8</v>
      </c>
      <c r="M1505">
        <v>1048624</v>
      </c>
      <c r="N1505">
        <v>8388992</v>
      </c>
      <c r="O1505">
        <v>7477269</v>
      </c>
      <c r="P1505">
        <v>911723</v>
      </c>
    </row>
    <row r="1506" spans="1:16" x14ac:dyDescent="0.3">
      <c r="A1506">
        <v>2505</v>
      </c>
      <c r="B1506" t="s">
        <v>152</v>
      </c>
      <c r="C1506">
        <v>2023</v>
      </c>
      <c r="D1506" t="s">
        <v>76</v>
      </c>
      <c r="E1506" t="s">
        <v>44</v>
      </c>
      <c r="F1506" t="s">
        <v>45</v>
      </c>
      <c r="G1506" t="s">
        <v>51</v>
      </c>
      <c r="H1506" t="s">
        <v>56</v>
      </c>
      <c r="I1506" t="s">
        <v>48</v>
      </c>
      <c r="J1506">
        <v>1</v>
      </c>
      <c r="K1506">
        <v>21</v>
      </c>
      <c r="L1506">
        <v>4</v>
      </c>
      <c r="M1506">
        <v>969582</v>
      </c>
      <c r="N1506">
        <v>3878328</v>
      </c>
      <c r="O1506">
        <v>3001358</v>
      </c>
      <c r="P1506">
        <v>876970</v>
      </c>
    </row>
    <row r="1507" spans="1:16" x14ac:dyDescent="0.3">
      <c r="A1507">
        <v>2506</v>
      </c>
      <c r="B1507" t="s">
        <v>652</v>
      </c>
      <c r="C1507">
        <v>2023</v>
      </c>
      <c r="D1507" t="s">
        <v>61</v>
      </c>
      <c r="E1507" t="s">
        <v>44</v>
      </c>
      <c r="F1507" t="s">
        <v>62</v>
      </c>
      <c r="G1507" t="s">
        <v>90</v>
      </c>
      <c r="H1507" t="s">
        <v>100</v>
      </c>
      <c r="I1507" t="s">
        <v>22</v>
      </c>
      <c r="J1507">
        <v>1.5</v>
      </c>
      <c r="K1507">
        <v>21</v>
      </c>
      <c r="L1507">
        <v>2</v>
      </c>
      <c r="M1507">
        <v>1129512</v>
      </c>
      <c r="N1507">
        <v>2259024</v>
      </c>
      <c r="O1507">
        <v>1910152</v>
      </c>
      <c r="P1507">
        <v>348872</v>
      </c>
    </row>
    <row r="1508" spans="1:16" x14ac:dyDescent="0.3">
      <c r="A1508">
        <v>2507</v>
      </c>
      <c r="B1508" t="s">
        <v>717</v>
      </c>
      <c r="C1508">
        <v>2023</v>
      </c>
      <c r="D1508" t="s">
        <v>76</v>
      </c>
      <c r="E1508" t="s">
        <v>25</v>
      </c>
      <c r="F1508" t="s">
        <v>84</v>
      </c>
      <c r="G1508" t="s">
        <v>59</v>
      </c>
      <c r="H1508" t="s">
        <v>31</v>
      </c>
      <c r="I1508" t="s">
        <v>32</v>
      </c>
      <c r="J1508">
        <v>1.2</v>
      </c>
      <c r="K1508">
        <v>18</v>
      </c>
      <c r="L1508">
        <v>6</v>
      </c>
      <c r="M1508">
        <v>1230906</v>
      </c>
      <c r="N1508">
        <v>7385436</v>
      </c>
      <c r="O1508">
        <v>6122656</v>
      </c>
      <c r="P1508">
        <v>1262780</v>
      </c>
    </row>
    <row r="1509" spans="1:16" x14ac:dyDescent="0.3">
      <c r="A1509">
        <v>2508</v>
      </c>
      <c r="B1509" t="s">
        <v>660</v>
      </c>
      <c r="C1509">
        <v>2024</v>
      </c>
      <c r="D1509" t="s">
        <v>17</v>
      </c>
      <c r="E1509" t="s">
        <v>18</v>
      </c>
      <c r="F1509" t="s">
        <v>19</v>
      </c>
      <c r="G1509" t="s">
        <v>46</v>
      </c>
      <c r="H1509" t="s">
        <v>63</v>
      </c>
      <c r="I1509" t="s">
        <v>22</v>
      </c>
      <c r="J1509">
        <v>1.5</v>
      </c>
      <c r="K1509">
        <v>20</v>
      </c>
      <c r="L1509">
        <v>1</v>
      </c>
      <c r="M1509">
        <v>1426445</v>
      </c>
      <c r="N1509">
        <v>1426445</v>
      </c>
      <c r="O1509">
        <v>1100561</v>
      </c>
      <c r="P1509">
        <v>325884</v>
      </c>
    </row>
    <row r="1510" spans="1:16" x14ac:dyDescent="0.3">
      <c r="A1510">
        <v>2509</v>
      </c>
      <c r="B1510" t="s">
        <v>639</v>
      </c>
      <c r="C1510">
        <v>2024</v>
      </c>
      <c r="D1510" t="s">
        <v>74</v>
      </c>
      <c r="E1510" t="s">
        <v>18</v>
      </c>
      <c r="F1510" t="s">
        <v>19</v>
      </c>
      <c r="G1510" t="s">
        <v>90</v>
      </c>
      <c r="H1510" t="s">
        <v>52</v>
      </c>
      <c r="I1510" t="s">
        <v>22</v>
      </c>
      <c r="J1510">
        <v>2</v>
      </c>
      <c r="K1510">
        <v>22</v>
      </c>
      <c r="L1510">
        <v>5</v>
      </c>
      <c r="M1510">
        <v>1356308</v>
      </c>
      <c r="N1510">
        <v>6781540</v>
      </c>
      <c r="O1510">
        <v>5943935</v>
      </c>
      <c r="P1510">
        <v>837605</v>
      </c>
    </row>
    <row r="1511" spans="1:16" x14ac:dyDescent="0.3">
      <c r="A1511">
        <v>2510</v>
      </c>
      <c r="B1511" t="s">
        <v>551</v>
      </c>
      <c r="C1511">
        <v>2024</v>
      </c>
      <c r="D1511" t="s">
        <v>50</v>
      </c>
      <c r="E1511" t="s">
        <v>44</v>
      </c>
      <c r="F1511" t="s">
        <v>70</v>
      </c>
      <c r="G1511" t="s">
        <v>51</v>
      </c>
      <c r="H1511" t="s">
        <v>37</v>
      </c>
      <c r="I1511" t="s">
        <v>32</v>
      </c>
      <c r="J1511">
        <v>2</v>
      </c>
      <c r="K1511">
        <v>20</v>
      </c>
      <c r="L1511">
        <v>5</v>
      </c>
      <c r="M1511">
        <v>1380918</v>
      </c>
      <c r="N1511">
        <v>6904590</v>
      </c>
      <c r="O1511">
        <v>5919369</v>
      </c>
      <c r="P1511">
        <v>985221</v>
      </c>
    </row>
    <row r="1512" spans="1:16" x14ac:dyDescent="0.3">
      <c r="A1512">
        <v>2511</v>
      </c>
      <c r="B1512" t="s">
        <v>88</v>
      </c>
      <c r="C1512">
        <v>2023</v>
      </c>
      <c r="D1512" t="s">
        <v>34</v>
      </c>
      <c r="E1512" t="s">
        <v>40</v>
      </c>
      <c r="F1512" t="s">
        <v>41</v>
      </c>
      <c r="G1512" t="s">
        <v>36</v>
      </c>
      <c r="H1512" t="s">
        <v>100</v>
      </c>
      <c r="I1512" t="s">
        <v>22</v>
      </c>
      <c r="J1512">
        <v>2</v>
      </c>
      <c r="K1512">
        <v>20</v>
      </c>
      <c r="L1512">
        <v>8</v>
      </c>
      <c r="M1512">
        <v>1173823</v>
      </c>
      <c r="N1512">
        <v>9390584</v>
      </c>
      <c r="O1512">
        <v>7948543</v>
      </c>
      <c r="P1512">
        <v>1442041</v>
      </c>
    </row>
    <row r="1513" spans="1:16" x14ac:dyDescent="0.3">
      <c r="A1513">
        <v>2512</v>
      </c>
      <c r="B1513" t="s">
        <v>199</v>
      </c>
      <c r="C1513">
        <v>2024</v>
      </c>
      <c r="D1513" t="s">
        <v>76</v>
      </c>
      <c r="E1513" t="s">
        <v>40</v>
      </c>
      <c r="F1513" t="s">
        <v>104</v>
      </c>
      <c r="G1513" t="s">
        <v>36</v>
      </c>
      <c r="H1513" t="s">
        <v>37</v>
      </c>
      <c r="I1513" t="s">
        <v>32</v>
      </c>
      <c r="J1513">
        <v>1.2</v>
      </c>
      <c r="K1513">
        <v>20</v>
      </c>
      <c r="L1513">
        <v>3</v>
      </c>
      <c r="M1513">
        <v>914216</v>
      </c>
      <c r="N1513">
        <v>2742648</v>
      </c>
      <c r="O1513">
        <v>2401016</v>
      </c>
      <c r="P1513">
        <v>341632</v>
      </c>
    </row>
    <row r="1514" spans="1:16" x14ac:dyDescent="0.3">
      <c r="A1514">
        <v>2513</v>
      </c>
      <c r="B1514" t="s">
        <v>343</v>
      </c>
      <c r="C1514">
        <v>2023</v>
      </c>
      <c r="D1514" t="s">
        <v>76</v>
      </c>
      <c r="E1514" t="s">
        <v>40</v>
      </c>
      <c r="F1514" t="s">
        <v>104</v>
      </c>
      <c r="G1514" t="s">
        <v>59</v>
      </c>
      <c r="H1514" t="s">
        <v>79</v>
      </c>
      <c r="I1514" t="s">
        <v>48</v>
      </c>
      <c r="J1514">
        <v>1.2</v>
      </c>
      <c r="K1514">
        <v>20</v>
      </c>
      <c r="L1514">
        <v>3</v>
      </c>
      <c r="M1514">
        <v>692717</v>
      </c>
      <c r="N1514">
        <v>2078151</v>
      </c>
      <c r="O1514">
        <v>1705554</v>
      </c>
      <c r="P1514">
        <v>372597</v>
      </c>
    </row>
    <row r="1515" spans="1:16" x14ac:dyDescent="0.3">
      <c r="A1515">
        <v>2514</v>
      </c>
      <c r="B1515" t="s">
        <v>319</v>
      </c>
      <c r="C1515">
        <v>2023</v>
      </c>
      <c r="D1515" t="s">
        <v>76</v>
      </c>
      <c r="E1515" t="s">
        <v>40</v>
      </c>
      <c r="F1515" t="s">
        <v>120</v>
      </c>
      <c r="G1515" t="s">
        <v>51</v>
      </c>
      <c r="H1515" t="s">
        <v>31</v>
      </c>
      <c r="I1515" t="s">
        <v>32</v>
      </c>
      <c r="J1515">
        <v>1.5</v>
      </c>
      <c r="K1515">
        <v>18</v>
      </c>
      <c r="L1515">
        <v>6</v>
      </c>
      <c r="M1515">
        <v>1035798</v>
      </c>
      <c r="N1515">
        <v>6214788</v>
      </c>
      <c r="O1515">
        <v>5461810</v>
      </c>
      <c r="P1515">
        <v>752978</v>
      </c>
    </row>
    <row r="1516" spans="1:16" x14ac:dyDescent="0.3">
      <c r="A1516">
        <v>2515</v>
      </c>
      <c r="B1516" t="s">
        <v>478</v>
      </c>
      <c r="C1516">
        <v>2023</v>
      </c>
      <c r="D1516" t="s">
        <v>74</v>
      </c>
      <c r="E1516" t="s">
        <v>18</v>
      </c>
      <c r="F1516" t="s">
        <v>19</v>
      </c>
      <c r="G1516" t="s">
        <v>36</v>
      </c>
      <c r="H1516" t="s">
        <v>21</v>
      </c>
      <c r="I1516" t="s">
        <v>22</v>
      </c>
      <c r="J1516">
        <v>2</v>
      </c>
      <c r="K1516">
        <v>23</v>
      </c>
      <c r="L1516">
        <v>1</v>
      </c>
      <c r="M1516">
        <v>1493442</v>
      </c>
      <c r="N1516">
        <v>1493442</v>
      </c>
      <c r="O1516">
        <v>1316671</v>
      </c>
      <c r="P1516">
        <v>176771</v>
      </c>
    </row>
    <row r="1517" spans="1:16" x14ac:dyDescent="0.3">
      <c r="A1517">
        <v>2516</v>
      </c>
      <c r="B1517" t="s">
        <v>522</v>
      </c>
      <c r="C1517">
        <v>2024</v>
      </c>
      <c r="D1517" t="s">
        <v>74</v>
      </c>
      <c r="E1517" t="s">
        <v>44</v>
      </c>
      <c r="F1517" t="s">
        <v>92</v>
      </c>
      <c r="G1517" t="s">
        <v>30</v>
      </c>
      <c r="H1517" t="s">
        <v>47</v>
      </c>
      <c r="I1517" t="s">
        <v>48</v>
      </c>
      <c r="J1517">
        <v>1</v>
      </c>
      <c r="K1517">
        <v>16</v>
      </c>
      <c r="L1517">
        <v>7</v>
      </c>
      <c r="M1517">
        <v>1350433</v>
      </c>
      <c r="N1517">
        <v>9453031</v>
      </c>
      <c r="O1517">
        <v>8486797</v>
      </c>
      <c r="P1517">
        <v>966234</v>
      </c>
    </row>
    <row r="1518" spans="1:16" x14ac:dyDescent="0.3">
      <c r="A1518">
        <v>2517</v>
      </c>
      <c r="B1518" t="s">
        <v>125</v>
      </c>
      <c r="C1518">
        <v>2024</v>
      </c>
      <c r="D1518" t="s">
        <v>43</v>
      </c>
      <c r="E1518" t="s">
        <v>40</v>
      </c>
      <c r="F1518" t="s">
        <v>41</v>
      </c>
      <c r="G1518" t="s">
        <v>51</v>
      </c>
      <c r="H1518" t="s">
        <v>56</v>
      </c>
      <c r="I1518" t="s">
        <v>48</v>
      </c>
      <c r="J1518">
        <v>1.5</v>
      </c>
      <c r="K1518">
        <v>21</v>
      </c>
      <c r="L1518">
        <v>2</v>
      </c>
      <c r="M1518">
        <v>975811</v>
      </c>
      <c r="N1518">
        <v>1951622</v>
      </c>
      <c r="O1518">
        <v>1591037</v>
      </c>
      <c r="P1518">
        <v>360585</v>
      </c>
    </row>
    <row r="1519" spans="1:16" x14ac:dyDescent="0.3">
      <c r="A1519">
        <v>2518</v>
      </c>
      <c r="B1519" t="s">
        <v>157</v>
      </c>
      <c r="C1519">
        <v>2023</v>
      </c>
      <c r="D1519" t="s">
        <v>97</v>
      </c>
      <c r="E1519" t="s">
        <v>18</v>
      </c>
      <c r="F1519" t="s">
        <v>35</v>
      </c>
      <c r="G1519" t="s">
        <v>27</v>
      </c>
      <c r="H1519" t="s">
        <v>54</v>
      </c>
      <c r="I1519" t="s">
        <v>48</v>
      </c>
      <c r="J1519">
        <v>1</v>
      </c>
      <c r="K1519">
        <v>20</v>
      </c>
      <c r="L1519">
        <v>3</v>
      </c>
      <c r="M1519">
        <v>894155</v>
      </c>
      <c r="N1519">
        <v>2682465</v>
      </c>
      <c r="O1519">
        <v>2290117</v>
      </c>
      <c r="P1519">
        <v>392348</v>
      </c>
    </row>
    <row r="1520" spans="1:16" x14ac:dyDescent="0.3">
      <c r="A1520">
        <v>2519</v>
      </c>
      <c r="B1520" t="s">
        <v>485</v>
      </c>
      <c r="C1520">
        <v>2024</v>
      </c>
      <c r="D1520" t="s">
        <v>74</v>
      </c>
      <c r="E1520" t="s">
        <v>18</v>
      </c>
      <c r="F1520" t="s">
        <v>72</v>
      </c>
      <c r="G1520" t="s">
        <v>51</v>
      </c>
      <c r="H1520" t="s">
        <v>47</v>
      </c>
      <c r="I1520" t="s">
        <v>48</v>
      </c>
      <c r="J1520">
        <v>2</v>
      </c>
      <c r="K1520">
        <v>18</v>
      </c>
      <c r="L1520">
        <v>8</v>
      </c>
      <c r="M1520">
        <v>853043</v>
      </c>
      <c r="N1520">
        <v>6824344</v>
      </c>
      <c r="O1520">
        <v>5864642</v>
      </c>
      <c r="P1520">
        <v>959702</v>
      </c>
    </row>
    <row r="1521" spans="1:16" x14ac:dyDescent="0.3">
      <c r="A1521">
        <v>2520</v>
      </c>
      <c r="B1521" t="s">
        <v>436</v>
      </c>
      <c r="C1521">
        <v>2024</v>
      </c>
      <c r="D1521" t="s">
        <v>29</v>
      </c>
      <c r="E1521" t="s">
        <v>18</v>
      </c>
      <c r="F1521" t="s">
        <v>107</v>
      </c>
      <c r="G1521" t="s">
        <v>30</v>
      </c>
      <c r="H1521" t="s">
        <v>47</v>
      </c>
      <c r="I1521" t="s">
        <v>48</v>
      </c>
      <c r="J1521">
        <v>1.5</v>
      </c>
      <c r="K1521">
        <v>16</v>
      </c>
      <c r="L1521">
        <v>5</v>
      </c>
      <c r="M1521">
        <v>628104</v>
      </c>
      <c r="N1521">
        <v>3140520</v>
      </c>
      <c r="O1521">
        <v>2770221</v>
      </c>
      <c r="P1521">
        <v>370299</v>
      </c>
    </row>
    <row r="1522" spans="1:16" x14ac:dyDescent="0.3">
      <c r="A1522">
        <v>2521</v>
      </c>
      <c r="B1522" t="s">
        <v>302</v>
      </c>
      <c r="C1522">
        <v>2023</v>
      </c>
      <c r="D1522" t="s">
        <v>50</v>
      </c>
      <c r="E1522" t="s">
        <v>40</v>
      </c>
      <c r="F1522" t="s">
        <v>104</v>
      </c>
      <c r="G1522" t="s">
        <v>36</v>
      </c>
      <c r="H1522" t="s">
        <v>21</v>
      </c>
      <c r="I1522" t="s">
        <v>22</v>
      </c>
      <c r="J1522">
        <v>1.2</v>
      </c>
      <c r="K1522">
        <v>22</v>
      </c>
      <c r="L1522">
        <v>2</v>
      </c>
      <c r="M1522">
        <v>1002643</v>
      </c>
      <c r="N1522">
        <v>2005286</v>
      </c>
      <c r="O1522">
        <v>1664391</v>
      </c>
      <c r="P1522">
        <v>340895</v>
      </c>
    </row>
    <row r="1523" spans="1:16" x14ac:dyDescent="0.3">
      <c r="A1523">
        <v>2522</v>
      </c>
      <c r="B1523" t="s">
        <v>557</v>
      </c>
      <c r="C1523">
        <v>2023</v>
      </c>
      <c r="D1523" t="s">
        <v>34</v>
      </c>
      <c r="E1523" t="s">
        <v>25</v>
      </c>
      <c r="F1523" t="s">
        <v>58</v>
      </c>
      <c r="G1523" t="s">
        <v>51</v>
      </c>
      <c r="H1523" t="s">
        <v>21</v>
      </c>
      <c r="I1523" t="s">
        <v>22</v>
      </c>
      <c r="J1523">
        <v>1.5</v>
      </c>
      <c r="K1523">
        <v>19</v>
      </c>
      <c r="L1523">
        <v>3</v>
      </c>
      <c r="M1523">
        <v>1191309</v>
      </c>
      <c r="N1523">
        <v>3573927</v>
      </c>
      <c r="O1523">
        <v>3053945</v>
      </c>
      <c r="P1523">
        <v>519982</v>
      </c>
    </row>
    <row r="1524" spans="1:16" x14ac:dyDescent="0.3">
      <c r="A1524">
        <v>2523</v>
      </c>
      <c r="B1524" t="s">
        <v>432</v>
      </c>
      <c r="C1524">
        <v>2024</v>
      </c>
      <c r="D1524" t="s">
        <v>24</v>
      </c>
      <c r="E1524" t="s">
        <v>25</v>
      </c>
      <c r="F1524" t="s">
        <v>26</v>
      </c>
      <c r="G1524" t="s">
        <v>51</v>
      </c>
      <c r="H1524" t="s">
        <v>63</v>
      </c>
      <c r="I1524" t="s">
        <v>22</v>
      </c>
      <c r="J1524">
        <v>1.2</v>
      </c>
      <c r="K1524">
        <v>22</v>
      </c>
      <c r="L1524">
        <v>1</v>
      </c>
      <c r="M1524">
        <v>679724</v>
      </c>
      <c r="N1524">
        <v>679724</v>
      </c>
      <c r="O1524">
        <v>538698</v>
      </c>
      <c r="P1524">
        <v>141026</v>
      </c>
    </row>
    <row r="1525" spans="1:16" x14ac:dyDescent="0.3">
      <c r="A1525">
        <v>2524</v>
      </c>
      <c r="B1525" t="s">
        <v>174</v>
      </c>
      <c r="C1525">
        <v>2023</v>
      </c>
      <c r="D1525" t="s">
        <v>61</v>
      </c>
      <c r="E1525" t="s">
        <v>44</v>
      </c>
      <c r="F1525" t="s">
        <v>70</v>
      </c>
      <c r="G1525" t="s">
        <v>59</v>
      </c>
      <c r="H1525" t="s">
        <v>63</v>
      </c>
      <c r="I1525" t="s">
        <v>22</v>
      </c>
      <c r="J1525">
        <v>1.2</v>
      </c>
      <c r="K1525">
        <v>18</v>
      </c>
      <c r="L1525">
        <v>6</v>
      </c>
      <c r="M1525">
        <v>1037957</v>
      </c>
      <c r="N1525">
        <v>6227742</v>
      </c>
      <c r="O1525">
        <v>5604715</v>
      </c>
      <c r="P1525">
        <v>623027</v>
      </c>
    </row>
    <row r="1526" spans="1:16" x14ac:dyDescent="0.3">
      <c r="A1526">
        <v>2525</v>
      </c>
      <c r="B1526" t="s">
        <v>367</v>
      </c>
      <c r="C1526">
        <v>2023</v>
      </c>
      <c r="D1526" t="s">
        <v>97</v>
      </c>
      <c r="E1526" t="s">
        <v>44</v>
      </c>
      <c r="F1526" t="s">
        <v>92</v>
      </c>
      <c r="G1526" t="s">
        <v>46</v>
      </c>
      <c r="H1526" t="s">
        <v>21</v>
      </c>
      <c r="I1526" t="s">
        <v>22</v>
      </c>
      <c r="J1526">
        <v>1.2</v>
      </c>
      <c r="K1526">
        <v>18</v>
      </c>
      <c r="L1526">
        <v>3</v>
      </c>
      <c r="M1526">
        <v>976653</v>
      </c>
      <c r="N1526">
        <v>2929959</v>
      </c>
      <c r="O1526">
        <v>2384658</v>
      </c>
      <c r="P1526">
        <v>545301</v>
      </c>
    </row>
    <row r="1527" spans="1:16" x14ac:dyDescent="0.3">
      <c r="A1527">
        <v>2526</v>
      </c>
      <c r="B1527" t="s">
        <v>718</v>
      </c>
      <c r="C1527">
        <v>2024</v>
      </c>
      <c r="D1527" t="s">
        <v>29</v>
      </c>
      <c r="E1527" t="s">
        <v>25</v>
      </c>
      <c r="F1527" t="s">
        <v>58</v>
      </c>
      <c r="G1527" t="s">
        <v>59</v>
      </c>
      <c r="H1527" t="s">
        <v>56</v>
      </c>
      <c r="I1527" t="s">
        <v>48</v>
      </c>
      <c r="J1527">
        <v>1.2</v>
      </c>
      <c r="K1527">
        <v>18</v>
      </c>
      <c r="L1527">
        <v>6</v>
      </c>
      <c r="M1527">
        <v>1163832</v>
      </c>
      <c r="N1527">
        <v>6982992</v>
      </c>
      <c r="O1527">
        <v>5320482</v>
      </c>
      <c r="P1527">
        <v>1662510</v>
      </c>
    </row>
    <row r="1528" spans="1:16" x14ac:dyDescent="0.3">
      <c r="A1528">
        <v>2527</v>
      </c>
      <c r="B1528" t="s">
        <v>337</v>
      </c>
      <c r="C1528">
        <v>2023</v>
      </c>
      <c r="D1528" t="s">
        <v>97</v>
      </c>
      <c r="E1528" t="s">
        <v>18</v>
      </c>
      <c r="F1528" t="s">
        <v>35</v>
      </c>
      <c r="G1528" t="s">
        <v>59</v>
      </c>
      <c r="H1528" t="s">
        <v>63</v>
      </c>
      <c r="I1528" t="s">
        <v>22</v>
      </c>
      <c r="J1528">
        <v>1</v>
      </c>
      <c r="K1528">
        <v>16</v>
      </c>
      <c r="L1528">
        <v>5</v>
      </c>
      <c r="M1528">
        <v>1097183</v>
      </c>
      <c r="N1528">
        <v>5485915</v>
      </c>
      <c r="O1528">
        <v>4649918</v>
      </c>
      <c r="P1528">
        <v>835997</v>
      </c>
    </row>
    <row r="1529" spans="1:16" x14ac:dyDescent="0.3">
      <c r="A1529">
        <v>2528</v>
      </c>
      <c r="B1529" t="s">
        <v>175</v>
      </c>
      <c r="C1529">
        <v>2024</v>
      </c>
      <c r="D1529" t="s">
        <v>24</v>
      </c>
      <c r="E1529" t="s">
        <v>40</v>
      </c>
      <c r="F1529" t="s">
        <v>41</v>
      </c>
      <c r="G1529" t="s">
        <v>36</v>
      </c>
      <c r="H1529" t="s">
        <v>56</v>
      </c>
      <c r="I1529" t="s">
        <v>48</v>
      </c>
      <c r="J1529">
        <v>1</v>
      </c>
      <c r="K1529">
        <v>23</v>
      </c>
      <c r="L1529">
        <v>1</v>
      </c>
      <c r="M1529">
        <v>1019819</v>
      </c>
      <c r="N1529">
        <v>1019819</v>
      </c>
      <c r="O1529">
        <v>910746</v>
      </c>
      <c r="P1529">
        <v>109073</v>
      </c>
    </row>
    <row r="1530" spans="1:16" x14ac:dyDescent="0.3">
      <c r="A1530">
        <v>2529</v>
      </c>
      <c r="B1530" t="s">
        <v>719</v>
      </c>
      <c r="C1530">
        <v>2024</v>
      </c>
      <c r="D1530" t="s">
        <v>61</v>
      </c>
      <c r="E1530" t="s">
        <v>40</v>
      </c>
      <c r="F1530" t="s">
        <v>104</v>
      </c>
      <c r="G1530" t="s">
        <v>36</v>
      </c>
      <c r="H1530" t="s">
        <v>47</v>
      </c>
      <c r="I1530" t="s">
        <v>48</v>
      </c>
      <c r="J1530">
        <v>1.5</v>
      </c>
      <c r="K1530">
        <v>23</v>
      </c>
      <c r="L1530">
        <v>7</v>
      </c>
      <c r="M1530">
        <v>1001032</v>
      </c>
      <c r="N1530">
        <v>7007224</v>
      </c>
      <c r="O1530">
        <v>5733292</v>
      </c>
      <c r="P1530">
        <v>1273932</v>
      </c>
    </row>
    <row r="1531" spans="1:16" x14ac:dyDescent="0.3">
      <c r="A1531">
        <v>2530</v>
      </c>
      <c r="B1531" t="s">
        <v>557</v>
      </c>
      <c r="C1531">
        <v>2023</v>
      </c>
      <c r="D1531" t="s">
        <v>34</v>
      </c>
      <c r="E1531" t="s">
        <v>40</v>
      </c>
      <c r="F1531" t="s">
        <v>120</v>
      </c>
      <c r="G1531" t="s">
        <v>59</v>
      </c>
      <c r="H1531" t="s">
        <v>56</v>
      </c>
      <c r="I1531" t="s">
        <v>48</v>
      </c>
      <c r="J1531">
        <v>2</v>
      </c>
      <c r="K1531">
        <v>19</v>
      </c>
      <c r="L1531">
        <v>6</v>
      </c>
      <c r="M1531">
        <v>757070</v>
      </c>
      <c r="N1531">
        <v>4542420</v>
      </c>
      <c r="O1531">
        <v>3481219</v>
      </c>
      <c r="P1531">
        <v>1061201</v>
      </c>
    </row>
    <row r="1532" spans="1:16" x14ac:dyDescent="0.3">
      <c r="A1532">
        <v>2531</v>
      </c>
      <c r="B1532" t="s">
        <v>134</v>
      </c>
      <c r="C1532">
        <v>2024</v>
      </c>
      <c r="D1532" t="s">
        <v>39</v>
      </c>
      <c r="E1532" t="s">
        <v>44</v>
      </c>
      <c r="F1532" t="s">
        <v>62</v>
      </c>
      <c r="G1532" t="s">
        <v>90</v>
      </c>
      <c r="H1532" t="s">
        <v>47</v>
      </c>
      <c r="I1532" t="s">
        <v>48</v>
      </c>
      <c r="J1532">
        <v>1.5</v>
      </c>
      <c r="K1532">
        <v>22</v>
      </c>
      <c r="L1532">
        <v>4</v>
      </c>
      <c r="M1532">
        <v>687007</v>
      </c>
      <c r="N1532">
        <v>2748028</v>
      </c>
      <c r="O1532">
        <v>2339422</v>
      </c>
      <c r="P1532">
        <v>408606</v>
      </c>
    </row>
    <row r="1533" spans="1:16" x14ac:dyDescent="0.3">
      <c r="A1533">
        <v>2532</v>
      </c>
      <c r="B1533" t="s">
        <v>353</v>
      </c>
      <c r="C1533">
        <v>2024</v>
      </c>
      <c r="D1533" t="s">
        <v>24</v>
      </c>
      <c r="E1533" t="s">
        <v>18</v>
      </c>
      <c r="F1533" t="s">
        <v>72</v>
      </c>
      <c r="G1533" t="s">
        <v>51</v>
      </c>
      <c r="H1533" t="s">
        <v>56</v>
      </c>
      <c r="I1533" t="s">
        <v>48</v>
      </c>
      <c r="J1533">
        <v>1.2</v>
      </c>
      <c r="K1533">
        <v>23</v>
      </c>
      <c r="L1533">
        <v>6</v>
      </c>
      <c r="M1533">
        <v>1242420</v>
      </c>
      <c r="N1533">
        <v>7454520</v>
      </c>
      <c r="O1533">
        <v>6311244</v>
      </c>
      <c r="P1533">
        <v>1143276</v>
      </c>
    </row>
    <row r="1534" spans="1:16" x14ac:dyDescent="0.3">
      <c r="A1534">
        <v>2533</v>
      </c>
      <c r="B1534" t="s">
        <v>252</v>
      </c>
      <c r="C1534">
        <v>2023</v>
      </c>
      <c r="D1534" t="s">
        <v>17</v>
      </c>
      <c r="E1534" t="s">
        <v>25</v>
      </c>
      <c r="F1534" t="s">
        <v>26</v>
      </c>
      <c r="G1534" t="s">
        <v>30</v>
      </c>
      <c r="H1534" t="s">
        <v>47</v>
      </c>
      <c r="I1534" t="s">
        <v>48</v>
      </c>
      <c r="J1534">
        <v>2</v>
      </c>
      <c r="K1534">
        <v>19</v>
      </c>
      <c r="L1534">
        <v>3</v>
      </c>
      <c r="M1534">
        <v>627461</v>
      </c>
      <c r="N1534">
        <v>1882383</v>
      </c>
      <c r="O1534">
        <v>1636823</v>
      </c>
      <c r="P1534">
        <v>245560</v>
      </c>
    </row>
    <row r="1535" spans="1:16" x14ac:dyDescent="0.3">
      <c r="A1535">
        <v>2534</v>
      </c>
      <c r="B1535" t="s">
        <v>713</v>
      </c>
      <c r="C1535">
        <v>2023</v>
      </c>
      <c r="D1535" t="s">
        <v>17</v>
      </c>
      <c r="E1535" t="s">
        <v>25</v>
      </c>
      <c r="F1535" t="s">
        <v>26</v>
      </c>
      <c r="G1535" t="s">
        <v>90</v>
      </c>
      <c r="H1535" t="s">
        <v>56</v>
      </c>
      <c r="I1535" t="s">
        <v>48</v>
      </c>
      <c r="J1535">
        <v>1</v>
      </c>
      <c r="K1535">
        <v>16</v>
      </c>
      <c r="L1535">
        <v>7</v>
      </c>
      <c r="M1535">
        <v>1459030</v>
      </c>
      <c r="N1535">
        <v>10213210</v>
      </c>
      <c r="O1535">
        <v>8926384</v>
      </c>
      <c r="P1535">
        <v>1286826</v>
      </c>
    </row>
    <row r="1536" spans="1:16" x14ac:dyDescent="0.3">
      <c r="A1536">
        <v>2535</v>
      </c>
      <c r="B1536" t="s">
        <v>575</v>
      </c>
      <c r="C1536">
        <v>2023</v>
      </c>
      <c r="D1536" t="s">
        <v>24</v>
      </c>
      <c r="E1536" t="s">
        <v>40</v>
      </c>
      <c r="F1536" t="s">
        <v>41</v>
      </c>
      <c r="G1536" t="s">
        <v>46</v>
      </c>
      <c r="H1536" t="s">
        <v>79</v>
      </c>
      <c r="I1536" t="s">
        <v>48</v>
      </c>
      <c r="J1536">
        <v>1.5</v>
      </c>
      <c r="K1536">
        <v>16</v>
      </c>
      <c r="L1536">
        <v>2</v>
      </c>
      <c r="M1536">
        <v>888911</v>
      </c>
      <c r="N1536">
        <v>1777822</v>
      </c>
      <c r="O1536">
        <v>1355572</v>
      </c>
      <c r="P1536">
        <v>422250</v>
      </c>
    </row>
    <row r="1537" spans="1:16" x14ac:dyDescent="0.3">
      <c r="A1537">
        <v>2536</v>
      </c>
      <c r="B1537" t="s">
        <v>720</v>
      </c>
      <c r="C1537">
        <v>2023</v>
      </c>
      <c r="D1537" t="s">
        <v>24</v>
      </c>
      <c r="E1537" t="s">
        <v>18</v>
      </c>
      <c r="F1537" t="s">
        <v>107</v>
      </c>
      <c r="G1537" t="s">
        <v>20</v>
      </c>
      <c r="H1537" t="s">
        <v>31</v>
      </c>
      <c r="I1537" t="s">
        <v>32</v>
      </c>
      <c r="J1537">
        <v>1.2</v>
      </c>
      <c r="K1537">
        <v>23</v>
      </c>
      <c r="L1537">
        <v>7</v>
      </c>
      <c r="M1537">
        <v>605591</v>
      </c>
      <c r="N1537">
        <v>4239137</v>
      </c>
      <c r="O1537">
        <v>3612176</v>
      </c>
      <c r="P1537">
        <v>626961</v>
      </c>
    </row>
    <row r="1538" spans="1:16" x14ac:dyDescent="0.3">
      <c r="A1538">
        <v>2537</v>
      </c>
      <c r="B1538" t="s">
        <v>696</v>
      </c>
      <c r="C1538">
        <v>2024</v>
      </c>
      <c r="D1538" t="s">
        <v>34</v>
      </c>
      <c r="E1538" t="s">
        <v>25</v>
      </c>
      <c r="F1538" t="s">
        <v>26</v>
      </c>
      <c r="G1538" t="s">
        <v>90</v>
      </c>
      <c r="H1538" t="s">
        <v>56</v>
      </c>
      <c r="I1538" t="s">
        <v>48</v>
      </c>
      <c r="J1538">
        <v>1.2</v>
      </c>
      <c r="K1538">
        <v>19</v>
      </c>
      <c r="L1538">
        <v>1</v>
      </c>
      <c r="M1538">
        <v>734358</v>
      </c>
      <c r="N1538">
        <v>734358</v>
      </c>
      <c r="O1538">
        <v>593530</v>
      </c>
      <c r="P1538">
        <v>140828</v>
      </c>
    </row>
    <row r="1539" spans="1:16" x14ac:dyDescent="0.3">
      <c r="A1539">
        <v>2538</v>
      </c>
      <c r="B1539" t="s">
        <v>247</v>
      </c>
      <c r="C1539">
        <v>2024</v>
      </c>
      <c r="D1539" t="s">
        <v>76</v>
      </c>
      <c r="E1539" t="s">
        <v>44</v>
      </c>
      <c r="F1539" t="s">
        <v>92</v>
      </c>
      <c r="G1539" t="s">
        <v>36</v>
      </c>
      <c r="H1539" t="s">
        <v>21</v>
      </c>
      <c r="I1539" t="s">
        <v>22</v>
      </c>
      <c r="J1539">
        <v>1</v>
      </c>
      <c r="K1539">
        <v>20</v>
      </c>
      <c r="L1539">
        <v>6</v>
      </c>
      <c r="M1539">
        <v>1423115</v>
      </c>
      <c r="N1539">
        <v>8538690</v>
      </c>
      <c r="O1539">
        <v>7088342</v>
      </c>
      <c r="P1539">
        <v>1450348</v>
      </c>
    </row>
    <row r="1540" spans="1:16" x14ac:dyDescent="0.3">
      <c r="A1540">
        <v>2539</v>
      </c>
      <c r="B1540" t="s">
        <v>568</v>
      </c>
      <c r="C1540">
        <v>2023</v>
      </c>
      <c r="D1540" t="s">
        <v>74</v>
      </c>
      <c r="E1540" t="s">
        <v>40</v>
      </c>
      <c r="F1540" t="s">
        <v>68</v>
      </c>
      <c r="G1540" t="s">
        <v>30</v>
      </c>
      <c r="H1540" t="s">
        <v>100</v>
      </c>
      <c r="I1540" t="s">
        <v>22</v>
      </c>
      <c r="J1540">
        <v>2</v>
      </c>
      <c r="K1540">
        <v>20</v>
      </c>
      <c r="L1540">
        <v>7</v>
      </c>
      <c r="M1540">
        <v>1270383</v>
      </c>
      <c r="N1540">
        <v>8892681</v>
      </c>
      <c r="O1540">
        <v>6717135</v>
      </c>
      <c r="P1540">
        <v>2175546</v>
      </c>
    </row>
    <row r="1541" spans="1:16" x14ac:dyDescent="0.3">
      <c r="A1541">
        <v>2540</v>
      </c>
      <c r="B1541" t="s">
        <v>206</v>
      </c>
      <c r="C1541">
        <v>2023</v>
      </c>
      <c r="D1541" t="s">
        <v>24</v>
      </c>
      <c r="E1541" t="s">
        <v>40</v>
      </c>
      <c r="F1541" t="s">
        <v>120</v>
      </c>
      <c r="G1541" t="s">
        <v>51</v>
      </c>
      <c r="H1541" t="s">
        <v>100</v>
      </c>
      <c r="I1541" t="s">
        <v>22</v>
      </c>
      <c r="J1541">
        <v>2</v>
      </c>
      <c r="K1541">
        <v>22</v>
      </c>
      <c r="L1541">
        <v>2</v>
      </c>
      <c r="M1541">
        <v>1054005</v>
      </c>
      <c r="N1541">
        <v>2108010</v>
      </c>
      <c r="O1541">
        <v>1625386</v>
      </c>
      <c r="P1541">
        <v>482624</v>
      </c>
    </row>
    <row r="1542" spans="1:16" x14ac:dyDescent="0.3">
      <c r="A1542">
        <v>2541</v>
      </c>
      <c r="B1542" t="s">
        <v>55</v>
      </c>
      <c r="C1542">
        <v>2023</v>
      </c>
      <c r="D1542" t="s">
        <v>50</v>
      </c>
      <c r="E1542" t="s">
        <v>40</v>
      </c>
      <c r="F1542" t="s">
        <v>104</v>
      </c>
      <c r="G1542" t="s">
        <v>27</v>
      </c>
      <c r="H1542" t="s">
        <v>63</v>
      </c>
      <c r="I1542" t="s">
        <v>22</v>
      </c>
      <c r="J1542">
        <v>1.2</v>
      </c>
      <c r="K1542">
        <v>21</v>
      </c>
      <c r="L1542">
        <v>7</v>
      </c>
      <c r="M1542">
        <v>1425732</v>
      </c>
      <c r="N1542">
        <v>9980124</v>
      </c>
      <c r="O1542">
        <v>8343631</v>
      </c>
      <c r="P1542">
        <v>1636493</v>
      </c>
    </row>
    <row r="1543" spans="1:16" x14ac:dyDescent="0.3">
      <c r="A1543">
        <v>2542</v>
      </c>
      <c r="B1543" t="s">
        <v>75</v>
      </c>
      <c r="C1543">
        <v>2023</v>
      </c>
      <c r="D1543" t="s">
        <v>76</v>
      </c>
      <c r="E1543" t="s">
        <v>25</v>
      </c>
      <c r="F1543" t="s">
        <v>84</v>
      </c>
      <c r="G1543" t="s">
        <v>30</v>
      </c>
      <c r="H1543" t="s">
        <v>37</v>
      </c>
      <c r="I1543" t="s">
        <v>32</v>
      </c>
      <c r="J1543">
        <v>2</v>
      </c>
      <c r="K1543">
        <v>19</v>
      </c>
      <c r="L1543">
        <v>6</v>
      </c>
      <c r="M1543">
        <v>1115556</v>
      </c>
      <c r="N1543">
        <v>6693336</v>
      </c>
      <c r="O1543">
        <v>5667116</v>
      </c>
      <c r="P1543">
        <v>1026220</v>
      </c>
    </row>
    <row r="1544" spans="1:16" x14ac:dyDescent="0.3">
      <c r="A1544">
        <v>2543</v>
      </c>
      <c r="B1544" t="s">
        <v>88</v>
      </c>
      <c r="C1544">
        <v>2023</v>
      </c>
      <c r="D1544" t="s">
        <v>34</v>
      </c>
      <c r="E1544" t="s">
        <v>25</v>
      </c>
      <c r="F1544" t="s">
        <v>26</v>
      </c>
      <c r="G1544" t="s">
        <v>51</v>
      </c>
      <c r="H1544" t="s">
        <v>52</v>
      </c>
      <c r="I1544" t="s">
        <v>22</v>
      </c>
      <c r="J1544">
        <v>1.5</v>
      </c>
      <c r="K1544">
        <v>21</v>
      </c>
      <c r="L1544">
        <v>6</v>
      </c>
      <c r="M1544">
        <v>1450985</v>
      </c>
      <c r="N1544">
        <v>8705910</v>
      </c>
      <c r="O1544">
        <v>7279525</v>
      </c>
      <c r="P1544">
        <v>1426385</v>
      </c>
    </row>
    <row r="1545" spans="1:16" x14ac:dyDescent="0.3">
      <c r="A1545">
        <v>2544</v>
      </c>
      <c r="B1545" t="s">
        <v>81</v>
      </c>
      <c r="C1545">
        <v>2023</v>
      </c>
      <c r="D1545" t="s">
        <v>74</v>
      </c>
      <c r="E1545" t="s">
        <v>44</v>
      </c>
      <c r="F1545" t="s">
        <v>45</v>
      </c>
      <c r="G1545" t="s">
        <v>46</v>
      </c>
      <c r="H1545" t="s">
        <v>56</v>
      </c>
      <c r="I1545" t="s">
        <v>48</v>
      </c>
      <c r="J1545">
        <v>2</v>
      </c>
      <c r="K1545">
        <v>21</v>
      </c>
      <c r="L1545">
        <v>8</v>
      </c>
      <c r="M1545">
        <v>1426029</v>
      </c>
      <c r="N1545">
        <v>11408232</v>
      </c>
      <c r="O1545">
        <v>9119294</v>
      </c>
      <c r="P1545">
        <v>2288938</v>
      </c>
    </row>
    <row r="1546" spans="1:16" x14ac:dyDescent="0.3">
      <c r="A1546">
        <v>2545</v>
      </c>
      <c r="B1546" t="s">
        <v>471</v>
      </c>
      <c r="C1546">
        <v>2024</v>
      </c>
      <c r="D1546" t="s">
        <v>97</v>
      </c>
      <c r="E1546" t="s">
        <v>44</v>
      </c>
      <c r="F1546" t="s">
        <v>92</v>
      </c>
      <c r="G1546" t="s">
        <v>27</v>
      </c>
      <c r="H1546" t="s">
        <v>52</v>
      </c>
      <c r="I1546" t="s">
        <v>22</v>
      </c>
      <c r="J1546">
        <v>1.2</v>
      </c>
      <c r="K1546">
        <v>23</v>
      </c>
      <c r="L1546">
        <v>2</v>
      </c>
      <c r="M1546">
        <v>902777</v>
      </c>
      <c r="N1546">
        <v>1805554</v>
      </c>
      <c r="O1546">
        <v>1465002</v>
      </c>
      <c r="P1546">
        <v>340552</v>
      </c>
    </row>
    <row r="1547" spans="1:16" x14ac:dyDescent="0.3">
      <c r="A1547">
        <v>2546</v>
      </c>
      <c r="B1547" t="s">
        <v>527</v>
      </c>
      <c r="C1547">
        <v>2024</v>
      </c>
      <c r="D1547" t="s">
        <v>24</v>
      </c>
      <c r="E1547" t="s">
        <v>44</v>
      </c>
      <c r="F1547" t="s">
        <v>70</v>
      </c>
      <c r="G1547" t="s">
        <v>20</v>
      </c>
      <c r="H1547" t="s">
        <v>54</v>
      </c>
      <c r="I1547" t="s">
        <v>48</v>
      </c>
      <c r="J1547">
        <v>1</v>
      </c>
      <c r="K1547">
        <v>21</v>
      </c>
      <c r="L1547">
        <v>6</v>
      </c>
      <c r="M1547">
        <v>909376</v>
      </c>
      <c r="N1547">
        <v>5456256</v>
      </c>
      <c r="O1547">
        <v>4228119</v>
      </c>
      <c r="P1547">
        <v>1228137</v>
      </c>
    </row>
    <row r="1548" spans="1:16" x14ac:dyDescent="0.3">
      <c r="A1548">
        <v>2547</v>
      </c>
      <c r="B1548" t="s">
        <v>628</v>
      </c>
      <c r="C1548">
        <v>2023</v>
      </c>
      <c r="D1548" t="s">
        <v>24</v>
      </c>
      <c r="E1548" t="s">
        <v>44</v>
      </c>
      <c r="F1548" t="s">
        <v>92</v>
      </c>
      <c r="G1548" t="s">
        <v>27</v>
      </c>
      <c r="H1548" t="s">
        <v>31</v>
      </c>
      <c r="I1548" t="s">
        <v>32</v>
      </c>
      <c r="J1548">
        <v>1</v>
      </c>
      <c r="K1548">
        <v>16</v>
      </c>
      <c r="L1548">
        <v>3</v>
      </c>
      <c r="M1548">
        <v>602384</v>
      </c>
      <c r="N1548">
        <v>1807152</v>
      </c>
      <c r="O1548">
        <v>1439364</v>
      </c>
      <c r="P1548">
        <v>367788</v>
      </c>
    </row>
    <row r="1549" spans="1:16" x14ac:dyDescent="0.3">
      <c r="A1549">
        <v>2548</v>
      </c>
      <c r="B1549" t="s">
        <v>184</v>
      </c>
      <c r="C1549">
        <v>2024</v>
      </c>
      <c r="D1549" t="s">
        <v>50</v>
      </c>
      <c r="E1549" t="s">
        <v>44</v>
      </c>
      <c r="F1549" t="s">
        <v>62</v>
      </c>
      <c r="G1549" t="s">
        <v>20</v>
      </c>
      <c r="H1549" t="s">
        <v>100</v>
      </c>
      <c r="I1549" t="s">
        <v>22</v>
      </c>
      <c r="J1549">
        <v>2</v>
      </c>
      <c r="K1549">
        <v>20</v>
      </c>
      <c r="L1549">
        <v>2</v>
      </c>
      <c r="M1549">
        <v>1243403</v>
      </c>
      <c r="N1549">
        <v>2486806</v>
      </c>
      <c r="O1549">
        <v>2227784</v>
      </c>
      <c r="P1549">
        <v>259022</v>
      </c>
    </row>
    <row r="1550" spans="1:16" x14ac:dyDescent="0.3">
      <c r="A1550">
        <v>2549</v>
      </c>
      <c r="B1550" t="s">
        <v>53</v>
      </c>
      <c r="C1550">
        <v>2023</v>
      </c>
      <c r="D1550" t="s">
        <v>50</v>
      </c>
      <c r="E1550" t="s">
        <v>44</v>
      </c>
      <c r="F1550" t="s">
        <v>92</v>
      </c>
      <c r="G1550" t="s">
        <v>20</v>
      </c>
      <c r="H1550" t="s">
        <v>37</v>
      </c>
      <c r="I1550" t="s">
        <v>32</v>
      </c>
      <c r="J1550">
        <v>2</v>
      </c>
      <c r="K1550">
        <v>19</v>
      </c>
      <c r="L1550">
        <v>2</v>
      </c>
      <c r="M1550">
        <v>1328562</v>
      </c>
      <c r="N1550">
        <v>2657124</v>
      </c>
      <c r="O1550">
        <v>2228884</v>
      </c>
      <c r="P1550">
        <v>428240</v>
      </c>
    </row>
    <row r="1551" spans="1:16" x14ac:dyDescent="0.3">
      <c r="A1551">
        <v>2550</v>
      </c>
      <c r="B1551" t="s">
        <v>576</v>
      </c>
      <c r="C1551">
        <v>2024</v>
      </c>
      <c r="D1551" t="s">
        <v>76</v>
      </c>
      <c r="E1551" t="s">
        <v>44</v>
      </c>
      <c r="F1551" t="s">
        <v>92</v>
      </c>
      <c r="G1551" t="s">
        <v>27</v>
      </c>
      <c r="H1551" t="s">
        <v>100</v>
      </c>
      <c r="I1551" t="s">
        <v>22</v>
      </c>
      <c r="J1551">
        <v>1.2</v>
      </c>
      <c r="K1551">
        <v>19</v>
      </c>
      <c r="L1551">
        <v>3</v>
      </c>
      <c r="M1551">
        <v>1420229</v>
      </c>
      <c r="N1551">
        <v>4260687</v>
      </c>
      <c r="O1551">
        <v>3204674</v>
      </c>
      <c r="P1551">
        <v>1056013</v>
      </c>
    </row>
    <row r="1552" spans="1:16" x14ac:dyDescent="0.3">
      <c r="A1552">
        <v>2551</v>
      </c>
      <c r="B1552" t="s">
        <v>355</v>
      </c>
      <c r="C1552">
        <v>2023</v>
      </c>
      <c r="D1552" t="s">
        <v>97</v>
      </c>
      <c r="E1552" t="s">
        <v>44</v>
      </c>
      <c r="F1552" t="s">
        <v>70</v>
      </c>
      <c r="G1552" t="s">
        <v>30</v>
      </c>
      <c r="H1552" t="s">
        <v>31</v>
      </c>
      <c r="I1552" t="s">
        <v>32</v>
      </c>
      <c r="J1552">
        <v>1.2</v>
      </c>
      <c r="K1552">
        <v>19</v>
      </c>
      <c r="L1552">
        <v>1</v>
      </c>
      <c r="M1552">
        <v>603975</v>
      </c>
      <c r="N1552">
        <v>603975</v>
      </c>
      <c r="O1552">
        <v>510630</v>
      </c>
      <c r="P1552">
        <v>93345</v>
      </c>
    </row>
    <row r="1553" spans="1:16" x14ac:dyDescent="0.3">
      <c r="A1553">
        <v>2552</v>
      </c>
      <c r="B1553" t="s">
        <v>618</v>
      </c>
      <c r="C1553">
        <v>2023</v>
      </c>
      <c r="D1553" t="s">
        <v>43</v>
      </c>
      <c r="E1553" t="s">
        <v>18</v>
      </c>
      <c r="F1553" t="s">
        <v>107</v>
      </c>
      <c r="G1553" t="s">
        <v>36</v>
      </c>
      <c r="H1553" t="s">
        <v>21</v>
      </c>
      <c r="I1553" t="s">
        <v>22</v>
      </c>
      <c r="J1553">
        <v>2</v>
      </c>
      <c r="K1553">
        <v>18</v>
      </c>
      <c r="L1553">
        <v>7</v>
      </c>
      <c r="M1553">
        <v>838224</v>
      </c>
      <c r="N1553">
        <v>5867568</v>
      </c>
      <c r="O1553">
        <v>4718788</v>
      </c>
      <c r="P1553">
        <v>1148780</v>
      </c>
    </row>
    <row r="1554" spans="1:16" x14ac:dyDescent="0.3">
      <c r="A1554">
        <v>2553</v>
      </c>
      <c r="B1554" t="s">
        <v>156</v>
      </c>
      <c r="C1554">
        <v>2024</v>
      </c>
      <c r="D1554" t="s">
        <v>24</v>
      </c>
      <c r="E1554" t="s">
        <v>18</v>
      </c>
      <c r="F1554" t="s">
        <v>107</v>
      </c>
      <c r="G1554" t="s">
        <v>46</v>
      </c>
      <c r="H1554" t="s">
        <v>100</v>
      </c>
      <c r="I1554" t="s">
        <v>22</v>
      </c>
      <c r="J1554">
        <v>1</v>
      </c>
      <c r="K1554">
        <v>16</v>
      </c>
      <c r="L1554">
        <v>7</v>
      </c>
      <c r="M1554">
        <v>632063</v>
      </c>
      <c r="N1554">
        <v>4424441</v>
      </c>
      <c r="O1554">
        <v>3753266</v>
      </c>
      <c r="P1554">
        <v>671175</v>
      </c>
    </row>
    <row r="1555" spans="1:16" x14ac:dyDescent="0.3">
      <c r="A1555">
        <v>2554</v>
      </c>
      <c r="B1555" t="s">
        <v>593</v>
      </c>
      <c r="C1555">
        <v>2023</v>
      </c>
      <c r="D1555" t="s">
        <v>29</v>
      </c>
      <c r="E1555" t="s">
        <v>44</v>
      </c>
      <c r="F1555" t="s">
        <v>70</v>
      </c>
      <c r="G1555" t="s">
        <v>51</v>
      </c>
      <c r="H1555" t="s">
        <v>54</v>
      </c>
      <c r="I1555" t="s">
        <v>48</v>
      </c>
      <c r="J1555">
        <v>2</v>
      </c>
      <c r="K1555">
        <v>19</v>
      </c>
      <c r="L1555">
        <v>2</v>
      </c>
      <c r="M1555">
        <v>1297257</v>
      </c>
      <c r="N1555">
        <v>2594514</v>
      </c>
      <c r="O1555">
        <v>2241188</v>
      </c>
      <c r="P1555">
        <v>353326</v>
      </c>
    </row>
    <row r="1556" spans="1:16" x14ac:dyDescent="0.3">
      <c r="A1556">
        <v>2555</v>
      </c>
      <c r="B1556" t="s">
        <v>259</v>
      </c>
      <c r="C1556">
        <v>2024</v>
      </c>
      <c r="D1556" t="s">
        <v>67</v>
      </c>
      <c r="E1556" t="s">
        <v>25</v>
      </c>
      <c r="F1556" t="s">
        <v>26</v>
      </c>
      <c r="G1556" t="s">
        <v>36</v>
      </c>
      <c r="H1556" t="s">
        <v>37</v>
      </c>
      <c r="I1556" t="s">
        <v>32</v>
      </c>
      <c r="J1556">
        <v>2</v>
      </c>
      <c r="K1556">
        <v>18</v>
      </c>
      <c r="L1556">
        <v>2</v>
      </c>
      <c r="M1556">
        <v>814284</v>
      </c>
      <c r="N1556">
        <v>1628568</v>
      </c>
      <c r="O1556">
        <v>1309823</v>
      </c>
      <c r="P1556">
        <v>318745</v>
      </c>
    </row>
    <row r="1557" spans="1:16" x14ac:dyDescent="0.3">
      <c r="A1557">
        <v>2556</v>
      </c>
      <c r="B1557" t="s">
        <v>376</v>
      </c>
      <c r="C1557">
        <v>2023</v>
      </c>
      <c r="D1557" t="s">
        <v>50</v>
      </c>
      <c r="E1557" t="s">
        <v>25</v>
      </c>
      <c r="F1557" t="s">
        <v>84</v>
      </c>
      <c r="G1557" t="s">
        <v>27</v>
      </c>
      <c r="H1557" t="s">
        <v>21</v>
      </c>
      <c r="I1557" t="s">
        <v>22</v>
      </c>
      <c r="J1557">
        <v>2</v>
      </c>
      <c r="K1557">
        <v>23</v>
      </c>
      <c r="L1557">
        <v>3</v>
      </c>
      <c r="M1557">
        <v>1126990</v>
      </c>
      <c r="N1557">
        <v>3380970</v>
      </c>
      <c r="O1557">
        <v>2548976</v>
      </c>
      <c r="P1557">
        <v>831994</v>
      </c>
    </row>
    <row r="1558" spans="1:16" x14ac:dyDescent="0.3">
      <c r="A1558">
        <v>2557</v>
      </c>
      <c r="B1558" t="s">
        <v>276</v>
      </c>
      <c r="C1558">
        <v>2024</v>
      </c>
      <c r="D1558" t="s">
        <v>17</v>
      </c>
      <c r="E1558" t="s">
        <v>18</v>
      </c>
      <c r="F1558" t="s">
        <v>72</v>
      </c>
      <c r="G1558" t="s">
        <v>90</v>
      </c>
      <c r="H1558" t="s">
        <v>21</v>
      </c>
      <c r="I1558" t="s">
        <v>22</v>
      </c>
      <c r="J1558">
        <v>1</v>
      </c>
      <c r="K1558">
        <v>22</v>
      </c>
      <c r="L1558">
        <v>7</v>
      </c>
      <c r="M1558">
        <v>659119</v>
      </c>
      <c r="N1558">
        <v>4613833</v>
      </c>
      <c r="O1558">
        <v>3549733</v>
      </c>
      <c r="P1558">
        <v>1064100</v>
      </c>
    </row>
    <row r="1559" spans="1:16" x14ac:dyDescent="0.3">
      <c r="A1559">
        <v>2558</v>
      </c>
      <c r="B1559" t="s">
        <v>139</v>
      </c>
      <c r="C1559">
        <v>2024</v>
      </c>
      <c r="D1559" t="s">
        <v>61</v>
      </c>
      <c r="E1559" t="s">
        <v>44</v>
      </c>
      <c r="F1559" t="s">
        <v>70</v>
      </c>
      <c r="G1559" t="s">
        <v>51</v>
      </c>
      <c r="H1559" t="s">
        <v>54</v>
      </c>
      <c r="I1559" t="s">
        <v>48</v>
      </c>
      <c r="J1559">
        <v>1.2</v>
      </c>
      <c r="K1559">
        <v>20</v>
      </c>
      <c r="L1559">
        <v>8</v>
      </c>
      <c r="M1559">
        <v>698346</v>
      </c>
      <c r="N1559">
        <v>5586768</v>
      </c>
      <c r="O1559">
        <v>4796548</v>
      </c>
      <c r="P1559">
        <v>790220</v>
      </c>
    </row>
    <row r="1560" spans="1:16" x14ac:dyDescent="0.3">
      <c r="A1560">
        <v>2559</v>
      </c>
      <c r="B1560" t="s">
        <v>710</v>
      </c>
      <c r="C1560">
        <v>2023</v>
      </c>
      <c r="D1560" t="s">
        <v>43</v>
      </c>
      <c r="E1560" t="s">
        <v>44</v>
      </c>
      <c r="F1560" t="s">
        <v>92</v>
      </c>
      <c r="G1560" t="s">
        <v>51</v>
      </c>
      <c r="H1560" t="s">
        <v>52</v>
      </c>
      <c r="I1560" t="s">
        <v>22</v>
      </c>
      <c r="J1560">
        <v>1.5</v>
      </c>
      <c r="K1560">
        <v>21</v>
      </c>
      <c r="L1560">
        <v>2</v>
      </c>
      <c r="M1560">
        <v>1247961</v>
      </c>
      <c r="N1560">
        <v>2495922</v>
      </c>
      <c r="O1560">
        <v>2078635</v>
      </c>
      <c r="P1560">
        <v>417287</v>
      </c>
    </row>
    <row r="1561" spans="1:16" x14ac:dyDescent="0.3">
      <c r="A1561">
        <v>2560</v>
      </c>
      <c r="B1561" t="s">
        <v>394</v>
      </c>
      <c r="C1561">
        <v>2024</v>
      </c>
      <c r="D1561" t="s">
        <v>29</v>
      </c>
      <c r="E1561" t="s">
        <v>18</v>
      </c>
      <c r="F1561" t="s">
        <v>35</v>
      </c>
      <c r="G1561" t="s">
        <v>59</v>
      </c>
      <c r="H1561" t="s">
        <v>31</v>
      </c>
      <c r="I1561" t="s">
        <v>32</v>
      </c>
      <c r="J1561">
        <v>1.2</v>
      </c>
      <c r="K1561">
        <v>22</v>
      </c>
      <c r="L1561">
        <v>5</v>
      </c>
      <c r="M1561">
        <v>663254</v>
      </c>
      <c r="N1561">
        <v>3316270</v>
      </c>
      <c r="O1561">
        <v>2957337</v>
      </c>
      <c r="P1561">
        <v>358933</v>
      </c>
    </row>
    <row r="1562" spans="1:16" x14ac:dyDescent="0.3">
      <c r="A1562">
        <v>2561</v>
      </c>
      <c r="B1562" t="s">
        <v>591</v>
      </c>
      <c r="C1562">
        <v>2023</v>
      </c>
      <c r="D1562" t="s">
        <v>34</v>
      </c>
      <c r="E1562" t="s">
        <v>44</v>
      </c>
      <c r="F1562" t="s">
        <v>62</v>
      </c>
      <c r="G1562" t="s">
        <v>59</v>
      </c>
      <c r="H1562" t="s">
        <v>37</v>
      </c>
      <c r="I1562" t="s">
        <v>32</v>
      </c>
      <c r="J1562">
        <v>1.5</v>
      </c>
      <c r="K1562">
        <v>20</v>
      </c>
      <c r="L1562">
        <v>6</v>
      </c>
      <c r="M1562">
        <v>657592</v>
      </c>
      <c r="N1562">
        <v>3945552</v>
      </c>
      <c r="O1562">
        <v>3333848</v>
      </c>
      <c r="P1562">
        <v>611704</v>
      </c>
    </row>
    <row r="1563" spans="1:16" x14ac:dyDescent="0.3">
      <c r="A1563">
        <v>2562</v>
      </c>
      <c r="B1563" t="s">
        <v>698</v>
      </c>
      <c r="C1563">
        <v>2024</v>
      </c>
      <c r="D1563" t="s">
        <v>17</v>
      </c>
      <c r="E1563" t="s">
        <v>25</v>
      </c>
      <c r="F1563" t="s">
        <v>58</v>
      </c>
      <c r="G1563" t="s">
        <v>59</v>
      </c>
      <c r="H1563" t="s">
        <v>31</v>
      </c>
      <c r="I1563" t="s">
        <v>32</v>
      </c>
      <c r="J1563">
        <v>1.5</v>
      </c>
      <c r="K1563">
        <v>21</v>
      </c>
      <c r="L1563">
        <v>2</v>
      </c>
      <c r="M1563">
        <v>765614</v>
      </c>
      <c r="N1563">
        <v>1531228</v>
      </c>
      <c r="O1563">
        <v>1279727</v>
      </c>
      <c r="P1563">
        <v>251501</v>
      </c>
    </row>
    <row r="1564" spans="1:16" x14ac:dyDescent="0.3">
      <c r="A1564">
        <v>2563</v>
      </c>
      <c r="B1564" t="s">
        <v>627</v>
      </c>
      <c r="C1564">
        <v>2023</v>
      </c>
      <c r="D1564" t="s">
        <v>61</v>
      </c>
      <c r="E1564" t="s">
        <v>40</v>
      </c>
      <c r="F1564" t="s">
        <v>41</v>
      </c>
      <c r="G1564" t="s">
        <v>51</v>
      </c>
      <c r="H1564" t="s">
        <v>56</v>
      </c>
      <c r="I1564" t="s">
        <v>48</v>
      </c>
      <c r="J1564">
        <v>2</v>
      </c>
      <c r="K1564">
        <v>16</v>
      </c>
      <c r="L1564">
        <v>2</v>
      </c>
      <c r="M1564">
        <v>670692</v>
      </c>
      <c r="N1564">
        <v>1341384</v>
      </c>
      <c r="O1564">
        <v>1041082</v>
      </c>
      <c r="P1564">
        <v>300302</v>
      </c>
    </row>
    <row r="1565" spans="1:16" x14ac:dyDescent="0.3">
      <c r="A1565">
        <v>2564</v>
      </c>
      <c r="B1565" t="s">
        <v>613</v>
      </c>
      <c r="C1565">
        <v>2023</v>
      </c>
      <c r="D1565" t="s">
        <v>34</v>
      </c>
      <c r="E1565" t="s">
        <v>44</v>
      </c>
      <c r="F1565" t="s">
        <v>62</v>
      </c>
      <c r="G1565" t="s">
        <v>46</v>
      </c>
      <c r="H1565" t="s">
        <v>47</v>
      </c>
      <c r="I1565" t="s">
        <v>48</v>
      </c>
      <c r="J1565">
        <v>1.2</v>
      </c>
      <c r="K1565">
        <v>21</v>
      </c>
      <c r="L1565">
        <v>1</v>
      </c>
      <c r="M1565">
        <v>1389705</v>
      </c>
      <c r="N1565">
        <v>1389705</v>
      </c>
      <c r="O1565">
        <v>1150667</v>
      </c>
      <c r="P1565">
        <v>239038</v>
      </c>
    </row>
    <row r="1566" spans="1:16" x14ac:dyDescent="0.3">
      <c r="A1566">
        <v>2565</v>
      </c>
      <c r="B1566" t="s">
        <v>320</v>
      </c>
      <c r="C1566">
        <v>2023</v>
      </c>
      <c r="D1566" t="s">
        <v>24</v>
      </c>
      <c r="E1566" t="s">
        <v>18</v>
      </c>
      <c r="F1566" t="s">
        <v>107</v>
      </c>
      <c r="G1566" t="s">
        <v>90</v>
      </c>
      <c r="H1566" t="s">
        <v>54</v>
      </c>
      <c r="I1566" t="s">
        <v>48</v>
      </c>
      <c r="J1566">
        <v>1</v>
      </c>
      <c r="K1566">
        <v>19</v>
      </c>
      <c r="L1566">
        <v>6</v>
      </c>
      <c r="M1566">
        <v>1268726</v>
      </c>
      <c r="N1566">
        <v>7612356</v>
      </c>
      <c r="O1566">
        <v>6377726</v>
      </c>
      <c r="P1566">
        <v>1234630</v>
      </c>
    </row>
    <row r="1567" spans="1:16" x14ac:dyDescent="0.3">
      <c r="A1567">
        <v>2566</v>
      </c>
      <c r="B1567" t="s">
        <v>155</v>
      </c>
      <c r="C1567">
        <v>2024</v>
      </c>
      <c r="D1567" t="s">
        <v>39</v>
      </c>
      <c r="E1567" t="s">
        <v>44</v>
      </c>
      <c r="F1567" t="s">
        <v>62</v>
      </c>
      <c r="G1567" t="s">
        <v>46</v>
      </c>
      <c r="H1567" t="s">
        <v>31</v>
      </c>
      <c r="I1567" t="s">
        <v>32</v>
      </c>
      <c r="J1567">
        <v>1.2</v>
      </c>
      <c r="K1567">
        <v>16</v>
      </c>
      <c r="L1567">
        <v>1</v>
      </c>
      <c r="M1567">
        <v>1265096</v>
      </c>
      <c r="N1567">
        <v>1265096</v>
      </c>
      <c r="O1567">
        <v>985788</v>
      </c>
      <c r="P1567">
        <v>279308</v>
      </c>
    </row>
    <row r="1568" spans="1:16" x14ac:dyDescent="0.3">
      <c r="A1568">
        <v>2567</v>
      </c>
      <c r="B1568" t="s">
        <v>515</v>
      </c>
      <c r="C1568">
        <v>2024</v>
      </c>
      <c r="D1568" t="s">
        <v>29</v>
      </c>
      <c r="E1568" t="s">
        <v>18</v>
      </c>
      <c r="F1568" t="s">
        <v>72</v>
      </c>
      <c r="G1568" t="s">
        <v>27</v>
      </c>
      <c r="H1568" t="s">
        <v>21</v>
      </c>
      <c r="I1568" t="s">
        <v>22</v>
      </c>
      <c r="J1568">
        <v>1</v>
      </c>
      <c r="K1568">
        <v>18</v>
      </c>
      <c r="L1568">
        <v>3</v>
      </c>
      <c r="M1568">
        <v>802065</v>
      </c>
      <c r="N1568">
        <v>2406195</v>
      </c>
      <c r="O1568">
        <v>1953110</v>
      </c>
      <c r="P1568">
        <v>453085</v>
      </c>
    </row>
    <row r="1569" spans="1:16" x14ac:dyDescent="0.3">
      <c r="A1569">
        <v>2568</v>
      </c>
      <c r="B1569" t="s">
        <v>538</v>
      </c>
      <c r="C1569">
        <v>2023</v>
      </c>
      <c r="D1569" t="s">
        <v>74</v>
      </c>
      <c r="E1569" t="s">
        <v>18</v>
      </c>
      <c r="F1569" t="s">
        <v>19</v>
      </c>
      <c r="G1569" t="s">
        <v>36</v>
      </c>
      <c r="H1569" t="s">
        <v>54</v>
      </c>
      <c r="I1569" t="s">
        <v>48</v>
      </c>
      <c r="J1569">
        <v>1.2</v>
      </c>
      <c r="K1569">
        <v>22</v>
      </c>
      <c r="L1569">
        <v>7</v>
      </c>
      <c r="M1569">
        <v>656910</v>
      </c>
      <c r="N1569">
        <v>4598370</v>
      </c>
      <c r="O1569">
        <v>3624683</v>
      </c>
      <c r="P1569">
        <v>973687</v>
      </c>
    </row>
    <row r="1570" spans="1:16" x14ac:dyDescent="0.3">
      <c r="A1570">
        <v>2569</v>
      </c>
      <c r="B1570" t="s">
        <v>684</v>
      </c>
      <c r="C1570">
        <v>2023</v>
      </c>
      <c r="D1570" t="s">
        <v>43</v>
      </c>
      <c r="E1570" t="s">
        <v>25</v>
      </c>
      <c r="F1570" t="s">
        <v>26</v>
      </c>
      <c r="G1570" t="s">
        <v>59</v>
      </c>
      <c r="H1570" t="s">
        <v>31</v>
      </c>
      <c r="I1570" t="s">
        <v>32</v>
      </c>
      <c r="J1570">
        <v>1.5</v>
      </c>
      <c r="K1570">
        <v>22</v>
      </c>
      <c r="L1570">
        <v>7</v>
      </c>
      <c r="M1570">
        <v>1435748</v>
      </c>
      <c r="N1570">
        <v>10050236</v>
      </c>
      <c r="O1570">
        <v>8418666</v>
      </c>
      <c r="P1570">
        <v>1631570</v>
      </c>
    </row>
    <row r="1571" spans="1:16" x14ac:dyDescent="0.3">
      <c r="A1571">
        <v>2570</v>
      </c>
      <c r="B1571" t="s">
        <v>567</v>
      </c>
      <c r="C1571">
        <v>2024</v>
      </c>
      <c r="D1571" t="s">
        <v>34</v>
      </c>
      <c r="E1571" t="s">
        <v>40</v>
      </c>
      <c r="F1571" t="s">
        <v>104</v>
      </c>
      <c r="G1571" t="s">
        <v>51</v>
      </c>
      <c r="H1571" t="s">
        <v>52</v>
      </c>
      <c r="I1571" t="s">
        <v>22</v>
      </c>
      <c r="J1571">
        <v>1.5</v>
      </c>
      <c r="K1571">
        <v>21</v>
      </c>
      <c r="L1571">
        <v>3</v>
      </c>
      <c r="M1571">
        <v>1052213</v>
      </c>
      <c r="N1571">
        <v>3156639</v>
      </c>
      <c r="O1571">
        <v>2832216</v>
      </c>
      <c r="P1571">
        <v>324423</v>
      </c>
    </row>
    <row r="1572" spans="1:16" x14ac:dyDescent="0.3">
      <c r="A1572">
        <v>2571</v>
      </c>
      <c r="B1572" t="s">
        <v>642</v>
      </c>
      <c r="C1572">
        <v>2024</v>
      </c>
      <c r="D1572" t="s">
        <v>50</v>
      </c>
      <c r="E1572" t="s">
        <v>25</v>
      </c>
      <c r="F1572" t="s">
        <v>58</v>
      </c>
      <c r="G1572" t="s">
        <v>30</v>
      </c>
      <c r="H1572" t="s">
        <v>31</v>
      </c>
      <c r="I1572" t="s">
        <v>32</v>
      </c>
      <c r="J1572">
        <v>1.2</v>
      </c>
      <c r="K1572">
        <v>18</v>
      </c>
      <c r="L1572">
        <v>6</v>
      </c>
      <c r="M1572">
        <v>1443190</v>
      </c>
      <c r="N1572">
        <v>8659140</v>
      </c>
      <c r="O1572">
        <v>7113323</v>
      </c>
      <c r="P1572">
        <v>1545817</v>
      </c>
    </row>
    <row r="1573" spans="1:16" x14ac:dyDescent="0.3">
      <c r="A1573">
        <v>2572</v>
      </c>
      <c r="B1573" t="s">
        <v>454</v>
      </c>
      <c r="C1573">
        <v>2024</v>
      </c>
      <c r="D1573" t="s">
        <v>39</v>
      </c>
      <c r="E1573" t="s">
        <v>25</v>
      </c>
      <c r="F1573" t="s">
        <v>77</v>
      </c>
      <c r="G1573" t="s">
        <v>51</v>
      </c>
      <c r="H1573" t="s">
        <v>63</v>
      </c>
      <c r="I1573" t="s">
        <v>22</v>
      </c>
      <c r="J1573">
        <v>2</v>
      </c>
      <c r="K1573">
        <v>18</v>
      </c>
      <c r="L1573">
        <v>7</v>
      </c>
      <c r="M1573">
        <v>866732</v>
      </c>
      <c r="N1573">
        <v>6067124</v>
      </c>
      <c r="O1573">
        <v>4878921</v>
      </c>
      <c r="P1573">
        <v>1188203</v>
      </c>
    </row>
    <row r="1574" spans="1:16" x14ac:dyDescent="0.3">
      <c r="A1574">
        <v>2573</v>
      </c>
      <c r="B1574" t="s">
        <v>201</v>
      </c>
      <c r="C1574">
        <v>2023</v>
      </c>
      <c r="D1574" t="s">
        <v>50</v>
      </c>
      <c r="E1574" t="s">
        <v>18</v>
      </c>
      <c r="F1574" t="s">
        <v>19</v>
      </c>
      <c r="G1574" t="s">
        <v>20</v>
      </c>
      <c r="H1574" t="s">
        <v>31</v>
      </c>
      <c r="I1574" t="s">
        <v>32</v>
      </c>
      <c r="J1574">
        <v>2</v>
      </c>
      <c r="K1574">
        <v>21</v>
      </c>
      <c r="L1574">
        <v>1</v>
      </c>
      <c r="M1574">
        <v>1317925</v>
      </c>
      <c r="N1574">
        <v>1317925</v>
      </c>
      <c r="O1574">
        <v>1077327</v>
      </c>
      <c r="P1574">
        <v>240598</v>
      </c>
    </row>
    <row r="1575" spans="1:16" x14ac:dyDescent="0.3">
      <c r="A1575">
        <v>2574</v>
      </c>
      <c r="B1575" t="s">
        <v>562</v>
      </c>
      <c r="C1575">
        <v>2024</v>
      </c>
      <c r="D1575" t="s">
        <v>61</v>
      </c>
      <c r="E1575" t="s">
        <v>40</v>
      </c>
      <c r="F1575" t="s">
        <v>104</v>
      </c>
      <c r="G1575" t="s">
        <v>51</v>
      </c>
      <c r="H1575" t="s">
        <v>100</v>
      </c>
      <c r="I1575" t="s">
        <v>22</v>
      </c>
      <c r="J1575">
        <v>1</v>
      </c>
      <c r="K1575">
        <v>19</v>
      </c>
      <c r="L1575">
        <v>2</v>
      </c>
      <c r="M1575">
        <v>645246</v>
      </c>
      <c r="N1575">
        <v>1290492</v>
      </c>
      <c r="O1575">
        <v>1100794</v>
      </c>
      <c r="P1575">
        <v>189698</v>
      </c>
    </row>
    <row r="1576" spans="1:16" x14ac:dyDescent="0.3">
      <c r="A1576">
        <v>2575</v>
      </c>
      <c r="B1576" t="s">
        <v>537</v>
      </c>
      <c r="C1576">
        <v>2024</v>
      </c>
      <c r="D1576" t="s">
        <v>61</v>
      </c>
      <c r="E1576" t="s">
        <v>25</v>
      </c>
      <c r="F1576" t="s">
        <v>58</v>
      </c>
      <c r="G1576" t="s">
        <v>90</v>
      </c>
      <c r="H1576" t="s">
        <v>47</v>
      </c>
      <c r="I1576" t="s">
        <v>48</v>
      </c>
      <c r="J1576">
        <v>1.2</v>
      </c>
      <c r="K1576">
        <v>20</v>
      </c>
      <c r="L1576">
        <v>5</v>
      </c>
      <c r="M1576">
        <v>749586</v>
      </c>
      <c r="N1576">
        <v>3747930</v>
      </c>
      <c r="O1576">
        <v>3070913</v>
      </c>
      <c r="P1576">
        <v>677017</v>
      </c>
    </row>
    <row r="1577" spans="1:16" x14ac:dyDescent="0.3">
      <c r="A1577">
        <v>2576</v>
      </c>
      <c r="B1577" t="s">
        <v>123</v>
      </c>
      <c r="C1577">
        <v>2024</v>
      </c>
      <c r="D1577" t="s">
        <v>24</v>
      </c>
      <c r="E1577" t="s">
        <v>44</v>
      </c>
      <c r="F1577" t="s">
        <v>92</v>
      </c>
      <c r="G1577" t="s">
        <v>30</v>
      </c>
      <c r="H1577" t="s">
        <v>37</v>
      </c>
      <c r="I1577" t="s">
        <v>32</v>
      </c>
      <c r="J1577">
        <v>1.5</v>
      </c>
      <c r="K1577">
        <v>23</v>
      </c>
      <c r="L1577">
        <v>2</v>
      </c>
      <c r="M1577">
        <v>791069</v>
      </c>
      <c r="N1577">
        <v>1582138</v>
      </c>
      <c r="O1577">
        <v>1333790</v>
      </c>
      <c r="P1577">
        <v>248348</v>
      </c>
    </row>
    <row r="1578" spans="1:16" x14ac:dyDescent="0.3">
      <c r="A1578">
        <v>2577</v>
      </c>
      <c r="B1578" t="s">
        <v>87</v>
      </c>
      <c r="C1578">
        <v>2024</v>
      </c>
      <c r="D1578" t="s">
        <v>67</v>
      </c>
      <c r="E1578" t="s">
        <v>25</v>
      </c>
      <c r="F1578" t="s">
        <v>58</v>
      </c>
      <c r="G1578" t="s">
        <v>51</v>
      </c>
      <c r="H1578" t="s">
        <v>100</v>
      </c>
      <c r="I1578" t="s">
        <v>22</v>
      </c>
      <c r="J1578">
        <v>2</v>
      </c>
      <c r="K1578">
        <v>19</v>
      </c>
      <c r="L1578">
        <v>7</v>
      </c>
      <c r="M1578">
        <v>1461474</v>
      </c>
      <c r="N1578">
        <v>10230318</v>
      </c>
      <c r="O1578">
        <v>9008658</v>
      </c>
      <c r="P1578">
        <v>1221660</v>
      </c>
    </row>
    <row r="1579" spans="1:16" x14ac:dyDescent="0.3">
      <c r="A1579">
        <v>2578</v>
      </c>
      <c r="B1579" t="s">
        <v>189</v>
      </c>
      <c r="C1579">
        <v>2024</v>
      </c>
      <c r="D1579" t="s">
        <v>97</v>
      </c>
      <c r="E1579" t="s">
        <v>40</v>
      </c>
      <c r="F1579" t="s">
        <v>104</v>
      </c>
      <c r="G1579" t="s">
        <v>30</v>
      </c>
      <c r="H1579" t="s">
        <v>56</v>
      </c>
      <c r="I1579" t="s">
        <v>48</v>
      </c>
      <c r="J1579">
        <v>1.2</v>
      </c>
      <c r="K1579">
        <v>22</v>
      </c>
      <c r="L1579">
        <v>5</v>
      </c>
      <c r="M1579">
        <v>965892</v>
      </c>
      <c r="N1579">
        <v>4829460</v>
      </c>
      <c r="O1579">
        <v>4232832</v>
      </c>
      <c r="P1579">
        <v>596628</v>
      </c>
    </row>
    <row r="1580" spans="1:16" x14ac:dyDescent="0.3">
      <c r="A1580">
        <v>2579</v>
      </c>
      <c r="B1580" t="s">
        <v>469</v>
      </c>
      <c r="C1580">
        <v>2024</v>
      </c>
      <c r="D1580" t="s">
        <v>61</v>
      </c>
      <c r="E1580" t="s">
        <v>18</v>
      </c>
      <c r="F1580" t="s">
        <v>72</v>
      </c>
      <c r="G1580" t="s">
        <v>36</v>
      </c>
      <c r="H1580" t="s">
        <v>47</v>
      </c>
      <c r="I1580" t="s">
        <v>48</v>
      </c>
      <c r="J1580">
        <v>1</v>
      </c>
      <c r="K1580">
        <v>20</v>
      </c>
      <c r="L1580">
        <v>7</v>
      </c>
      <c r="M1580">
        <v>1472700</v>
      </c>
      <c r="N1580">
        <v>10308900</v>
      </c>
      <c r="O1580">
        <v>8304125</v>
      </c>
      <c r="P1580">
        <v>2004775</v>
      </c>
    </row>
    <row r="1581" spans="1:16" x14ac:dyDescent="0.3">
      <c r="A1581">
        <v>2580</v>
      </c>
      <c r="B1581" t="s">
        <v>721</v>
      </c>
      <c r="C1581">
        <v>2023</v>
      </c>
      <c r="D1581" t="s">
        <v>39</v>
      </c>
      <c r="E1581" t="s">
        <v>44</v>
      </c>
      <c r="F1581" t="s">
        <v>70</v>
      </c>
      <c r="G1581" t="s">
        <v>59</v>
      </c>
      <c r="H1581" t="s">
        <v>100</v>
      </c>
      <c r="I1581" t="s">
        <v>22</v>
      </c>
      <c r="J1581">
        <v>1</v>
      </c>
      <c r="K1581">
        <v>21</v>
      </c>
      <c r="L1581">
        <v>7</v>
      </c>
      <c r="M1581">
        <v>883865</v>
      </c>
      <c r="N1581">
        <v>6187055</v>
      </c>
      <c r="O1581">
        <v>5292090</v>
      </c>
      <c r="P1581">
        <v>894965</v>
      </c>
    </row>
    <row r="1582" spans="1:16" x14ac:dyDescent="0.3">
      <c r="A1582">
        <v>2581</v>
      </c>
      <c r="B1582" t="s">
        <v>375</v>
      </c>
      <c r="C1582">
        <v>2024</v>
      </c>
      <c r="D1582" t="s">
        <v>24</v>
      </c>
      <c r="E1582" t="s">
        <v>40</v>
      </c>
      <c r="F1582" t="s">
        <v>120</v>
      </c>
      <c r="G1582" t="s">
        <v>51</v>
      </c>
      <c r="H1582" t="s">
        <v>54</v>
      </c>
      <c r="I1582" t="s">
        <v>48</v>
      </c>
      <c r="J1582">
        <v>1.5</v>
      </c>
      <c r="K1582">
        <v>19</v>
      </c>
      <c r="L1582">
        <v>5</v>
      </c>
      <c r="M1582">
        <v>1083325</v>
      </c>
      <c r="N1582">
        <v>5416625</v>
      </c>
      <c r="O1582">
        <v>4133014</v>
      </c>
      <c r="P1582">
        <v>1283611</v>
      </c>
    </row>
    <row r="1583" spans="1:16" x14ac:dyDescent="0.3">
      <c r="A1583">
        <v>2582</v>
      </c>
      <c r="B1583" t="s">
        <v>722</v>
      </c>
      <c r="C1583">
        <v>2024</v>
      </c>
      <c r="D1583" t="s">
        <v>67</v>
      </c>
      <c r="E1583" t="s">
        <v>40</v>
      </c>
      <c r="F1583" t="s">
        <v>104</v>
      </c>
      <c r="G1583" t="s">
        <v>51</v>
      </c>
      <c r="H1583" t="s">
        <v>79</v>
      </c>
      <c r="I1583" t="s">
        <v>48</v>
      </c>
      <c r="J1583">
        <v>2</v>
      </c>
      <c r="K1583">
        <v>19</v>
      </c>
      <c r="L1583">
        <v>1</v>
      </c>
      <c r="M1583">
        <v>1272686</v>
      </c>
      <c r="N1583">
        <v>1272686</v>
      </c>
      <c r="O1583">
        <v>1016309</v>
      </c>
      <c r="P1583">
        <v>256377</v>
      </c>
    </row>
    <row r="1584" spans="1:16" x14ac:dyDescent="0.3">
      <c r="A1584">
        <v>2583</v>
      </c>
      <c r="B1584" t="s">
        <v>712</v>
      </c>
      <c r="C1584">
        <v>2023</v>
      </c>
      <c r="D1584" t="s">
        <v>17</v>
      </c>
      <c r="E1584" t="s">
        <v>40</v>
      </c>
      <c r="F1584" t="s">
        <v>41</v>
      </c>
      <c r="G1584" t="s">
        <v>51</v>
      </c>
      <c r="H1584" t="s">
        <v>100</v>
      </c>
      <c r="I1584" t="s">
        <v>22</v>
      </c>
      <c r="J1584">
        <v>2</v>
      </c>
      <c r="K1584">
        <v>23</v>
      </c>
      <c r="L1584">
        <v>5</v>
      </c>
      <c r="M1584">
        <v>951509</v>
      </c>
      <c r="N1584">
        <v>4757545</v>
      </c>
      <c r="O1584">
        <v>3694272</v>
      </c>
      <c r="P1584">
        <v>1063273</v>
      </c>
    </row>
    <row r="1585" spans="1:16" x14ac:dyDescent="0.3">
      <c r="A1585">
        <v>2584</v>
      </c>
      <c r="B1585" t="s">
        <v>53</v>
      </c>
      <c r="C1585">
        <v>2023</v>
      </c>
      <c r="D1585" t="s">
        <v>50</v>
      </c>
      <c r="E1585" t="s">
        <v>44</v>
      </c>
      <c r="F1585" t="s">
        <v>62</v>
      </c>
      <c r="G1585" t="s">
        <v>46</v>
      </c>
      <c r="H1585" t="s">
        <v>31</v>
      </c>
      <c r="I1585" t="s">
        <v>32</v>
      </c>
      <c r="J1585">
        <v>1.2</v>
      </c>
      <c r="K1585">
        <v>19</v>
      </c>
      <c r="L1585">
        <v>8</v>
      </c>
      <c r="M1585">
        <v>1395202</v>
      </c>
      <c r="N1585">
        <v>11161616</v>
      </c>
      <c r="O1585">
        <v>8706929</v>
      </c>
      <c r="P1585">
        <v>2454687</v>
      </c>
    </row>
    <row r="1586" spans="1:16" x14ac:dyDescent="0.3">
      <c r="A1586">
        <v>2585</v>
      </c>
      <c r="B1586" t="s">
        <v>662</v>
      </c>
      <c r="C1586">
        <v>2024</v>
      </c>
      <c r="D1586" t="s">
        <v>17</v>
      </c>
      <c r="E1586" t="s">
        <v>25</v>
      </c>
      <c r="F1586" t="s">
        <v>77</v>
      </c>
      <c r="G1586" t="s">
        <v>36</v>
      </c>
      <c r="H1586" t="s">
        <v>56</v>
      </c>
      <c r="I1586" t="s">
        <v>48</v>
      </c>
      <c r="J1586">
        <v>1.5</v>
      </c>
      <c r="K1586">
        <v>22</v>
      </c>
      <c r="L1586">
        <v>4</v>
      </c>
      <c r="M1586">
        <v>772811</v>
      </c>
      <c r="N1586">
        <v>3091244</v>
      </c>
      <c r="O1586">
        <v>2505165</v>
      </c>
      <c r="P1586">
        <v>586079</v>
      </c>
    </row>
    <row r="1587" spans="1:16" x14ac:dyDescent="0.3">
      <c r="A1587">
        <v>2586</v>
      </c>
      <c r="B1587" t="s">
        <v>354</v>
      </c>
      <c r="C1587">
        <v>2023</v>
      </c>
      <c r="D1587" t="s">
        <v>34</v>
      </c>
      <c r="E1587" t="s">
        <v>44</v>
      </c>
      <c r="F1587" t="s">
        <v>92</v>
      </c>
      <c r="G1587" t="s">
        <v>36</v>
      </c>
      <c r="H1587" t="s">
        <v>47</v>
      </c>
      <c r="I1587" t="s">
        <v>48</v>
      </c>
      <c r="J1587">
        <v>1.2</v>
      </c>
      <c r="K1587">
        <v>23</v>
      </c>
      <c r="L1587">
        <v>4</v>
      </c>
      <c r="M1587">
        <v>1239372</v>
      </c>
      <c r="N1587">
        <v>4957488</v>
      </c>
      <c r="O1587">
        <v>4116293</v>
      </c>
      <c r="P1587">
        <v>841195</v>
      </c>
    </row>
    <row r="1588" spans="1:16" x14ac:dyDescent="0.3">
      <c r="A1588">
        <v>2587</v>
      </c>
      <c r="B1588" t="s">
        <v>358</v>
      </c>
      <c r="C1588">
        <v>2023</v>
      </c>
      <c r="D1588" t="s">
        <v>50</v>
      </c>
      <c r="E1588" t="s">
        <v>25</v>
      </c>
      <c r="F1588" t="s">
        <v>84</v>
      </c>
      <c r="G1588" t="s">
        <v>46</v>
      </c>
      <c r="H1588" t="s">
        <v>56</v>
      </c>
      <c r="I1588" t="s">
        <v>48</v>
      </c>
      <c r="J1588">
        <v>1</v>
      </c>
      <c r="K1588">
        <v>23</v>
      </c>
      <c r="L1588">
        <v>8</v>
      </c>
      <c r="M1588">
        <v>1164056</v>
      </c>
      <c r="N1588">
        <v>9312448</v>
      </c>
      <c r="O1588">
        <v>7713557</v>
      </c>
      <c r="P1588">
        <v>1598891</v>
      </c>
    </row>
    <row r="1589" spans="1:16" x14ac:dyDescent="0.3">
      <c r="A1589">
        <v>2588</v>
      </c>
      <c r="B1589" t="s">
        <v>644</v>
      </c>
      <c r="C1589">
        <v>2023</v>
      </c>
      <c r="D1589" t="s">
        <v>39</v>
      </c>
      <c r="E1589" t="s">
        <v>18</v>
      </c>
      <c r="F1589" t="s">
        <v>107</v>
      </c>
      <c r="G1589" t="s">
        <v>90</v>
      </c>
      <c r="H1589" t="s">
        <v>52</v>
      </c>
      <c r="I1589" t="s">
        <v>22</v>
      </c>
      <c r="J1589">
        <v>1.2</v>
      </c>
      <c r="K1589">
        <v>21</v>
      </c>
      <c r="L1589">
        <v>2</v>
      </c>
      <c r="M1589">
        <v>1413875</v>
      </c>
      <c r="N1589">
        <v>2827750</v>
      </c>
      <c r="O1589">
        <v>2187219</v>
      </c>
      <c r="P1589">
        <v>640531</v>
      </c>
    </row>
    <row r="1590" spans="1:16" x14ac:dyDescent="0.3">
      <c r="A1590">
        <v>2589</v>
      </c>
      <c r="B1590" t="s">
        <v>533</v>
      </c>
      <c r="C1590">
        <v>2024</v>
      </c>
      <c r="D1590" t="s">
        <v>17</v>
      </c>
      <c r="E1590" t="s">
        <v>18</v>
      </c>
      <c r="F1590" t="s">
        <v>35</v>
      </c>
      <c r="G1590" t="s">
        <v>27</v>
      </c>
      <c r="H1590" t="s">
        <v>79</v>
      </c>
      <c r="I1590" t="s">
        <v>48</v>
      </c>
      <c r="J1590">
        <v>1.5</v>
      </c>
      <c r="K1590">
        <v>16</v>
      </c>
      <c r="L1590">
        <v>5</v>
      </c>
      <c r="M1590">
        <v>1108081</v>
      </c>
      <c r="N1590">
        <v>5540405</v>
      </c>
      <c r="O1590">
        <v>4193049</v>
      </c>
      <c r="P1590">
        <v>1347356</v>
      </c>
    </row>
    <row r="1591" spans="1:16" x14ac:dyDescent="0.3">
      <c r="A1591">
        <v>2590</v>
      </c>
      <c r="B1591" t="s">
        <v>432</v>
      </c>
      <c r="C1591">
        <v>2024</v>
      </c>
      <c r="D1591" t="s">
        <v>24</v>
      </c>
      <c r="E1591" t="s">
        <v>25</v>
      </c>
      <c r="F1591" t="s">
        <v>26</v>
      </c>
      <c r="G1591" t="s">
        <v>30</v>
      </c>
      <c r="H1591" t="s">
        <v>37</v>
      </c>
      <c r="I1591" t="s">
        <v>32</v>
      </c>
      <c r="J1591">
        <v>1.5</v>
      </c>
      <c r="K1591">
        <v>21</v>
      </c>
      <c r="L1591">
        <v>5</v>
      </c>
      <c r="M1591">
        <v>1456594</v>
      </c>
      <c r="N1591">
        <v>7282970</v>
      </c>
      <c r="O1591">
        <v>6022308</v>
      </c>
      <c r="P1591">
        <v>1260662</v>
      </c>
    </row>
    <row r="1592" spans="1:16" x14ac:dyDescent="0.3">
      <c r="A1592">
        <v>2591</v>
      </c>
      <c r="B1592" t="s">
        <v>573</v>
      </c>
      <c r="C1592">
        <v>2023</v>
      </c>
      <c r="D1592" t="s">
        <v>97</v>
      </c>
      <c r="E1592" t="s">
        <v>25</v>
      </c>
      <c r="F1592" t="s">
        <v>58</v>
      </c>
      <c r="G1592" t="s">
        <v>46</v>
      </c>
      <c r="H1592" t="s">
        <v>63</v>
      </c>
      <c r="I1592" t="s">
        <v>22</v>
      </c>
      <c r="J1592">
        <v>1.5</v>
      </c>
      <c r="K1592">
        <v>19</v>
      </c>
      <c r="L1592">
        <v>1</v>
      </c>
      <c r="M1592">
        <v>1353396</v>
      </c>
      <c r="N1592">
        <v>1353396</v>
      </c>
      <c r="O1592">
        <v>1184370</v>
      </c>
      <c r="P1592">
        <v>169026</v>
      </c>
    </row>
    <row r="1593" spans="1:16" x14ac:dyDescent="0.3">
      <c r="A1593">
        <v>2592</v>
      </c>
      <c r="B1593" t="s">
        <v>723</v>
      </c>
      <c r="C1593">
        <v>2023</v>
      </c>
      <c r="D1593" t="s">
        <v>17</v>
      </c>
      <c r="E1593" t="s">
        <v>40</v>
      </c>
      <c r="F1593" t="s">
        <v>120</v>
      </c>
      <c r="G1593" t="s">
        <v>59</v>
      </c>
      <c r="H1593" t="s">
        <v>37</v>
      </c>
      <c r="I1593" t="s">
        <v>32</v>
      </c>
      <c r="J1593">
        <v>1.2</v>
      </c>
      <c r="K1593">
        <v>18</v>
      </c>
      <c r="L1593">
        <v>3</v>
      </c>
      <c r="M1593">
        <v>977114</v>
      </c>
      <c r="N1593">
        <v>2931342</v>
      </c>
      <c r="O1593">
        <v>2257557</v>
      </c>
      <c r="P1593">
        <v>673785</v>
      </c>
    </row>
    <row r="1594" spans="1:16" x14ac:dyDescent="0.3">
      <c r="A1594">
        <v>2593</v>
      </c>
      <c r="B1594" t="s">
        <v>425</v>
      </c>
      <c r="C1594">
        <v>2023</v>
      </c>
      <c r="D1594" t="s">
        <v>39</v>
      </c>
      <c r="E1594" t="s">
        <v>44</v>
      </c>
      <c r="F1594" t="s">
        <v>45</v>
      </c>
      <c r="G1594" t="s">
        <v>30</v>
      </c>
      <c r="H1594" t="s">
        <v>54</v>
      </c>
      <c r="I1594" t="s">
        <v>48</v>
      </c>
      <c r="J1594">
        <v>1.5</v>
      </c>
      <c r="K1594">
        <v>16</v>
      </c>
      <c r="L1594">
        <v>4</v>
      </c>
      <c r="M1594">
        <v>1122851</v>
      </c>
      <c r="N1594">
        <v>4491404</v>
      </c>
      <c r="O1594">
        <v>3369833</v>
      </c>
      <c r="P1594">
        <v>1121571</v>
      </c>
    </row>
    <row r="1595" spans="1:16" x14ac:dyDescent="0.3">
      <c r="A1595">
        <v>2594</v>
      </c>
      <c r="B1595" t="s">
        <v>232</v>
      </c>
      <c r="C1595">
        <v>2023</v>
      </c>
      <c r="D1595" t="s">
        <v>67</v>
      </c>
      <c r="E1595" t="s">
        <v>18</v>
      </c>
      <c r="F1595" t="s">
        <v>72</v>
      </c>
      <c r="G1595" t="s">
        <v>90</v>
      </c>
      <c r="H1595" t="s">
        <v>63</v>
      </c>
      <c r="I1595" t="s">
        <v>22</v>
      </c>
      <c r="J1595">
        <v>1</v>
      </c>
      <c r="K1595">
        <v>18</v>
      </c>
      <c r="L1595">
        <v>1</v>
      </c>
      <c r="M1595">
        <v>1301976</v>
      </c>
      <c r="N1595">
        <v>1301976</v>
      </c>
      <c r="O1595">
        <v>1105175</v>
      </c>
      <c r="P1595">
        <v>196801</v>
      </c>
    </row>
    <row r="1596" spans="1:16" x14ac:dyDescent="0.3">
      <c r="A1596">
        <v>2595</v>
      </c>
      <c r="B1596" t="s">
        <v>454</v>
      </c>
      <c r="C1596">
        <v>2024</v>
      </c>
      <c r="D1596" t="s">
        <v>39</v>
      </c>
      <c r="E1596" t="s">
        <v>40</v>
      </c>
      <c r="F1596" t="s">
        <v>104</v>
      </c>
      <c r="G1596" t="s">
        <v>30</v>
      </c>
      <c r="H1596" t="s">
        <v>56</v>
      </c>
      <c r="I1596" t="s">
        <v>48</v>
      </c>
      <c r="J1596">
        <v>1</v>
      </c>
      <c r="K1596">
        <v>20</v>
      </c>
      <c r="L1596">
        <v>8</v>
      </c>
      <c r="M1596">
        <v>751450</v>
      </c>
      <c r="N1596">
        <v>6011600</v>
      </c>
      <c r="O1596">
        <v>4624348</v>
      </c>
      <c r="P1596">
        <v>1387252</v>
      </c>
    </row>
    <row r="1597" spans="1:16" x14ac:dyDescent="0.3">
      <c r="A1597">
        <v>2596</v>
      </c>
      <c r="B1597" t="s">
        <v>166</v>
      </c>
      <c r="C1597">
        <v>2023</v>
      </c>
      <c r="D1597" t="s">
        <v>24</v>
      </c>
      <c r="E1597" t="s">
        <v>18</v>
      </c>
      <c r="F1597" t="s">
        <v>35</v>
      </c>
      <c r="G1597" t="s">
        <v>46</v>
      </c>
      <c r="H1597" t="s">
        <v>54</v>
      </c>
      <c r="I1597" t="s">
        <v>48</v>
      </c>
      <c r="J1597">
        <v>1.2</v>
      </c>
      <c r="K1597">
        <v>16</v>
      </c>
      <c r="L1597">
        <v>6</v>
      </c>
      <c r="M1597">
        <v>1448568</v>
      </c>
      <c r="N1597">
        <v>8691408</v>
      </c>
      <c r="O1597">
        <v>6645257</v>
      </c>
      <c r="P1597">
        <v>2046151</v>
      </c>
    </row>
    <row r="1598" spans="1:16" x14ac:dyDescent="0.3">
      <c r="A1598">
        <v>2597</v>
      </c>
      <c r="B1598" t="s">
        <v>86</v>
      </c>
      <c r="C1598">
        <v>2024</v>
      </c>
      <c r="D1598" t="s">
        <v>39</v>
      </c>
      <c r="E1598" t="s">
        <v>44</v>
      </c>
      <c r="F1598" t="s">
        <v>92</v>
      </c>
      <c r="G1598" t="s">
        <v>27</v>
      </c>
      <c r="H1598" t="s">
        <v>79</v>
      </c>
      <c r="I1598" t="s">
        <v>48</v>
      </c>
      <c r="J1598">
        <v>1</v>
      </c>
      <c r="K1598">
        <v>19</v>
      </c>
      <c r="L1598">
        <v>6</v>
      </c>
      <c r="M1598">
        <v>1475618</v>
      </c>
      <c r="N1598">
        <v>8853708</v>
      </c>
      <c r="O1598">
        <v>7319124</v>
      </c>
      <c r="P1598">
        <v>1534584</v>
      </c>
    </row>
    <row r="1599" spans="1:16" x14ac:dyDescent="0.3">
      <c r="A1599">
        <v>2598</v>
      </c>
      <c r="B1599" t="s">
        <v>325</v>
      </c>
      <c r="C1599">
        <v>2023</v>
      </c>
      <c r="D1599" t="s">
        <v>76</v>
      </c>
      <c r="E1599" t="s">
        <v>40</v>
      </c>
      <c r="F1599" t="s">
        <v>104</v>
      </c>
      <c r="G1599" t="s">
        <v>36</v>
      </c>
      <c r="H1599" t="s">
        <v>37</v>
      </c>
      <c r="I1599" t="s">
        <v>32</v>
      </c>
      <c r="J1599">
        <v>1</v>
      </c>
      <c r="K1599">
        <v>22</v>
      </c>
      <c r="L1599">
        <v>5</v>
      </c>
      <c r="M1599">
        <v>806209</v>
      </c>
      <c r="N1599">
        <v>4031045</v>
      </c>
      <c r="O1599">
        <v>3460249</v>
      </c>
      <c r="P1599">
        <v>570796</v>
      </c>
    </row>
    <row r="1600" spans="1:16" x14ac:dyDescent="0.3">
      <c r="A1600">
        <v>2599</v>
      </c>
      <c r="B1600" t="s">
        <v>123</v>
      </c>
      <c r="C1600">
        <v>2024</v>
      </c>
      <c r="D1600" t="s">
        <v>24</v>
      </c>
      <c r="E1600" t="s">
        <v>18</v>
      </c>
      <c r="F1600" t="s">
        <v>35</v>
      </c>
      <c r="G1600" t="s">
        <v>59</v>
      </c>
      <c r="H1600" t="s">
        <v>79</v>
      </c>
      <c r="I1600" t="s">
        <v>48</v>
      </c>
      <c r="J1600">
        <v>2</v>
      </c>
      <c r="K1600">
        <v>16</v>
      </c>
      <c r="L1600">
        <v>8</v>
      </c>
      <c r="M1600">
        <v>1014419</v>
      </c>
      <c r="N1600">
        <v>8115352</v>
      </c>
      <c r="O1600">
        <v>7145280</v>
      </c>
      <c r="P1600">
        <v>970072</v>
      </c>
    </row>
    <row r="1601" spans="1:16" x14ac:dyDescent="0.3">
      <c r="A1601">
        <v>2600</v>
      </c>
      <c r="B1601" t="s">
        <v>433</v>
      </c>
      <c r="C1601">
        <v>2024</v>
      </c>
      <c r="D1601" t="s">
        <v>43</v>
      </c>
      <c r="E1601" t="s">
        <v>18</v>
      </c>
      <c r="F1601" t="s">
        <v>107</v>
      </c>
      <c r="G1601" t="s">
        <v>36</v>
      </c>
      <c r="H1601" t="s">
        <v>79</v>
      </c>
      <c r="I1601" t="s">
        <v>48</v>
      </c>
      <c r="J1601">
        <v>1</v>
      </c>
      <c r="K1601">
        <v>22</v>
      </c>
      <c r="L1601">
        <v>8</v>
      </c>
      <c r="M1601">
        <v>1237941</v>
      </c>
      <c r="N1601">
        <v>9903528</v>
      </c>
      <c r="O1601">
        <v>8525086</v>
      </c>
      <c r="P1601">
        <v>1378442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DASHBORD</vt:lpstr>
      <vt:lpstr>KPI</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VIKASH KUMAR</cp:lastModifiedBy>
  <dcterms:created xsi:type="dcterms:W3CDTF">2026-03-02T15:40:54Z</dcterms:created>
  <dcterms:modified xsi:type="dcterms:W3CDTF">2026-03-12T02:37:24Z</dcterms:modified>
</cp:coreProperties>
</file>